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BDC397E1-18A0-40BF-B873-24CD2C75A902}" xr6:coauthVersionLast="47" xr6:coauthVersionMax="47" xr10:uidLastSave="{00000000-0000-0000-0000-000000000000}"/>
  <bookViews>
    <workbookView xWindow="-120" yWindow="-120" windowWidth="38640" windowHeight="21120" activeTab="2" xr2:uid="{8BBB76A9-373F-4CF8-8814-1AAB1FFE3FF1}"/>
  </bookViews>
  <sheets>
    <sheet name="At A Glance" sheetId="20" r:id="rId1"/>
    <sheet name="YTD Revenue" sheetId="7" r:id="rId2"/>
    <sheet name="Other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pm.fromEPO" hidden="1" xlm="1">#NAME?</definedName>
    <definedName name="_xlpm.fromGroup" hidden="1" xlm="1">#NAME?</definedName>
    <definedName name="_xlpm.fromHotel" hidden="1" xlm="1">#NAME?</definedName>
    <definedName name="_xlpm.nfromEPO" hidden="1" xlm="1">#NAME?</definedName>
    <definedName name="_xlpm.nfromGroup" hidden="1" xlm="1">#NAME?</definedName>
    <definedName name="_xlpm.nfromHotel" hidden="1" xlm="1">#NAME?</definedName>
    <definedName name="_xlpm.nofromEPO" hidden="1" xlm="1">#NAME?</definedName>
    <definedName name="_xlpm.nofromGroup" hidden="1" xlm="1">#NAME?</definedName>
    <definedName name="_xlpm.nofromHotel" hidden="1" xlm="1">#NAME?</definedName>
    <definedName name="_xlpm.notfromEPO" hidden="1" xlm="1">#NAME?</definedName>
    <definedName name="_xlpm.notfromGroup" hidden="1" xlm="1">#NAME?</definedName>
    <definedName name="_xlpm.notfromHotel" hidden="1" xlm="1">#NAME?</definedName>
    <definedName name="_xlpm.SourceCount" hidden="1" xlm="1">#NAME?</definedName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Forecast'!$A$1:$AH$58</definedName>
    <definedName name="_xlnm.Print_Area" localSheetId="2">'Other Stats'!$A$1:$AG$49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Transactions!$A$1:$R$1543</definedName>
    <definedName name="_xlnm.Print_Area" localSheetId="1">'YTD Revenue'!$A$1:$AH$65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9" l="1" a="1"/>
  <c r="E12" i="9" s="1"/>
  <c r="G12" i="9" a="1"/>
  <c r="G12" i="9" s="1"/>
  <c r="E11" i="9" a="1"/>
  <c r="E11" i="9" s="1"/>
  <c r="E14" i="9" a="1"/>
  <c r="E14" i="9" s="1"/>
  <c r="E1543" i="1" a="1"/>
  <c r="E1543" i="1" s="1"/>
  <c r="F1543" i="1" a="1"/>
  <c r="F1543" i="1" s="1"/>
  <c r="G1543" i="1" a="1"/>
  <c r="G1543" i="1" s="1"/>
  <c r="H1543" i="1" a="1"/>
  <c r="H1543" i="1" s="1"/>
  <c r="E1485" i="1" a="1"/>
  <c r="E1485" i="1" s="1"/>
  <c r="F1485" i="1" a="1"/>
  <c r="F1485" i="1" s="1"/>
  <c r="G1485" i="1" a="1"/>
  <c r="G1485" i="1" s="1"/>
  <c r="H1485" i="1" a="1"/>
  <c r="H1485" i="1" s="1"/>
  <c r="E1456" i="1" a="1"/>
  <c r="E1456" i="1" s="1"/>
  <c r="F1456" i="1" a="1"/>
  <c r="F1456" i="1" s="1"/>
  <c r="G1456" i="1" a="1"/>
  <c r="G1456" i="1" s="1"/>
  <c r="H1456" i="1" a="1"/>
  <c r="H1456" i="1" s="1"/>
  <c r="E1199" i="1" a="1"/>
  <c r="E1199" i="1" s="1"/>
  <c r="F1199" i="1" a="1"/>
  <c r="F1199" i="1" s="1"/>
  <c r="G1199" i="1" a="1"/>
  <c r="G1199" i="1" s="1"/>
  <c r="H1199" i="1" a="1"/>
  <c r="H1199" i="1" s="1"/>
  <c r="E963" i="1" a="1"/>
  <c r="E963" i="1" s="1"/>
  <c r="F963" i="1" a="1"/>
  <c r="F963" i="1" s="1"/>
  <c r="G963" i="1" a="1"/>
  <c r="G963" i="1" s="1"/>
  <c r="H963" i="1" a="1"/>
  <c r="H963" i="1" s="1"/>
  <c r="E690" i="1" a="1"/>
  <c r="E690" i="1" s="1"/>
  <c r="F690" i="1" a="1"/>
  <c r="F690" i="1" s="1"/>
  <c r="G690" i="1" a="1"/>
  <c r="G690" i="1" s="1"/>
  <c r="H690" i="1" a="1"/>
  <c r="H690" i="1" s="1"/>
  <c r="E434" i="1" a="1"/>
  <c r="E434" i="1" s="1"/>
  <c r="F434" i="1" a="1"/>
  <c r="F434" i="1" s="1"/>
  <c r="G434" i="1" a="1"/>
  <c r="G434" i="1" s="1"/>
  <c r="H434" i="1" a="1"/>
  <c r="H434" i="1" s="1"/>
  <c r="E289" i="1" a="1"/>
  <c r="E289" i="1" s="1"/>
  <c r="F289" i="1" a="1"/>
  <c r="F289" i="1" s="1"/>
  <c r="G289" i="1" a="1"/>
  <c r="G289" i="1" s="1"/>
  <c r="H289" i="1" a="1"/>
  <c r="H289" i="1" s="1"/>
  <c r="E166" i="1" a="1"/>
  <c r="E166" i="1" s="1"/>
  <c r="F166" i="1" a="1"/>
  <c r="F166" i="1" s="1"/>
  <c r="G166" i="1" a="1"/>
  <c r="G166" i="1" s="1"/>
  <c r="H166" i="1" a="1"/>
  <c r="H166" i="1" s="1"/>
  <c r="E123" i="1" a="1"/>
  <c r="E123" i="1" s="1"/>
  <c r="F123" i="1" a="1"/>
  <c r="F123" i="1" s="1"/>
  <c r="G123" i="1" a="1"/>
  <c r="G123" i="1" s="1"/>
  <c r="H123" i="1" a="1"/>
  <c r="H123" i="1" s="1"/>
  <c r="E1517" i="1" a="1"/>
  <c r="E1517" i="1" s="1"/>
  <c r="F1517" i="1" a="1"/>
  <c r="F1517" i="1" s="1"/>
  <c r="G1517" i="1" a="1"/>
  <c r="G1517" i="1" s="1"/>
  <c r="H1517" i="1" a="1"/>
  <c r="H1517" i="1" s="1"/>
  <c r="R4" i="20" a="1"/>
  <c r="R4" i="20" s="1"/>
  <c r="R3" i="20" a="1"/>
  <c r="R3" i="20" s="1"/>
  <c r="E1476" i="1" a="1"/>
  <c r="E1476" i="1" s="1"/>
  <c r="F1476" i="1" a="1"/>
  <c r="F1476" i="1" s="1"/>
  <c r="G1476" i="1" a="1"/>
  <c r="G1476" i="1" s="1"/>
  <c r="H1476" i="1" a="1"/>
  <c r="H1476" i="1" s="1"/>
  <c r="E1475" i="1" a="1"/>
  <c r="E1475" i="1" s="1"/>
  <c r="F1475" i="1" a="1"/>
  <c r="F1475" i="1" s="1"/>
  <c r="G1475" i="1" a="1"/>
  <c r="G1475" i="1" s="1"/>
  <c r="H1475" i="1" a="1"/>
  <c r="H1475" i="1" s="1"/>
  <c r="E1493" i="1" a="1"/>
  <c r="E1493" i="1" s="1"/>
  <c r="F1493" i="1" a="1"/>
  <c r="F1493" i="1" s="1"/>
  <c r="G1493" i="1" a="1"/>
  <c r="G1493" i="1" s="1"/>
  <c r="H1493" i="1" a="1"/>
  <c r="H1493" i="1" s="1"/>
  <c r="E1492" i="1" a="1"/>
  <c r="E1492" i="1" s="1"/>
  <c r="F1492" i="1" a="1"/>
  <c r="F1492" i="1" s="1"/>
  <c r="G1492" i="1" a="1"/>
  <c r="G1492" i="1" s="1"/>
  <c r="H1492" i="1" a="1"/>
  <c r="H1492" i="1" s="1"/>
  <c r="E1464" i="1" a="1"/>
  <c r="E1464" i="1" s="1"/>
  <c r="F1464" i="1" a="1"/>
  <c r="F1464" i="1" s="1"/>
  <c r="G1464" i="1" a="1"/>
  <c r="G1464" i="1" s="1"/>
  <c r="H1464" i="1" a="1"/>
  <c r="H1464" i="1" s="1"/>
  <c r="E1463" i="1" a="1"/>
  <c r="E1463" i="1" s="1"/>
  <c r="F1463" i="1" a="1"/>
  <c r="F1463" i="1" s="1"/>
  <c r="G1463" i="1" a="1"/>
  <c r="G1463" i="1" s="1"/>
  <c r="H1463" i="1" a="1"/>
  <c r="H1463" i="1" s="1"/>
  <c r="E1449" i="1" a="1"/>
  <c r="E1449" i="1" s="1"/>
  <c r="F1449" i="1" a="1"/>
  <c r="F1449" i="1" s="1"/>
  <c r="G1449" i="1" a="1"/>
  <c r="G1449" i="1" s="1"/>
  <c r="H1449" i="1" a="1"/>
  <c r="H1449" i="1" s="1"/>
  <c r="E1448" i="1" a="1"/>
  <c r="E1448" i="1" s="1"/>
  <c r="F1448" i="1" a="1"/>
  <c r="F1448" i="1" s="1"/>
  <c r="G1448" i="1" a="1"/>
  <c r="G1448" i="1" s="1"/>
  <c r="H1448" i="1" a="1"/>
  <c r="H1448" i="1" s="1"/>
  <c r="E1437" i="1" a="1"/>
  <c r="E1437" i="1" s="1"/>
  <c r="F1437" i="1" a="1"/>
  <c r="F1437" i="1" s="1"/>
  <c r="G1437" i="1" a="1"/>
  <c r="G1437" i="1" s="1"/>
  <c r="H1437" i="1" a="1"/>
  <c r="H1437" i="1" s="1"/>
  <c r="E1436" i="1" a="1"/>
  <c r="E1436" i="1" s="1"/>
  <c r="F1436" i="1" a="1"/>
  <c r="F1436" i="1" s="1"/>
  <c r="G1436" i="1" a="1"/>
  <c r="G1436" i="1" s="1"/>
  <c r="H1436" i="1" a="1"/>
  <c r="H1436" i="1" s="1"/>
  <c r="E1425" i="1" a="1"/>
  <c r="E1425" i="1" s="1"/>
  <c r="F1425" i="1" a="1"/>
  <c r="F1425" i="1" s="1"/>
  <c r="G1425" i="1" a="1"/>
  <c r="G1425" i="1" s="1"/>
  <c r="H1425" i="1" a="1"/>
  <c r="H1425" i="1" s="1"/>
  <c r="E1424" i="1" a="1"/>
  <c r="E1424" i="1" s="1"/>
  <c r="F1424" i="1" a="1"/>
  <c r="F1424" i="1" s="1"/>
  <c r="G1424" i="1" a="1"/>
  <c r="G1424" i="1" s="1"/>
  <c r="H1424" i="1" a="1"/>
  <c r="H1424" i="1" s="1"/>
  <c r="E1413" i="1" a="1"/>
  <c r="E1413" i="1" s="1"/>
  <c r="F1413" i="1" a="1"/>
  <c r="F1413" i="1" s="1"/>
  <c r="G1413" i="1" a="1"/>
  <c r="G1413" i="1" s="1"/>
  <c r="H1413" i="1" a="1"/>
  <c r="H1413" i="1" s="1"/>
  <c r="E1412" i="1" a="1"/>
  <c r="E1412" i="1" s="1"/>
  <c r="F1412" i="1" a="1"/>
  <c r="F1412" i="1" s="1"/>
  <c r="G1412" i="1" a="1"/>
  <c r="G1412" i="1" s="1"/>
  <c r="H1412" i="1" a="1"/>
  <c r="H1412" i="1" s="1"/>
  <c r="E1401" i="1" a="1"/>
  <c r="E1401" i="1" s="1"/>
  <c r="F1401" i="1" a="1"/>
  <c r="F1401" i="1" s="1"/>
  <c r="G1401" i="1" a="1"/>
  <c r="G1401" i="1" s="1"/>
  <c r="H1401" i="1" a="1"/>
  <c r="H1401" i="1" s="1"/>
  <c r="E1400" i="1" a="1"/>
  <c r="E1400" i="1" s="1"/>
  <c r="F1400" i="1" a="1"/>
  <c r="F1400" i="1" s="1"/>
  <c r="G1400" i="1" a="1"/>
  <c r="G1400" i="1" s="1"/>
  <c r="H1400" i="1" a="1"/>
  <c r="H1400" i="1" s="1"/>
  <c r="E1390" i="1" a="1"/>
  <c r="E1390" i="1" s="1"/>
  <c r="F1390" i="1" a="1"/>
  <c r="F1390" i="1" s="1"/>
  <c r="G1390" i="1" a="1"/>
  <c r="G1390" i="1" s="1"/>
  <c r="H1390" i="1" a="1"/>
  <c r="H1390" i="1" s="1"/>
  <c r="E1389" i="1" a="1"/>
  <c r="E1389" i="1" s="1"/>
  <c r="F1389" i="1" a="1"/>
  <c r="F1389" i="1" s="1"/>
  <c r="G1389" i="1" a="1"/>
  <c r="G1389" i="1" s="1"/>
  <c r="H1389" i="1" a="1"/>
  <c r="H1389" i="1" s="1"/>
  <c r="E1375" i="1" a="1"/>
  <c r="E1375" i="1" s="1"/>
  <c r="F1375" i="1" a="1"/>
  <c r="F1375" i="1" s="1"/>
  <c r="G1375" i="1" a="1"/>
  <c r="G1375" i="1" s="1"/>
  <c r="H1375" i="1" a="1"/>
  <c r="H1375" i="1" s="1"/>
  <c r="E1374" i="1" a="1"/>
  <c r="E1374" i="1" s="1"/>
  <c r="F1374" i="1" a="1"/>
  <c r="F1374" i="1" s="1"/>
  <c r="G1374" i="1" a="1"/>
  <c r="G1374" i="1" s="1"/>
  <c r="H1374" i="1" a="1"/>
  <c r="H1374" i="1" s="1"/>
  <c r="E1361" i="1" a="1"/>
  <c r="E1361" i="1" s="1"/>
  <c r="F1361" i="1" a="1"/>
  <c r="F1361" i="1" s="1"/>
  <c r="G1361" i="1" a="1"/>
  <c r="G1361" i="1" s="1"/>
  <c r="H1361" i="1" a="1"/>
  <c r="H1361" i="1" s="1"/>
  <c r="E1360" i="1" a="1"/>
  <c r="E1360" i="1" s="1"/>
  <c r="F1360" i="1" a="1"/>
  <c r="F1360" i="1" s="1"/>
  <c r="G1360" i="1" a="1"/>
  <c r="G1360" i="1" s="1"/>
  <c r="H1360" i="1" a="1"/>
  <c r="H1360" i="1" s="1"/>
  <c r="E1346" i="1" a="1"/>
  <c r="E1346" i="1" s="1"/>
  <c r="F1346" i="1" a="1"/>
  <c r="F1346" i="1" s="1"/>
  <c r="G1346" i="1" a="1"/>
  <c r="G1346" i="1" s="1"/>
  <c r="H1346" i="1" a="1"/>
  <c r="H1346" i="1" s="1"/>
  <c r="E1345" i="1" a="1"/>
  <c r="E1345" i="1" s="1"/>
  <c r="F1345" i="1" a="1"/>
  <c r="F1345" i="1" s="1"/>
  <c r="G1345" i="1" a="1"/>
  <c r="G1345" i="1" s="1"/>
  <c r="H1345" i="1" a="1"/>
  <c r="H1345" i="1" s="1"/>
  <c r="E1332" i="1" a="1"/>
  <c r="E1332" i="1" s="1"/>
  <c r="F1332" i="1" a="1"/>
  <c r="F1332" i="1" s="1"/>
  <c r="G1332" i="1" a="1"/>
  <c r="G1332" i="1" s="1"/>
  <c r="H1332" i="1" a="1"/>
  <c r="H1332" i="1" s="1"/>
  <c r="E1331" i="1" a="1"/>
  <c r="E1331" i="1" s="1"/>
  <c r="F1331" i="1" a="1"/>
  <c r="F1331" i="1" s="1"/>
  <c r="G1331" i="1" a="1"/>
  <c r="G1331" i="1" s="1"/>
  <c r="H1331" i="1" a="1"/>
  <c r="H1331" i="1" s="1"/>
  <c r="E1319" i="1" a="1"/>
  <c r="E1319" i="1" s="1"/>
  <c r="F1319" i="1" a="1"/>
  <c r="F1319" i="1" s="1"/>
  <c r="G1319" i="1" a="1"/>
  <c r="G1319" i="1" s="1"/>
  <c r="H1319" i="1" a="1"/>
  <c r="H1319" i="1" s="1"/>
  <c r="E1318" i="1" a="1"/>
  <c r="E1318" i="1" s="1"/>
  <c r="F1318" i="1" a="1"/>
  <c r="F1318" i="1" s="1"/>
  <c r="G1318" i="1" a="1"/>
  <c r="G1318" i="1" s="1"/>
  <c r="H1318" i="1" a="1"/>
  <c r="H1318" i="1" s="1"/>
  <c r="E1303" i="1" a="1"/>
  <c r="E1303" i="1" s="1"/>
  <c r="F1303" i="1" a="1"/>
  <c r="F1303" i="1" s="1"/>
  <c r="G1303" i="1" a="1"/>
  <c r="G1303" i="1" s="1"/>
  <c r="H1303" i="1" a="1"/>
  <c r="H1303" i="1" s="1"/>
  <c r="E1302" i="1" a="1"/>
  <c r="E1302" i="1" s="1"/>
  <c r="F1302" i="1" a="1"/>
  <c r="F1302" i="1" s="1"/>
  <c r="G1302" i="1" a="1"/>
  <c r="G1302" i="1" s="1"/>
  <c r="H1302" i="1" a="1"/>
  <c r="H1302" i="1" s="1"/>
  <c r="E1287" i="1" a="1"/>
  <c r="E1287" i="1" s="1"/>
  <c r="F1287" i="1" a="1"/>
  <c r="F1287" i="1" s="1"/>
  <c r="G1287" i="1" a="1"/>
  <c r="G1287" i="1" s="1"/>
  <c r="H1287" i="1" a="1"/>
  <c r="H1287" i="1" s="1"/>
  <c r="E1286" i="1" a="1"/>
  <c r="E1286" i="1" s="1"/>
  <c r="F1286" i="1" a="1"/>
  <c r="F1286" i="1" s="1"/>
  <c r="G1286" i="1" a="1"/>
  <c r="G1286" i="1" s="1"/>
  <c r="H1286" i="1" a="1"/>
  <c r="H1286" i="1" s="1"/>
  <c r="E1273" i="1" a="1"/>
  <c r="E1273" i="1" s="1"/>
  <c r="F1273" i="1" a="1"/>
  <c r="F1273" i="1" s="1"/>
  <c r="G1273" i="1" a="1"/>
  <c r="G1273" i="1" s="1"/>
  <c r="H1273" i="1" a="1"/>
  <c r="H1273" i="1" s="1"/>
  <c r="E1272" i="1" a="1"/>
  <c r="E1272" i="1" s="1"/>
  <c r="F1272" i="1" a="1"/>
  <c r="F1272" i="1" s="1"/>
  <c r="G1272" i="1" a="1"/>
  <c r="G1272" i="1" s="1"/>
  <c r="H1272" i="1" a="1"/>
  <c r="H1272" i="1" s="1"/>
  <c r="E1259" i="1" a="1"/>
  <c r="E1259" i="1" s="1"/>
  <c r="F1259" i="1" a="1"/>
  <c r="F1259" i="1" s="1"/>
  <c r="G1259" i="1" a="1"/>
  <c r="G1259" i="1" s="1"/>
  <c r="H1259" i="1" a="1"/>
  <c r="H1259" i="1" s="1"/>
  <c r="E1258" i="1" a="1"/>
  <c r="E1258" i="1" s="1"/>
  <c r="F1258" i="1" a="1"/>
  <c r="F1258" i="1" s="1"/>
  <c r="G1258" i="1" a="1"/>
  <c r="G1258" i="1" s="1"/>
  <c r="H1258" i="1" a="1"/>
  <c r="H1258" i="1" s="1"/>
  <c r="E1245" i="1" a="1"/>
  <c r="E1245" i="1" s="1"/>
  <c r="F1245" i="1" a="1"/>
  <c r="F1245" i="1" s="1"/>
  <c r="G1245" i="1" a="1"/>
  <c r="G1245" i="1" s="1"/>
  <c r="H1245" i="1" a="1"/>
  <c r="H1245" i="1" s="1"/>
  <c r="E1244" i="1" a="1"/>
  <c r="E1244" i="1" s="1"/>
  <c r="F1244" i="1" a="1"/>
  <c r="F1244" i="1" s="1"/>
  <c r="G1244" i="1" a="1"/>
  <c r="G1244" i="1" s="1"/>
  <c r="H1244" i="1" a="1"/>
  <c r="H1244" i="1" s="1"/>
  <c r="E1231" i="1" a="1"/>
  <c r="E1231" i="1" s="1"/>
  <c r="F1231" i="1" a="1"/>
  <c r="F1231" i="1" s="1"/>
  <c r="G1231" i="1" a="1"/>
  <c r="G1231" i="1" s="1"/>
  <c r="H1231" i="1" a="1"/>
  <c r="H1231" i="1" s="1"/>
  <c r="E1230" i="1" a="1"/>
  <c r="E1230" i="1" s="1"/>
  <c r="F1230" i="1" a="1"/>
  <c r="F1230" i="1" s="1"/>
  <c r="G1230" i="1" a="1"/>
  <c r="G1230" i="1" s="1"/>
  <c r="H1230" i="1" a="1"/>
  <c r="H1230" i="1" s="1"/>
  <c r="E1216" i="1" a="1"/>
  <c r="E1216" i="1" s="1"/>
  <c r="F1216" i="1" a="1"/>
  <c r="F1216" i="1" s="1"/>
  <c r="G1216" i="1" a="1"/>
  <c r="G1216" i="1" s="1"/>
  <c r="H1216" i="1" a="1"/>
  <c r="H1216" i="1" s="1"/>
  <c r="E1215" i="1" a="1"/>
  <c r="E1215" i="1" s="1"/>
  <c r="F1215" i="1" a="1"/>
  <c r="F1215" i="1" s="1"/>
  <c r="G1215" i="1" a="1"/>
  <c r="G1215" i="1" s="1"/>
  <c r="H1215" i="1" a="1"/>
  <c r="H1215" i="1" s="1"/>
  <c r="E1205" i="1" a="1"/>
  <c r="E1205" i="1" s="1"/>
  <c r="F1205" i="1" a="1"/>
  <c r="F1205" i="1" s="1"/>
  <c r="G1205" i="1" a="1"/>
  <c r="G1205" i="1" s="1"/>
  <c r="H1205" i="1" a="1"/>
  <c r="H1205" i="1" s="1"/>
  <c r="E1204" i="1" a="1"/>
  <c r="E1204" i="1" s="1"/>
  <c r="F1204" i="1" a="1"/>
  <c r="F1204" i="1" s="1"/>
  <c r="G1204" i="1" a="1"/>
  <c r="G1204" i="1" s="1"/>
  <c r="H1204" i="1" a="1"/>
  <c r="H1204" i="1" s="1"/>
  <c r="E1192" i="1" a="1"/>
  <c r="E1192" i="1" s="1"/>
  <c r="F1192" i="1" a="1"/>
  <c r="F1192" i="1" s="1"/>
  <c r="G1192" i="1" a="1"/>
  <c r="G1192" i="1" s="1"/>
  <c r="H1192" i="1" a="1"/>
  <c r="H1192" i="1" s="1"/>
  <c r="E1191" i="1" a="1"/>
  <c r="E1191" i="1" s="1"/>
  <c r="F1191" i="1" a="1"/>
  <c r="F1191" i="1" s="1"/>
  <c r="G1191" i="1" a="1"/>
  <c r="G1191" i="1" s="1"/>
  <c r="H1191" i="1" a="1"/>
  <c r="H1191" i="1" s="1"/>
  <c r="E1180" i="1" a="1"/>
  <c r="E1180" i="1" s="1"/>
  <c r="F1180" i="1" a="1"/>
  <c r="F1180" i="1" s="1"/>
  <c r="G1180" i="1" a="1"/>
  <c r="G1180" i="1" s="1"/>
  <c r="H1180" i="1" a="1"/>
  <c r="H1180" i="1" s="1"/>
  <c r="E1179" i="1" a="1"/>
  <c r="E1179" i="1" s="1"/>
  <c r="F1179" i="1" a="1"/>
  <c r="F1179" i="1" s="1"/>
  <c r="G1179" i="1" a="1"/>
  <c r="G1179" i="1" s="1"/>
  <c r="H1179" i="1" a="1"/>
  <c r="H1179" i="1" s="1"/>
  <c r="E1166" i="1" a="1"/>
  <c r="E1166" i="1" s="1"/>
  <c r="F1166" i="1" a="1"/>
  <c r="F1166" i="1" s="1"/>
  <c r="G1166" i="1" a="1"/>
  <c r="G1166" i="1" s="1"/>
  <c r="H1166" i="1" a="1"/>
  <c r="H1166" i="1" s="1"/>
  <c r="E1165" i="1" a="1"/>
  <c r="E1165" i="1" s="1"/>
  <c r="F1165" i="1" a="1"/>
  <c r="F1165" i="1" s="1"/>
  <c r="G1165" i="1" a="1"/>
  <c r="G1165" i="1" s="1"/>
  <c r="H1165" i="1" a="1"/>
  <c r="H1165" i="1" s="1"/>
  <c r="E1153" i="1" a="1"/>
  <c r="E1153" i="1" s="1"/>
  <c r="F1153" i="1" a="1"/>
  <c r="F1153" i="1" s="1"/>
  <c r="G1153" i="1" a="1"/>
  <c r="G1153" i="1" s="1"/>
  <c r="H1153" i="1" a="1"/>
  <c r="H1153" i="1" s="1"/>
  <c r="E1152" i="1" a="1"/>
  <c r="E1152" i="1" s="1"/>
  <c r="F1152" i="1" a="1"/>
  <c r="F1152" i="1" s="1"/>
  <c r="G1152" i="1" a="1"/>
  <c r="G1152" i="1" s="1"/>
  <c r="H1152" i="1" a="1"/>
  <c r="H1152" i="1" s="1"/>
  <c r="E1137" i="1" a="1"/>
  <c r="E1137" i="1" s="1"/>
  <c r="F1137" i="1" a="1"/>
  <c r="F1137" i="1" s="1"/>
  <c r="G1137" i="1" a="1"/>
  <c r="G1137" i="1" s="1"/>
  <c r="H1137" i="1" a="1"/>
  <c r="H1137" i="1" s="1"/>
  <c r="E1136" i="1" a="1"/>
  <c r="E1136" i="1" s="1"/>
  <c r="F1136" i="1" a="1"/>
  <c r="F1136" i="1" s="1"/>
  <c r="G1136" i="1" a="1"/>
  <c r="G1136" i="1" s="1"/>
  <c r="H1136" i="1" a="1"/>
  <c r="H1136" i="1" s="1"/>
  <c r="E1122" i="1" a="1"/>
  <c r="E1122" i="1" s="1"/>
  <c r="F1122" i="1" a="1"/>
  <c r="F1122" i="1" s="1"/>
  <c r="G1122" i="1" a="1"/>
  <c r="G1122" i="1" s="1"/>
  <c r="H1122" i="1" a="1"/>
  <c r="H1122" i="1" s="1"/>
  <c r="E1121" i="1" a="1"/>
  <c r="E1121" i="1" s="1"/>
  <c r="F1121" i="1" a="1"/>
  <c r="F1121" i="1" s="1"/>
  <c r="G1121" i="1" a="1"/>
  <c r="G1121" i="1" s="1"/>
  <c r="H1121" i="1" a="1"/>
  <c r="H1121" i="1" s="1"/>
  <c r="E1109" i="1" a="1"/>
  <c r="E1109" i="1" s="1"/>
  <c r="F1109" i="1" a="1"/>
  <c r="F1109" i="1" s="1"/>
  <c r="G1109" i="1" a="1"/>
  <c r="G1109" i="1" s="1"/>
  <c r="H1109" i="1" a="1"/>
  <c r="H1109" i="1" s="1"/>
  <c r="E1108" i="1" a="1"/>
  <c r="E1108" i="1" s="1"/>
  <c r="F1108" i="1" a="1"/>
  <c r="F1108" i="1" s="1"/>
  <c r="G1108" i="1" a="1"/>
  <c r="G1108" i="1" s="1"/>
  <c r="H1108" i="1" a="1"/>
  <c r="H1108" i="1" s="1"/>
  <c r="E1096" i="1" a="1"/>
  <c r="E1096" i="1" s="1"/>
  <c r="F1096" i="1" a="1"/>
  <c r="F1096" i="1" s="1"/>
  <c r="G1096" i="1" a="1"/>
  <c r="G1096" i="1" s="1"/>
  <c r="H1096" i="1" a="1"/>
  <c r="H1096" i="1" s="1"/>
  <c r="E1095" i="1" a="1"/>
  <c r="E1095" i="1" s="1"/>
  <c r="F1095" i="1" a="1"/>
  <c r="F1095" i="1" s="1"/>
  <c r="G1095" i="1" a="1"/>
  <c r="G1095" i="1" s="1"/>
  <c r="H1095" i="1" a="1"/>
  <c r="H1095" i="1" s="1"/>
  <c r="E1083" i="1" a="1"/>
  <c r="E1083" i="1" s="1"/>
  <c r="F1083" i="1" a="1"/>
  <c r="F1083" i="1" s="1"/>
  <c r="G1083" i="1" a="1"/>
  <c r="G1083" i="1" s="1"/>
  <c r="H1083" i="1" a="1"/>
  <c r="H1083" i="1" s="1"/>
  <c r="E1082" i="1" a="1"/>
  <c r="E1082" i="1" s="1"/>
  <c r="F1082" i="1" a="1"/>
  <c r="F1082" i="1" s="1"/>
  <c r="G1082" i="1" a="1"/>
  <c r="G1082" i="1" s="1"/>
  <c r="H1082" i="1" a="1"/>
  <c r="H1082" i="1" s="1"/>
  <c r="E1067" i="1" a="1"/>
  <c r="E1067" i="1" s="1"/>
  <c r="F1067" i="1" a="1"/>
  <c r="F1067" i="1" s="1"/>
  <c r="G1067" i="1" a="1"/>
  <c r="G1067" i="1" s="1"/>
  <c r="H1067" i="1" a="1"/>
  <c r="H1067" i="1" s="1"/>
  <c r="E1066" i="1" a="1"/>
  <c r="E1066" i="1" s="1"/>
  <c r="F1066" i="1" a="1"/>
  <c r="F1066" i="1" s="1"/>
  <c r="G1066" i="1" a="1"/>
  <c r="G1066" i="1" s="1"/>
  <c r="H1066" i="1" a="1"/>
  <c r="H1066" i="1" s="1"/>
  <c r="E1050" i="1" a="1"/>
  <c r="E1050" i="1" s="1"/>
  <c r="F1050" i="1" a="1"/>
  <c r="F1050" i="1" s="1"/>
  <c r="G1050" i="1" a="1"/>
  <c r="G1050" i="1" s="1"/>
  <c r="H1050" i="1" a="1"/>
  <c r="H1050" i="1" s="1"/>
  <c r="E1051" i="1" a="1"/>
  <c r="E1051" i="1" s="1"/>
  <c r="F1051" i="1" a="1"/>
  <c r="F1051" i="1" s="1"/>
  <c r="G1051" i="1" a="1"/>
  <c r="G1051" i="1" s="1"/>
  <c r="H1051" i="1" a="1"/>
  <c r="H1051" i="1" s="1"/>
  <c r="E1038" i="1" a="1"/>
  <c r="E1038" i="1" s="1"/>
  <c r="F1038" i="1" a="1"/>
  <c r="F1038" i="1" s="1"/>
  <c r="G1038" i="1" a="1"/>
  <c r="G1038" i="1" s="1"/>
  <c r="H1038" i="1" a="1"/>
  <c r="H1038" i="1" s="1"/>
  <c r="E1037" i="1" a="1"/>
  <c r="E1037" i="1" s="1"/>
  <c r="F1037" i="1" a="1"/>
  <c r="F1037" i="1" s="1"/>
  <c r="G1037" i="1" a="1"/>
  <c r="G1037" i="1" s="1"/>
  <c r="H1037" i="1" a="1"/>
  <c r="H1037" i="1" s="1"/>
  <c r="E1025" i="1" a="1"/>
  <c r="E1025" i="1" s="1"/>
  <c r="F1025" i="1" a="1"/>
  <c r="F1025" i="1" s="1"/>
  <c r="G1025" i="1" a="1"/>
  <c r="G1025" i="1" s="1"/>
  <c r="H1025" i="1" a="1"/>
  <c r="H1025" i="1" s="1"/>
  <c r="E1024" i="1" a="1"/>
  <c r="E1024" i="1" s="1"/>
  <c r="F1024" i="1" a="1"/>
  <c r="F1024" i="1" s="1"/>
  <c r="G1024" i="1" a="1"/>
  <c r="G1024" i="1" s="1"/>
  <c r="H1024" i="1" a="1"/>
  <c r="H1024" i="1" s="1"/>
  <c r="E1011" i="1" a="1"/>
  <c r="E1011" i="1" s="1"/>
  <c r="F1011" i="1" a="1"/>
  <c r="F1011" i="1" s="1"/>
  <c r="G1011" i="1" a="1"/>
  <c r="G1011" i="1" s="1"/>
  <c r="H1011" i="1" a="1"/>
  <c r="H1011" i="1" s="1"/>
  <c r="E1010" i="1" a="1"/>
  <c r="E1010" i="1" s="1"/>
  <c r="F1010" i="1" a="1"/>
  <c r="F1010" i="1" s="1"/>
  <c r="G1010" i="1" a="1"/>
  <c r="G1010" i="1" s="1"/>
  <c r="H1010" i="1" a="1"/>
  <c r="H1010" i="1" s="1"/>
  <c r="E996" i="1" a="1"/>
  <c r="E996" i="1" s="1"/>
  <c r="F996" i="1" a="1"/>
  <c r="F996" i="1" s="1"/>
  <c r="G996" i="1" a="1"/>
  <c r="G996" i="1" s="1"/>
  <c r="H996" i="1" a="1"/>
  <c r="H996" i="1" s="1"/>
  <c r="E995" i="1" a="1"/>
  <c r="E995" i="1" s="1"/>
  <c r="F995" i="1" a="1"/>
  <c r="F995" i="1" s="1"/>
  <c r="G995" i="1" a="1"/>
  <c r="G995" i="1" s="1"/>
  <c r="H995" i="1" a="1"/>
  <c r="H995" i="1" s="1"/>
  <c r="E981" i="1" a="1"/>
  <c r="E981" i="1" s="1"/>
  <c r="F981" i="1" a="1"/>
  <c r="F981" i="1" s="1"/>
  <c r="G981" i="1" a="1"/>
  <c r="G981" i="1" s="1"/>
  <c r="H981" i="1" a="1"/>
  <c r="H981" i="1" s="1"/>
  <c r="E980" i="1" a="1"/>
  <c r="E980" i="1" s="1"/>
  <c r="F980" i="1" a="1"/>
  <c r="F980" i="1" s="1"/>
  <c r="G980" i="1" a="1"/>
  <c r="G980" i="1" s="1"/>
  <c r="H980" i="1" a="1"/>
  <c r="H980" i="1" s="1"/>
  <c r="E971" i="1" a="1"/>
  <c r="E971" i="1" s="1"/>
  <c r="F971" i="1" a="1"/>
  <c r="F971" i="1" s="1"/>
  <c r="G971" i="1" a="1"/>
  <c r="G971" i="1" s="1"/>
  <c r="H971" i="1" a="1"/>
  <c r="H971" i="1" s="1"/>
  <c r="E970" i="1" a="1"/>
  <c r="E970" i="1" s="1"/>
  <c r="F970" i="1" a="1"/>
  <c r="F970" i="1" s="1"/>
  <c r="G970" i="1" a="1"/>
  <c r="G970" i="1" s="1"/>
  <c r="H970" i="1" a="1"/>
  <c r="H970" i="1" s="1"/>
  <c r="E956" i="1" a="1"/>
  <c r="E956" i="1" s="1"/>
  <c r="F956" i="1" a="1"/>
  <c r="F956" i="1" s="1"/>
  <c r="G956" i="1" a="1"/>
  <c r="G956" i="1" s="1"/>
  <c r="H956" i="1" a="1"/>
  <c r="H956" i="1" s="1"/>
  <c r="E955" i="1" a="1"/>
  <c r="E955" i="1" s="1"/>
  <c r="F955" i="1" a="1"/>
  <c r="F955" i="1" s="1"/>
  <c r="G955" i="1" a="1"/>
  <c r="G955" i="1" s="1"/>
  <c r="H955" i="1" a="1"/>
  <c r="H955" i="1" s="1"/>
  <c r="E942" i="1" a="1"/>
  <c r="E942" i="1" s="1"/>
  <c r="F942" i="1" a="1"/>
  <c r="F942" i="1" s="1"/>
  <c r="G942" i="1" a="1"/>
  <c r="G942" i="1" s="1"/>
  <c r="H942" i="1" a="1"/>
  <c r="H942" i="1" s="1"/>
  <c r="E941" i="1" a="1"/>
  <c r="E941" i="1" s="1"/>
  <c r="F941" i="1" a="1"/>
  <c r="F941" i="1" s="1"/>
  <c r="G941" i="1" a="1"/>
  <c r="G941" i="1" s="1"/>
  <c r="H941" i="1" a="1"/>
  <c r="H941" i="1" s="1"/>
  <c r="E926" i="1" a="1"/>
  <c r="E926" i="1" s="1"/>
  <c r="F926" i="1" a="1"/>
  <c r="F926" i="1" s="1"/>
  <c r="G926" i="1" a="1"/>
  <c r="G926" i="1" s="1"/>
  <c r="H926" i="1" a="1"/>
  <c r="H926" i="1" s="1"/>
  <c r="E925" i="1" a="1"/>
  <c r="E925" i="1" s="1"/>
  <c r="F925" i="1" a="1"/>
  <c r="F925" i="1" s="1"/>
  <c r="G925" i="1" a="1"/>
  <c r="G925" i="1" s="1"/>
  <c r="H925" i="1" a="1"/>
  <c r="H925" i="1" s="1"/>
  <c r="E909" i="1" a="1"/>
  <c r="E909" i="1" s="1"/>
  <c r="F909" i="1" a="1"/>
  <c r="F909" i="1" s="1"/>
  <c r="G909" i="1" a="1"/>
  <c r="G909" i="1" s="1"/>
  <c r="H909" i="1" a="1"/>
  <c r="H909" i="1" s="1"/>
  <c r="E895" i="1" a="1"/>
  <c r="E895" i="1" s="1"/>
  <c r="F895" i="1" a="1"/>
  <c r="F895" i="1" s="1"/>
  <c r="G895" i="1" a="1"/>
  <c r="G895" i="1" s="1"/>
  <c r="H895" i="1" a="1"/>
  <c r="H895" i="1" s="1"/>
  <c r="E894" i="1" a="1"/>
  <c r="E894" i="1" s="1"/>
  <c r="F894" i="1" a="1"/>
  <c r="F894" i="1" s="1"/>
  <c r="G894" i="1" a="1"/>
  <c r="G894" i="1" s="1"/>
  <c r="H894" i="1" a="1"/>
  <c r="H894" i="1" s="1"/>
  <c r="E882" i="1" a="1"/>
  <c r="E882" i="1" s="1"/>
  <c r="F882" i="1" a="1"/>
  <c r="F882" i="1" s="1"/>
  <c r="G882" i="1" a="1"/>
  <c r="G882" i="1" s="1"/>
  <c r="H882" i="1" a="1"/>
  <c r="H882" i="1" s="1"/>
  <c r="E881" i="1" a="1"/>
  <c r="E881" i="1" s="1"/>
  <c r="F881" i="1" a="1"/>
  <c r="F881" i="1" s="1"/>
  <c r="G881" i="1" a="1"/>
  <c r="G881" i="1" s="1"/>
  <c r="H881" i="1" a="1"/>
  <c r="H881" i="1" s="1"/>
  <c r="E868" i="1" a="1"/>
  <c r="E868" i="1" s="1"/>
  <c r="F868" i="1" a="1"/>
  <c r="F868" i="1" s="1"/>
  <c r="G868" i="1" a="1"/>
  <c r="G868" i="1" s="1"/>
  <c r="H868" i="1" a="1"/>
  <c r="H868" i="1" s="1"/>
  <c r="E867" i="1" a="1"/>
  <c r="E867" i="1" s="1"/>
  <c r="F867" i="1" a="1"/>
  <c r="F867" i="1" s="1"/>
  <c r="G867" i="1" a="1"/>
  <c r="G867" i="1" s="1"/>
  <c r="H867" i="1" a="1"/>
  <c r="H867" i="1" s="1"/>
  <c r="E851" i="1" a="1"/>
  <c r="E851" i="1" s="1"/>
  <c r="F851" i="1" a="1"/>
  <c r="F851" i="1" s="1"/>
  <c r="G851" i="1" a="1"/>
  <c r="G851" i="1" s="1"/>
  <c r="H851" i="1" a="1"/>
  <c r="H851" i="1" s="1"/>
  <c r="E850" i="1" a="1"/>
  <c r="E850" i="1" s="1"/>
  <c r="F850" i="1" a="1"/>
  <c r="F850" i="1" s="1"/>
  <c r="G850" i="1" a="1"/>
  <c r="G850" i="1" s="1"/>
  <c r="H850" i="1" a="1"/>
  <c r="H850" i="1" s="1"/>
  <c r="E834" i="1" a="1"/>
  <c r="E834" i="1" s="1"/>
  <c r="F834" i="1" a="1"/>
  <c r="F834" i="1" s="1"/>
  <c r="G834" i="1" a="1"/>
  <c r="G834" i="1" s="1"/>
  <c r="H834" i="1" a="1"/>
  <c r="H834" i="1" s="1"/>
  <c r="E833" i="1" a="1"/>
  <c r="E833" i="1" s="1"/>
  <c r="F833" i="1" a="1"/>
  <c r="F833" i="1" s="1"/>
  <c r="G833" i="1" a="1"/>
  <c r="G833" i="1" s="1"/>
  <c r="H833" i="1" a="1"/>
  <c r="H833" i="1" s="1"/>
  <c r="E819" i="1" a="1"/>
  <c r="E819" i="1" s="1"/>
  <c r="F819" i="1" a="1"/>
  <c r="F819" i="1" s="1"/>
  <c r="G819" i="1" a="1"/>
  <c r="G819" i="1" s="1"/>
  <c r="H819" i="1" a="1"/>
  <c r="H819" i="1" s="1"/>
  <c r="E818" i="1" a="1"/>
  <c r="E818" i="1" s="1"/>
  <c r="F818" i="1" a="1"/>
  <c r="F818" i="1" s="1"/>
  <c r="G818" i="1" a="1"/>
  <c r="G818" i="1" s="1"/>
  <c r="H818" i="1" a="1"/>
  <c r="H818" i="1" s="1"/>
  <c r="E804" i="1" a="1"/>
  <c r="E804" i="1" s="1"/>
  <c r="F804" i="1" a="1"/>
  <c r="F804" i="1" s="1"/>
  <c r="G804" i="1" a="1"/>
  <c r="G804" i="1" s="1"/>
  <c r="H804" i="1" a="1"/>
  <c r="H804" i="1" s="1"/>
  <c r="E803" i="1" a="1"/>
  <c r="E803" i="1" s="1"/>
  <c r="F803" i="1" a="1"/>
  <c r="F803" i="1" s="1"/>
  <c r="G803" i="1" a="1"/>
  <c r="G803" i="1" s="1"/>
  <c r="H803" i="1" a="1"/>
  <c r="H803" i="1" s="1"/>
  <c r="E788" i="1" a="1"/>
  <c r="E788" i="1" s="1"/>
  <c r="F788" i="1" a="1"/>
  <c r="F788" i="1" s="1"/>
  <c r="G788" i="1" a="1"/>
  <c r="G788" i="1" s="1"/>
  <c r="H788" i="1" a="1"/>
  <c r="H788" i="1" s="1"/>
  <c r="E787" i="1" a="1"/>
  <c r="E787" i="1" s="1"/>
  <c r="F787" i="1" a="1"/>
  <c r="F787" i="1" s="1"/>
  <c r="G787" i="1" a="1"/>
  <c r="G787" i="1" s="1"/>
  <c r="H787" i="1" a="1"/>
  <c r="H787" i="1" s="1"/>
  <c r="E769" i="1" a="1"/>
  <c r="E769" i="1" s="1"/>
  <c r="F769" i="1" a="1"/>
  <c r="F769" i="1" s="1"/>
  <c r="G769" i="1" a="1"/>
  <c r="G769" i="1" s="1"/>
  <c r="H769" i="1" a="1"/>
  <c r="H769" i="1" s="1"/>
  <c r="E768" i="1" a="1"/>
  <c r="E768" i="1" s="1"/>
  <c r="F768" i="1" a="1"/>
  <c r="F768" i="1" s="1"/>
  <c r="G768" i="1" a="1"/>
  <c r="G768" i="1" s="1"/>
  <c r="H768" i="1" a="1"/>
  <c r="H768" i="1" s="1"/>
  <c r="E755" i="1" a="1"/>
  <c r="E755" i="1" s="1"/>
  <c r="F755" i="1" a="1"/>
  <c r="F755" i="1" s="1"/>
  <c r="G755" i="1" a="1"/>
  <c r="G755" i="1" s="1"/>
  <c r="H755" i="1" a="1"/>
  <c r="H755" i="1" s="1"/>
  <c r="E754" i="1" a="1"/>
  <c r="E754" i="1" s="1"/>
  <c r="F754" i="1" a="1"/>
  <c r="F754" i="1" s="1"/>
  <c r="G754" i="1" a="1"/>
  <c r="G754" i="1" s="1"/>
  <c r="H754" i="1" a="1"/>
  <c r="H754" i="1" s="1"/>
  <c r="E738" i="1" a="1"/>
  <c r="E738" i="1" s="1"/>
  <c r="F738" i="1" a="1"/>
  <c r="F738" i="1" s="1"/>
  <c r="G738" i="1" a="1"/>
  <c r="G738" i="1" s="1"/>
  <c r="H738" i="1" a="1"/>
  <c r="H738" i="1" s="1"/>
  <c r="E737" i="1" a="1"/>
  <c r="E737" i="1" s="1"/>
  <c r="F737" i="1" a="1"/>
  <c r="F737" i="1" s="1"/>
  <c r="G737" i="1" a="1"/>
  <c r="G737" i="1" s="1"/>
  <c r="H737" i="1" a="1"/>
  <c r="H737" i="1" s="1"/>
  <c r="E723" i="1" a="1"/>
  <c r="E723" i="1" s="1"/>
  <c r="F723" i="1" a="1"/>
  <c r="F723" i="1" s="1"/>
  <c r="G723" i="1" a="1"/>
  <c r="G723" i="1" s="1"/>
  <c r="H723" i="1" a="1"/>
  <c r="H723" i="1" s="1"/>
  <c r="E722" i="1" a="1"/>
  <c r="E722" i="1" s="1"/>
  <c r="F722" i="1" a="1"/>
  <c r="F722" i="1" s="1"/>
  <c r="G722" i="1" a="1"/>
  <c r="G722" i="1" s="1"/>
  <c r="H722" i="1" a="1"/>
  <c r="H722" i="1" s="1"/>
  <c r="E708" i="1" a="1"/>
  <c r="E708" i="1" s="1"/>
  <c r="F708" i="1" a="1"/>
  <c r="F708" i="1" s="1"/>
  <c r="G708" i="1" a="1"/>
  <c r="G708" i="1" s="1"/>
  <c r="H708" i="1" a="1"/>
  <c r="H708" i="1" s="1"/>
  <c r="E707" i="1" a="1"/>
  <c r="E707" i="1" s="1"/>
  <c r="F707" i="1" a="1"/>
  <c r="F707" i="1" s="1"/>
  <c r="G707" i="1" a="1"/>
  <c r="G707" i="1" s="1"/>
  <c r="H707" i="1" a="1"/>
  <c r="H707" i="1" s="1"/>
  <c r="E698" i="1" a="1"/>
  <c r="E698" i="1" s="1"/>
  <c r="F698" i="1" a="1"/>
  <c r="F698" i="1" s="1"/>
  <c r="G698" i="1" a="1"/>
  <c r="G698" i="1" s="1"/>
  <c r="H698" i="1" a="1"/>
  <c r="H698" i="1" s="1"/>
  <c r="E697" i="1" a="1"/>
  <c r="E697" i="1" s="1"/>
  <c r="F697" i="1" a="1"/>
  <c r="F697" i="1" s="1"/>
  <c r="G697" i="1" a="1"/>
  <c r="G697" i="1" s="1"/>
  <c r="H697" i="1" a="1"/>
  <c r="H697" i="1" s="1"/>
  <c r="E681" i="1" a="1"/>
  <c r="E681" i="1" s="1"/>
  <c r="F681" i="1" a="1"/>
  <c r="F681" i="1" s="1"/>
  <c r="G681" i="1" a="1"/>
  <c r="G681" i="1" s="1"/>
  <c r="H681" i="1" a="1"/>
  <c r="H681" i="1" s="1"/>
  <c r="E680" i="1" a="1"/>
  <c r="E680" i="1" s="1"/>
  <c r="F680" i="1" a="1"/>
  <c r="F680" i="1" s="1"/>
  <c r="G680" i="1" a="1"/>
  <c r="G680" i="1" s="1"/>
  <c r="H680" i="1" a="1"/>
  <c r="H680" i="1" s="1"/>
  <c r="E661" i="1" a="1"/>
  <c r="E661" i="1" s="1"/>
  <c r="F661" i="1" a="1"/>
  <c r="F661" i="1" s="1"/>
  <c r="G661" i="1" a="1"/>
  <c r="G661" i="1" s="1"/>
  <c r="H661" i="1" a="1"/>
  <c r="H661" i="1" s="1"/>
  <c r="E660" i="1" a="1"/>
  <c r="E660" i="1" s="1"/>
  <c r="F660" i="1" a="1"/>
  <c r="F660" i="1" s="1"/>
  <c r="G660" i="1" a="1"/>
  <c r="G660" i="1" s="1"/>
  <c r="H660" i="1" a="1"/>
  <c r="H660" i="1" s="1"/>
  <c r="E648" i="1" a="1"/>
  <c r="E648" i="1" s="1"/>
  <c r="F648" i="1" a="1"/>
  <c r="F648" i="1" s="1"/>
  <c r="G648" i="1" a="1"/>
  <c r="G648" i="1" s="1"/>
  <c r="H648" i="1" a="1"/>
  <c r="H648" i="1" s="1"/>
  <c r="E647" i="1" a="1"/>
  <c r="E647" i="1" s="1"/>
  <c r="F647" i="1" a="1"/>
  <c r="F647" i="1" s="1"/>
  <c r="G647" i="1" a="1"/>
  <c r="G647" i="1" s="1"/>
  <c r="H647" i="1" a="1"/>
  <c r="H647" i="1" s="1"/>
  <c r="E636" i="1" a="1"/>
  <c r="E636" i="1" s="1"/>
  <c r="F636" i="1" a="1"/>
  <c r="F636" i="1" s="1"/>
  <c r="G636" i="1" a="1"/>
  <c r="G636" i="1" s="1"/>
  <c r="H636" i="1" a="1"/>
  <c r="H636" i="1" s="1"/>
  <c r="E635" i="1" a="1"/>
  <c r="E635" i="1" s="1"/>
  <c r="F635" i="1" a="1"/>
  <c r="F635" i="1" s="1"/>
  <c r="G635" i="1" a="1"/>
  <c r="G635" i="1" s="1"/>
  <c r="H635" i="1" a="1"/>
  <c r="H635" i="1" s="1"/>
  <c r="E623" i="1" a="1"/>
  <c r="E623" i="1" s="1"/>
  <c r="F623" i="1" a="1"/>
  <c r="F623" i="1" s="1"/>
  <c r="G623" i="1" a="1"/>
  <c r="G623" i="1" s="1"/>
  <c r="H623" i="1" a="1"/>
  <c r="H623" i="1" s="1"/>
  <c r="E622" i="1" a="1"/>
  <c r="E622" i="1" s="1"/>
  <c r="F622" i="1" a="1"/>
  <c r="F622" i="1" s="1"/>
  <c r="G622" i="1" a="1"/>
  <c r="G622" i="1" s="1"/>
  <c r="H622" i="1" a="1"/>
  <c r="H622" i="1" s="1"/>
  <c r="E613" i="1" a="1"/>
  <c r="E613" i="1" s="1"/>
  <c r="F613" i="1" a="1"/>
  <c r="F613" i="1" s="1"/>
  <c r="G613" i="1" a="1"/>
  <c r="G613" i="1" s="1"/>
  <c r="H613" i="1" a="1"/>
  <c r="H613" i="1" s="1"/>
  <c r="E612" i="1" a="1"/>
  <c r="E612" i="1" s="1"/>
  <c r="F612" i="1" a="1"/>
  <c r="F612" i="1" s="1"/>
  <c r="G612" i="1" a="1"/>
  <c r="G612" i="1" s="1"/>
  <c r="H612" i="1" a="1"/>
  <c r="H612" i="1" s="1"/>
  <c r="E603" i="1" a="1"/>
  <c r="E603" i="1" s="1"/>
  <c r="F603" i="1" a="1"/>
  <c r="F603" i="1" s="1"/>
  <c r="G603" i="1" a="1"/>
  <c r="G603" i="1" s="1"/>
  <c r="H603" i="1" a="1"/>
  <c r="H603" i="1" s="1"/>
  <c r="E602" i="1" a="1"/>
  <c r="E602" i="1" s="1"/>
  <c r="F602" i="1" a="1"/>
  <c r="F602" i="1" s="1"/>
  <c r="G602" i="1" a="1"/>
  <c r="G602" i="1" s="1"/>
  <c r="H602" i="1" a="1"/>
  <c r="H602" i="1" s="1"/>
  <c r="E590" i="1" a="1"/>
  <c r="E590" i="1" s="1"/>
  <c r="F590" i="1" a="1"/>
  <c r="F590" i="1" s="1"/>
  <c r="G590" i="1" a="1"/>
  <c r="G590" i="1" s="1"/>
  <c r="H590" i="1" a="1"/>
  <c r="H590" i="1" s="1"/>
  <c r="E589" i="1" a="1"/>
  <c r="E589" i="1" s="1"/>
  <c r="F589" i="1" a="1"/>
  <c r="F589" i="1" s="1"/>
  <c r="G589" i="1" a="1"/>
  <c r="G589" i="1" s="1"/>
  <c r="H589" i="1" a="1"/>
  <c r="H589" i="1" s="1"/>
  <c r="E580" i="1" a="1"/>
  <c r="E580" i="1" s="1"/>
  <c r="F580" i="1" a="1"/>
  <c r="F580" i="1" s="1"/>
  <c r="G580" i="1" a="1"/>
  <c r="G580" i="1" s="1"/>
  <c r="H580" i="1" a="1"/>
  <c r="H580" i="1" s="1"/>
  <c r="E579" i="1" a="1"/>
  <c r="E579" i="1" s="1"/>
  <c r="F579" i="1" a="1"/>
  <c r="F579" i="1" s="1"/>
  <c r="G579" i="1" a="1"/>
  <c r="G579" i="1" s="1"/>
  <c r="H579" i="1" a="1"/>
  <c r="H579" i="1" s="1"/>
  <c r="E567" i="1" a="1"/>
  <c r="E567" i="1" s="1"/>
  <c r="F567" i="1" a="1"/>
  <c r="F567" i="1" s="1"/>
  <c r="G567" i="1" a="1"/>
  <c r="G567" i="1" s="1"/>
  <c r="H567" i="1" a="1"/>
  <c r="H567" i="1" s="1"/>
  <c r="E566" i="1" a="1"/>
  <c r="E566" i="1" s="1"/>
  <c r="F566" i="1" a="1"/>
  <c r="F566" i="1" s="1"/>
  <c r="G566" i="1" a="1"/>
  <c r="G566" i="1" s="1"/>
  <c r="H566" i="1" a="1"/>
  <c r="H566" i="1" s="1"/>
  <c r="E554" i="1" a="1"/>
  <c r="E554" i="1" s="1"/>
  <c r="F554" i="1" a="1"/>
  <c r="F554" i="1" s="1"/>
  <c r="G554" i="1" a="1"/>
  <c r="G554" i="1" s="1"/>
  <c r="H554" i="1" a="1"/>
  <c r="H554" i="1" s="1"/>
  <c r="E553" i="1" a="1"/>
  <c r="E553" i="1" s="1"/>
  <c r="F553" i="1" a="1"/>
  <c r="F553" i="1" s="1"/>
  <c r="G553" i="1" a="1"/>
  <c r="G553" i="1" s="1"/>
  <c r="H553" i="1" a="1"/>
  <c r="H553" i="1" s="1"/>
  <c r="E538" i="1" a="1"/>
  <c r="E538" i="1" s="1"/>
  <c r="F538" i="1" a="1"/>
  <c r="F538" i="1" s="1"/>
  <c r="G538" i="1" a="1"/>
  <c r="G538" i="1" s="1"/>
  <c r="H538" i="1" a="1"/>
  <c r="H538" i="1" s="1"/>
  <c r="E537" i="1" a="1"/>
  <c r="E537" i="1" s="1"/>
  <c r="F537" i="1" a="1"/>
  <c r="F537" i="1" s="1"/>
  <c r="G537" i="1" a="1"/>
  <c r="G537" i="1" s="1"/>
  <c r="H537" i="1" a="1"/>
  <c r="H537" i="1" s="1"/>
  <c r="E522" i="1" a="1"/>
  <c r="E522" i="1" s="1"/>
  <c r="F522" i="1" a="1"/>
  <c r="F522" i="1" s="1"/>
  <c r="G522" i="1" a="1"/>
  <c r="G522" i="1" s="1"/>
  <c r="H522" i="1" a="1"/>
  <c r="H522" i="1" s="1"/>
  <c r="E521" i="1" a="1"/>
  <c r="E521" i="1" s="1"/>
  <c r="F521" i="1" a="1"/>
  <c r="F521" i="1" s="1"/>
  <c r="G521" i="1" a="1"/>
  <c r="G521" i="1" s="1"/>
  <c r="H521" i="1" a="1"/>
  <c r="H521" i="1" s="1"/>
  <c r="E510" i="1" a="1"/>
  <c r="E510" i="1" s="1"/>
  <c r="F510" i="1" a="1"/>
  <c r="F510" i="1" s="1"/>
  <c r="G510" i="1" a="1"/>
  <c r="G510" i="1" s="1"/>
  <c r="H510" i="1" a="1"/>
  <c r="H510" i="1" s="1"/>
  <c r="E509" i="1" a="1"/>
  <c r="E509" i="1" s="1"/>
  <c r="F509" i="1" a="1"/>
  <c r="F509" i="1" s="1"/>
  <c r="G509" i="1" a="1"/>
  <c r="G509" i="1" s="1"/>
  <c r="H509" i="1" a="1"/>
  <c r="H509" i="1" s="1"/>
  <c r="E500" i="1" a="1"/>
  <c r="E500" i="1" s="1"/>
  <c r="F500" i="1" a="1"/>
  <c r="F500" i="1" s="1"/>
  <c r="G500" i="1" a="1"/>
  <c r="G500" i="1" s="1"/>
  <c r="H500" i="1" a="1"/>
  <c r="H500" i="1" s="1"/>
  <c r="E499" i="1" a="1"/>
  <c r="E499" i="1" s="1"/>
  <c r="F499" i="1" a="1"/>
  <c r="F499" i="1" s="1"/>
  <c r="G499" i="1" a="1"/>
  <c r="G499" i="1" s="1"/>
  <c r="H499" i="1" a="1"/>
  <c r="H499" i="1" s="1"/>
  <c r="E486" i="1" a="1"/>
  <c r="E486" i="1" s="1"/>
  <c r="F486" i="1" a="1"/>
  <c r="F486" i="1" s="1"/>
  <c r="G486" i="1" a="1"/>
  <c r="G486" i="1" s="1"/>
  <c r="H486" i="1" a="1"/>
  <c r="H486" i="1" s="1"/>
  <c r="E485" i="1" a="1"/>
  <c r="E485" i="1" s="1"/>
  <c r="F485" i="1" a="1"/>
  <c r="F485" i="1" s="1"/>
  <c r="G485" i="1" a="1"/>
  <c r="G485" i="1" s="1"/>
  <c r="H485" i="1" a="1"/>
  <c r="H485" i="1" s="1"/>
  <c r="E470" i="1" a="1"/>
  <c r="E470" i="1" s="1"/>
  <c r="F470" i="1" a="1"/>
  <c r="F470" i="1" s="1"/>
  <c r="G470" i="1" a="1"/>
  <c r="G470" i="1" s="1"/>
  <c r="H470" i="1" a="1"/>
  <c r="H470" i="1" s="1"/>
  <c r="E469" i="1" a="1"/>
  <c r="E469" i="1" s="1"/>
  <c r="F469" i="1" a="1"/>
  <c r="F469" i="1" s="1"/>
  <c r="G469" i="1" a="1"/>
  <c r="G469" i="1" s="1"/>
  <c r="H469" i="1" a="1"/>
  <c r="H469" i="1" s="1"/>
  <c r="E462" i="1" a="1"/>
  <c r="E462" i="1" s="1"/>
  <c r="F462" i="1" a="1"/>
  <c r="F462" i="1" s="1"/>
  <c r="G462" i="1" a="1"/>
  <c r="G462" i="1" s="1"/>
  <c r="H462" i="1" a="1"/>
  <c r="H462" i="1" s="1"/>
  <c r="E460" i="1" a="1"/>
  <c r="E460" i="1" s="1"/>
  <c r="F460" i="1" a="1"/>
  <c r="F460" i="1" s="1"/>
  <c r="G460" i="1" a="1"/>
  <c r="G460" i="1" s="1"/>
  <c r="H460" i="1" a="1"/>
  <c r="H460" i="1" s="1"/>
  <c r="E461" i="1" a="1"/>
  <c r="E461" i="1" s="1"/>
  <c r="F461" i="1" a="1"/>
  <c r="F461" i="1" s="1"/>
  <c r="G461" i="1" a="1"/>
  <c r="G461" i="1" s="1"/>
  <c r="H461" i="1" a="1"/>
  <c r="H461" i="1" s="1"/>
  <c r="E455" i="1" a="1"/>
  <c r="E455" i="1" s="1"/>
  <c r="F455" i="1" a="1"/>
  <c r="F455" i="1" s="1"/>
  <c r="G455" i="1" a="1"/>
  <c r="G455" i="1" s="1"/>
  <c r="H455" i="1" a="1"/>
  <c r="H455" i="1" s="1"/>
  <c r="E454" i="1" a="1"/>
  <c r="E454" i="1" s="1"/>
  <c r="F454" i="1" a="1"/>
  <c r="F454" i="1" s="1"/>
  <c r="G454" i="1" a="1"/>
  <c r="G454" i="1" s="1"/>
  <c r="H454" i="1" a="1"/>
  <c r="H454" i="1" s="1"/>
  <c r="E442" i="1" a="1"/>
  <c r="E442" i="1" s="1"/>
  <c r="F442" i="1" a="1"/>
  <c r="F442" i="1" s="1"/>
  <c r="G442" i="1" a="1"/>
  <c r="G442" i="1" s="1"/>
  <c r="H442" i="1" a="1"/>
  <c r="H442" i="1" s="1"/>
  <c r="E441" i="1" a="1"/>
  <c r="E441" i="1" s="1"/>
  <c r="F441" i="1" a="1"/>
  <c r="F441" i="1" s="1"/>
  <c r="G441" i="1" a="1"/>
  <c r="G441" i="1" s="1"/>
  <c r="H441" i="1" a="1"/>
  <c r="H441" i="1" s="1"/>
  <c r="E429" i="1" a="1"/>
  <c r="E429" i="1" s="1"/>
  <c r="F429" i="1" a="1"/>
  <c r="F429" i="1" s="1"/>
  <c r="G429" i="1" a="1"/>
  <c r="G429" i="1" s="1"/>
  <c r="H429" i="1" a="1"/>
  <c r="H429" i="1" s="1"/>
  <c r="E428" i="1" a="1"/>
  <c r="E428" i="1" s="1"/>
  <c r="F428" i="1" a="1"/>
  <c r="F428" i="1" s="1"/>
  <c r="G428" i="1" a="1"/>
  <c r="G428" i="1" s="1"/>
  <c r="H428" i="1" a="1"/>
  <c r="H428" i="1" s="1"/>
  <c r="E417" i="1" a="1"/>
  <c r="E417" i="1" s="1"/>
  <c r="F417" i="1" a="1"/>
  <c r="F417" i="1" s="1"/>
  <c r="G417" i="1" a="1"/>
  <c r="G417" i="1" s="1"/>
  <c r="H417" i="1" a="1"/>
  <c r="H417" i="1" s="1"/>
  <c r="E416" i="1" a="1"/>
  <c r="E416" i="1" s="1"/>
  <c r="F416" i="1" a="1"/>
  <c r="F416" i="1" s="1"/>
  <c r="G416" i="1" a="1"/>
  <c r="G416" i="1" s="1"/>
  <c r="H416" i="1" a="1"/>
  <c r="H416" i="1" s="1"/>
  <c r="E404" i="1" a="1"/>
  <c r="E404" i="1" s="1"/>
  <c r="F404" i="1" a="1"/>
  <c r="F404" i="1" s="1"/>
  <c r="G404" i="1" a="1"/>
  <c r="G404" i="1" s="1"/>
  <c r="H404" i="1" a="1"/>
  <c r="H404" i="1" s="1"/>
  <c r="E403" i="1" a="1"/>
  <c r="E403" i="1" s="1"/>
  <c r="F403" i="1" a="1"/>
  <c r="F403" i="1" s="1"/>
  <c r="G403" i="1" a="1"/>
  <c r="G403" i="1" s="1"/>
  <c r="H403" i="1" a="1"/>
  <c r="H403" i="1" s="1"/>
  <c r="E392" i="1" a="1"/>
  <c r="E392" i="1" s="1"/>
  <c r="F392" i="1" a="1"/>
  <c r="F392" i="1" s="1"/>
  <c r="G392" i="1" a="1"/>
  <c r="G392" i="1" s="1"/>
  <c r="H392" i="1" a="1"/>
  <c r="H392" i="1" s="1"/>
  <c r="E391" i="1" a="1"/>
  <c r="E391" i="1" s="1"/>
  <c r="F391" i="1" a="1"/>
  <c r="F391" i="1" s="1"/>
  <c r="G391" i="1" a="1"/>
  <c r="G391" i="1" s="1"/>
  <c r="H391" i="1" a="1"/>
  <c r="H391" i="1" s="1"/>
  <c r="E380" i="1" a="1"/>
  <c r="E380" i="1" s="1"/>
  <c r="F380" i="1" a="1"/>
  <c r="F380" i="1" s="1"/>
  <c r="G380" i="1" a="1"/>
  <c r="G380" i="1" s="1"/>
  <c r="H380" i="1" a="1"/>
  <c r="H380" i="1" s="1"/>
  <c r="E379" i="1" a="1"/>
  <c r="E379" i="1" s="1"/>
  <c r="F379" i="1" a="1"/>
  <c r="F379" i="1" s="1"/>
  <c r="G379" i="1" a="1"/>
  <c r="G379" i="1" s="1"/>
  <c r="H379" i="1" a="1"/>
  <c r="H379" i="1" s="1"/>
  <c r="E368" i="1" a="1"/>
  <c r="E368" i="1" s="1"/>
  <c r="F368" i="1" a="1"/>
  <c r="F368" i="1" s="1"/>
  <c r="G368" i="1" a="1"/>
  <c r="G368" i="1" s="1"/>
  <c r="H368" i="1" a="1"/>
  <c r="H368" i="1" s="1"/>
  <c r="E367" i="1" a="1"/>
  <c r="E367" i="1" s="1"/>
  <c r="F367" i="1" a="1"/>
  <c r="F367" i="1" s="1"/>
  <c r="G367" i="1" a="1"/>
  <c r="G367" i="1" s="1"/>
  <c r="H367" i="1" a="1"/>
  <c r="H367" i="1" s="1"/>
  <c r="E355" i="1" a="1"/>
  <c r="E355" i="1" s="1"/>
  <c r="F355" i="1" a="1"/>
  <c r="F355" i="1" s="1"/>
  <c r="G355" i="1" a="1"/>
  <c r="G355" i="1" s="1"/>
  <c r="H355" i="1" a="1"/>
  <c r="H355" i="1" s="1"/>
  <c r="E354" i="1" a="1"/>
  <c r="E354" i="1" s="1"/>
  <c r="F354" i="1" a="1"/>
  <c r="F354" i="1" s="1"/>
  <c r="G354" i="1" a="1"/>
  <c r="G354" i="1" s="1"/>
  <c r="H354" i="1" a="1"/>
  <c r="H354" i="1" s="1"/>
  <c r="E343" i="1" a="1"/>
  <c r="E343" i="1" s="1"/>
  <c r="F343" i="1" a="1"/>
  <c r="F343" i="1" s="1"/>
  <c r="G343" i="1" a="1"/>
  <c r="G343" i="1" s="1"/>
  <c r="H343" i="1" a="1"/>
  <c r="H343" i="1" s="1"/>
  <c r="E342" i="1" a="1"/>
  <c r="E342" i="1" s="1"/>
  <c r="F342" i="1" a="1"/>
  <c r="F342" i="1" s="1"/>
  <c r="G342" i="1" a="1"/>
  <c r="G342" i="1" s="1"/>
  <c r="H342" i="1" a="1"/>
  <c r="H342" i="1" s="1"/>
  <c r="E330" i="1" a="1"/>
  <c r="E330" i="1" s="1"/>
  <c r="F330" i="1" a="1"/>
  <c r="F330" i="1" s="1"/>
  <c r="G330" i="1" a="1"/>
  <c r="G330" i="1" s="1"/>
  <c r="H330" i="1" a="1"/>
  <c r="H330" i="1" s="1"/>
  <c r="E329" i="1" a="1"/>
  <c r="E329" i="1" s="1"/>
  <c r="F329" i="1" a="1"/>
  <c r="F329" i="1" s="1"/>
  <c r="G329" i="1" a="1"/>
  <c r="G329" i="1" s="1"/>
  <c r="H329" i="1" a="1"/>
  <c r="H329" i="1" s="1"/>
  <c r="E317" i="1" a="1"/>
  <c r="E317" i="1" s="1"/>
  <c r="F317" i="1" a="1"/>
  <c r="F317" i="1" s="1"/>
  <c r="G317" i="1" a="1"/>
  <c r="G317" i="1" s="1"/>
  <c r="H317" i="1" a="1"/>
  <c r="H317" i="1" s="1"/>
  <c r="E316" i="1" a="1"/>
  <c r="E316" i="1" s="1"/>
  <c r="F316" i="1" a="1"/>
  <c r="F316" i="1" s="1"/>
  <c r="G316" i="1" a="1"/>
  <c r="G316" i="1" s="1"/>
  <c r="H316" i="1" a="1"/>
  <c r="H316" i="1" s="1"/>
  <c r="E304" i="1" a="1"/>
  <c r="E304" i="1" s="1"/>
  <c r="F304" i="1" a="1"/>
  <c r="F304" i="1" s="1"/>
  <c r="G304" i="1" a="1"/>
  <c r="G304" i="1" s="1"/>
  <c r="H304" i="1" a="1"/>
  <c r="H304" i="1" s="1"/>
  <c r="E303" i="1" a="1"/>
  <c r="E303" i="1" s="1"/>
  <c r="F303" i="1" a="1"/>
  <c r="F303" i="1" s="1"/>
  <c r="G303" i="1" a="1"/>
  <c r="G303" i="1" s="1"/>
  <c r="H303" i="1" a="1"/>
  <c r="H303" i="1" s="1"/>
  <c r="E295" i="1" a="1"/>
  <c r="E295" i="1" s="1"/>
  <c r="F295" i="1" a="1"/>
  <c r="F295" i="1" s="1"/>
  <c r="G295" i="1" a="1"/>
  <c r="G295" i="1" s="1"/>
  <c r="H295" i="1" a="1"/>
  <c r="H295" i="1" s="1"/>
  <c r="E294" i="1" a="1"/>
  <c r="E294" i="1" s="1"/>
  <c r="F294" i="1" a="1"/>
  <c r="F294" i="1" s="1"/>
  <c r="G294" i="1" a="1"/>
  <c r="G294" i="1" s="1"/>
  <c r="H294" i="1" a="1"/>
  <c r="H294" i="1" s="1"/>
  <c r="E281" i="1" a="1"/>
  <c r="E281" i="1" s="1"/>
  <c r="F281" i="1" a="1"/>
  <c r="F281" i="1" s="1"/>
  <c r="G281" i="1" a="1"/>
  <c r="G281" i="1" s="1"/>
  <c r="H281" i="1" a="1"/>
  <c r="H281" i="1" s="1"/>
  <c r="E280" i="1" a="1"/>
  <c r="E280" i="1" s="1"/>
  <c r="F280" i="1" a="1"/>
  <c r="F280" i="1" s="1"/>
  <c r="G280" i="1" a="1"/>
  <c r="G280" i="1" s="1"/>
  <c r="H280" i="1" a="1"/>
  <c r="H280" i="1" s="1"/>
  <c r="E267" i="1" a="1"/>
  <c r="E267" i="1" s="1"/>
  <c r="F267" i="1" a="1"/>
  <c r="F267" i="1" s="1"/>
  <c r="G267" i="1" a="1"/>
  <c r="G267" i="1" s="1"/>
  <c r="H267" i="1" a="1"/>
  <c r="H267" i="1" s="1"/>
  <c r="E266" i="1" a="1"/>
  <c r="E266" i="1" s="1"/>
  <c r="F266" i="1" a="1"/>
  <c r="F266" i="1" s="1"/>
  <c r="G266" i="1" a="1"/>
  <c r="G266" i="1" s="1"/>
  <c r="H266" i="1" a="1"/>
  <c r="H266" i="1" s="1"/>
  <c r="E252" i="1" a="1"/>
  <c r="E252" i="1" s="1"/>
  <c r="F252" i="1" a="1"/>
  <c r="F252" i="1" s="1"/>
  <c r="G252" i="1" a="1"/>
  <c r="G252" i="1" s="1"/>
  <c r="H252" i="1" a="1"/>
  <c r="H252" i="1" s="1"/>
  <c r="E251" i="1" a="1"/>
  <c r="E251" i="1" s="1"/>
  <c r="F251" i="1" a="1"/>
  <c r="F251" i="1" s="1"/>
  <c r="G251" i="1" a="1"/>
  <c r="G251" i="1" s="1"/>
  <c r="H251" i="1" a="1"/>
  <c r="H251" i="1" s="1"/>
  <c r="E239" i="1" a="1"/>
  <c r="E239" i="1" s="1"/>
  <c r="F239" i="1" a="1"/>
  <c r="F239" i="1" s="1"/>
  <c r="G239" i="1" a="1"/>
  <c r="G239" i="1" s="1"/>
  <c r="H239" i="1" a="1"/>
  <c r="H239" i="1" s="1"/>
  <c r="E238" i="1" a="1"/>
  <c r="E238" i="1" s="1"/>
  <c r="F238" i="1" a="1"/>
  <c r="F238" i="1" s="1"/>
  <c r="G238" i="1" a="1"/>
  <c r="G238" i="1" s="1"/>
  <c r="H238" i="1" a="1"/>
  <c r="H238" i="1" s="1"/>
  <c r="E225" i="1" a="1"/>
  <c r="E225" i="1" s="1"/>
  <c r="F225" i="1" a="1"/>
  <c r="F225" i="1" s="1"/>
  <c r="G225" i="1" a="1"/>
  <c r="G225" i="1" s="1"/>
  <c r="H225" i="1" a="1"/>
  <c r="H225" i="1" s="1"/>
  <c r="E224" i="1" a="1"/>
  <c r="E224" i="1" s="1"/>
  <c r="F224" i="1" a="1"/>
  <c r="F224" i="1" s="1"/>
  <c r="G224" i="1" a="1"/>
  <c r="G224" i="1" s="1"/>
  <c r="H224" i="1" a="1"/>
  <c r="H224" i="1" s="1"/>
  <c r="E209" i="1" a="1"/>
  <c r="E209" i="1" s="1"/>
  <c r="F209" i="1" a="1"/>
  <c r="F209" i="1" s="1"/>
  <c r="G209" i="1" a="1"/>
  <c r="G209" i="1" s="1"/>
  <c r="H209" i="1" a="1"/>
  <c r="H209" i="1" s="1"/>
  <c r="E197" i="1" a="1"/>
  <c r="E197" i="1" s="1"/>
  <c r="F197" i="1" a="1"/>
  <c r="F197" i="1" s="1"/>
  <c r="G197" i="1" a="1"/>
  <c r="G197" i="1" s="1"/>
  <c r="H197" i="1" a="1"/>
  <c r="H197" i="1" s="1"/>
  <c r="E208" i="1" a="1"/>
  <c r="E208" i="1" s="1"/>
  <c r="F208" i="1" a="1"/>
  <c r="F208" i="1" s="1"/>
  <c r="G208" i="1" a="1"/>
  <c r="G208" i="1" s="1"/>
  <c r="H208" i="1" a="1"/>
  <c r="H208" i="1" s="1"/>
  <c r="E196" i="1" a="1"/>
  <c r="E196" i="1" s="1"/>
  <c r="F196" i="1" a="1"/>
  <c r="F196" i="1" s="1"/>
  <c r="G196" i="1" a="1"/>
  <c r="G196" i="1" s="1"/>
  <c r="H196" i="1" a="1"/>
  <c r="H196" i="1" s="1"/>
  <c r="E184" i="1" a="1"/>
  <c r="E184" i="1" s="1"/>
  <c r="F184" i="1" a="1"/>
  <c r="F184" i="1" s="1"/>
  <c r="G184" i="1" a="1"/>
  <c r="G184" i="1" s="1"/>
  <c r="H184" i="1" a="1"/>
  <c r="H184" i="1" s="1"/>
  <c r="E183" i="1" a="1"/>
  <c r="E183" i="1" s="1"/>
  <c r="F183" i="1" a="1"/>
  <c r="F183" i="1" s="1"/>
  <c r="G183" i="1" a="1"/>
  <c r="G183" i="1" s="1"/>
  <c r="H183" i="1" a="1"/>
  <c r="H183" i="1" s="1"/>
  <c r="E157" i="1" a="1"/>
  <c r="E157" i="1" s="1"/>
  <c r="F157" i="1" a="1"/>
  <c r="F157" i="1" s="1"/>
  <c r="G157" i="1" a="1"/>
  <c r="G157" i="1" s="1"/>
  <c r="H157" i="1" a="1"/>
  <c r="H157" i="1" s="1"/>
  <c r="E156" i="1" a="1"/>
  <c r="E156" i="1" s="1"/>
  <c r="F156" i="1" a="1"/>
  <c r="F156" i="1" s="1"/>
  <c r="G156" i="1" a="1"/>
  <c r="G156" i="1" s="1"/>
  <c r="H156" i="1" a="1"/>
  <c r="H156" i="1" s="1"/>
  <c r="E174" i="1" a="1"/>
  <c r="E174" i="1" s="1"/>
  <c r="F174" i="1" a="1"/>
  <c r="F174" i="1" s="1"/>
  <c r="G174" i="1" a="1"/>
  <c r="G174" i="1" s="1"/>
  <c r="H174" i="1" a="1"/>
  <c r="H174" i="1" s="1"/>
  <c r="E173" i="1" a="1"/>
  <c r="E173" i="1" s="1"/>
  <c r="F173" i="1" a="1"/>
  <c r="F173" i="1" s="1"/>
  <c r="G173" i="1" a="1"/>
  <c r="G173" i="1" s="1"/>
  <c r="H173" i="1" a="1"/>
  <c r="H173" i="1" s="1"/>
  <c r="E141" i="1" a="1"/>
  <c r="E141" i="1" s="1"/>
  <c r="F141" i="1" a="1"/>
  <c r="F141" i="1" s="1"/>
  <c r="G141" i="1" a="1"/>
  <c r="G141" i="1" s="1"/>
  <c r="H141" i="1" a="1"/>
  <c r="H141" i="1" s="1"/>
  <c r="E140" i="1" a="1"/>
  <c r="E140" i="1" s="1"/>
  <c r="F140" i="1" a="1"/>
  <c r="F140" i="1" s="1"/>
  <c r="G140" i="1" a="1"/>
  <c r="G140" i="1" s="1"/>
  <c r="H140" i="1" a="1"/>
  <c r="H140" i="1" s="1"/>
  <c r="E129" i="1" a="1"/>
  <c r="E129" i="1" s="1"/>
  <c r="F129" i="1" a="1"/>
  <c r="F129" i="1" s="1"/>
  <c r="G129" i="1" a="1"/>
  <c r="G129" i="1" s="1"/>
  <c r="H129" i="1" a="1"/>
  <c r="H129" i="1" s="1"/>
  <c r="E128" i="1" a="1"/>
  <c r="E128" i="1" s="1"/>
  <c r="F128" i="1" a="1"/>
  <c r="F128" i="1" s="1"/>
  <c r="G128" i="1" a="1"/>
  <c r="G128" i="1" s="1"/>
  <c r="H128" i="1" a="1"/>
  <c r="H128" i="1" s="1"/>
  <c r="E115" i="1" a="1"/>
  <c r="E115" i="1" s="1"/>
  <c r="F115" i="1" a="1"/>
  <c r="F115" i="1" s="1"/>
  <c r="G115" i="1" a="1"/>
  <c r="G115" i="1" s="1"/>
  <c r="H115" i="1" a="1"/>
  <c r="H115" i="1" s="1"/>
  <c r="E114" i="1" a="1"/>
  <c r="E114" i="1" s="1"/>
  <c r="F114" i="1" a="1"/>
  <c r="F114" i="1" s="1"/>
  <c r="G114" i="1" a="1"/>
  <c r="G114" i="1" s="1"/>
  <c r="H114" i="1" a="1"/>
  <c r="H114" i="1" s="1"/>
  <c r="E102" i="1" a="1"/>
  <c r="E102" i="1" s="1"/>
  <c r="F102" i="1" a="1"/>
  <c r="F102" i="1" s="1"/>
  <c r="G102" i="1" a="1"/>
  <c r="G102" i="1" s="1"/>
  <c r="H102" i="1" a="1"/>
  <c r="H102" i="1" s="1"/>
  <c r="E101" i="1" a="1"/>
  <c r="E101" i="1" s="1"/>
  <c r="F101" i="1" a="1"/>
  <c r="F101" i="1" s="1"/>
  <c r="G101" i="1" a="1"/>
  <c r="G101" i="1" s="1"/>
  <c r="H101" i="1" a="1"/>
  <c r="H101" i="1" s="1"/>
  <c r="E87" i="1" a="1"/>
  <c r="E87" i="1" s="1"/>
  <c r="F87" i="1" a="1"/>
  <c r="F87" i="1" s="1"/>
  <c r="G87" i="1" a="1"/>
  <c r="G87" i="1" s="1"/>
  <c r="H87" i="1" a="1"/>
  <c r="H87" i="1" s="1"/>
  <c r="E86" i="1" a="1"/>
  <c r="E86" i="1" s="1"/>
  <c r="F86" i="1" a="1"/>
  <c r="F86" i="1" s="1"/>
  <c r="G86" i="1" a="1"/>
  <c r="G86" i="1" s="1"/>
  <c r="H86" i="1" a="1"/>
  <c r="H86" i="1" s="1"/>
  <c r="E73" i="1" a="1"/>
  <c r="E73" i="1" s="1"/>
  <c r="F73" i="1" a="1"/>
  <c r="F73" i="1" s="1"/>
  <c r="G73" i="1" a="1"/>
  <c r="G73" i="1" s="1"/>
  <c r="H73" i="1" a="1"/>
  <c r="H73" i="1" s="1"/>
  <c r="E74" i="1" a="1"/>
  <c r="E74" i="1" s="1"/>
  <c r="F74" i="1" a="1"/>
  <c r="F74" i="1" s="1"/>
  <c r="G74" i="1" a="1"/>
  <c r="G74" i="1" s="1"/>
  <c r="H74" i="1" a="1"/>
  <c r="H74" i="1" s="1"/>
  <c r="E1518" i="1" a="1"/>
  <c r="E1518" i="1" s="1"/>
  <c r="F1518" i="1" a="1"/>
  <c r="F1518" i="1" s="1"/>
  <c r="G1518" i="1" a="1"/>
  <c r="G1518" i="1" s="1"/>
  <c r="H1518" i="1" a="1"/>
  <c r="H1518" i="1" s="1"/>
  <c r="E1537" i="1" a="1"/>
  <c r="E1537" i="1" s="1"/>
  <c r="F1537" i="1" a="1"/>
  <c r="F1537" i="1" s="1"/>
  <c r="G1537" i="1" a="1"/>
  <c r="G1537" i="1" s="1"/>
  <c r="H1537" i="1" a="1"/>
  <c r="H1537" i="1" s="1"/>
  <c r="AG1" i="22"/>
  <c r="E896" i="1" a="1"/>
  <c r="E896" i="1" s="1"/>
  <c r="F896" i="1" a="1"/>
  <c r="F896" i="1" s="1"/>
  <c r="G896" i="1" a="1"/>
  <c r="G896" i="1" s="1"/>
  <c r="H896" i="1" a="1"/>
  <c r="H896" i="1" s="1"/>
  <c r="E893" i="1" a="1"/>
  <c r="E893" i="1" s="1"/>
  <c r="F893" i="1" a="1"/>
  <c r="F893" i="1" s="1"/>
  <c r="G893" i="1" a="1"/>
  <c r="G893" i="1" s="1"/>
  <c r="H893" i="1" a="1"/>
  <c r="H893" i="1" s="1"/>
  <c r="E835" i="1" a="1"/>
  <c r="E835" i="1" s="1"/>
  <c r="F835" i="1" a="1"/>
  <c r="F835" i="1" s="1"/>
  <c r="G835" i="1" a="1"/>
  <c r="G835" i="1" s="1"/>
  <c r="H835" i="1" a="1"/>
  <c r="H835" i="1" s="1"/>
  <c r="E831" i="1" a="1"/>
  <c r="E831" i="1" s="1"/>
  <c r="F831" i="1" a="1"/>
  <c r="F831" i="1" s="1"/>
  <c r="G831" i="1" a="1"/>
  <c r="G831" i="1" s="1"/>
  <c r="H831" i="1" a="1"/>
  <c r="H831" i="1" s="1"/>
  <c r="E1123" i="1" a="1"/>
  <c r="E1123" i="1" s="1"/>
  <c r="F1123" i="1" a="1"/>
  <c r="F1123" i="1" s="1"/>
  <c r="G1123" i="1" a="1"/>
  <c r="G1123" i="1" s="1"/>
  <c r="H1123" i="1" a="1"/>
  <c r="H1123" i="1" s="1"/>
  <c r="E1120" i="1" a="1"/>
  <c r="E1120" i="1" s="1"/>
  <c r="F1120" i="1" a="1"/>
  <c r="F1120" i="1" s="1"/>
  <c r="G1120" i="1" a="1"/>
  <c r="G1120" i="1" s="1"/>
  <c r="H1120" i="1" a="1"/>
  <c r="H1120" i="1" s="1"/>
  <c r="E1110" i="1" a="1"/>
  <c r="E1110" i="1" s="1"/>
  <c r="F1110" i="1" a="1"/>
  <c r="F1110" i="1" s="1"/>
  <c r="G1110" i="1" a="1"/>
  <c r="G1110" i="1" s="1"/>
  <c r="H1110" i="1" a="1"/>
  <c r="H1110" i="1" s="1"/>
  <c r="E1107" i="1" a="1"/>
  <c r="E1107" i="1" s="1"/>
  <c r="F1107" i="1" a="1"/>
  <c r="F1107" i="1" s="1"/>
  <c r="G1107" i="1" a="1"/>
  <c r="G1107" i="1" s="1"/>
  <c r="H1107" i="1" a="1"/>
  <c r="H1107" i="1" s="1"/>
  <c r="E1052" i="1" a="1"/>
  <c r="E1052" i="1" s="1"/>
  <c r="F1052" i="1" a="1"/>
  <c r="F1052" i="1" s="1"/>
  <c r="G1052" i="1" a="1"/>
  <c r="G1052" i="1" s="1"/>
  <c r="H1052" i="1" a="1"/>
  <c r="H1052" i="1" s="1"/>
  <c r="E1049" i="1" a="1"/>
  <c r="E1049" i="1" s="1"/>
  <c r="F1049" i="1" a="1"/>
  <c r="F1049" i="1" s="1"/>
  <c r="G1049" i="1" a="1"/>
  <c r="G1049" i="1" s="1"/>
  <c r="H1049" i="1" a="1"/>
  <c r="H1049" i="1" s="1"/>
  <c r="E1039" i="1" a="1"/>
  <c r="E1039" i="1" s="1"/>
  <c r="F1039" i="1" a="1"/>
  <c r="F1039" i="1" s="1"/>
  <c r="G1039" i="1" a="1"/>
  <c r="G1039" i="1" s="1"/>
  <c r="H1039" i="1" a="1"/>
  <c r="H1039" i="1" s="1"/>
  <c r="E1036" i="1" a="1"/>
  <c r="E1036" i="1" s="1"/>
  <c r="F1036" i="1" a="1"/>
  <c r="F1036" i="1" s="1"/>
  <c r="G1036" i="1" a="1"/>
  <c r="G1036" i="1" s="1"/>
  <c r="H1036" i="1" a="1"/>
  <c r="H1036" i="1" s="1"/>
  <c r="E982" i="1" a="1"/>
  <c r="E982" i="1" s="1"/>
  <c r="F982" i="1" a="1"/>
  <c r="F982" i="1" s="1"/>
  <c r="G982" i="1" a="1"/>
  <c r="G982" i="1" s="1"/>
  <c r="H982" i="1" a="1"/>
  <c r="H982" i="1" s="1"/>
  <c r="E979" i="1" a="1"/>
  <c r="E979" i="1" s="1"/>
  <c r="F979" i="1" a="1"/>
  <c r="F979" i="1" s="1"/>
  <c r="G979" i="1" a="1"/>
  <c r="G979" i="1" s="1"/>
  <c r="H979" i="1" a="1"/>
  <c r="H979" i="1" s="1"/>
  <c r="E972" i="1" a="1"/>
  <c r="E972" i="1" s="1"/>
  <c r="F972" i="1" a="1"/>
  <c r="F972" i="1" s="1"/>
  <c r="G972" i="1" a="1"/>
  <c r="G972" i="1" s="1"/>
  <c r="H972" i="1" a="1"/>
  <c r="H972" i="1" s="1"/>
  <c r="E968" i="1" a="1"/>
  <c r="E968" i="1" s="1"/>
  <c r="F968" i="1" a="1"/>
  <c r="F968" i="1" s="1"/>
  <c r="G968" i="1" a="1"/>
  <c r="G968" i="1" s="1"/>
  <c r="H968" i="1" a="1"/>
  <c r="H968" i="1" s="1"/>
  <c r="E1347" i="1" a="1"/>
  <c r="E1347" i="1" s="1"/>
  <c r="F1347" i="1" a="1"/>
  <c r="F1347" i="1" s="1"/>
  <c r="G1347" i="1" a="1"/>
  <c r="G1347" i="1" s="1"/>
  <c r="H1347" i="1" a="1"/>
  <c r="H1347" i="1" s="1"/>
  <c r="E1343" i="1" a="1"/>
  <c r="E1343" i="1" s="1"/>
  <c r="F1343" i="1" a="1"/>
  <c r="F1343" i="1" s="1"/>
  <c r="G1343" i="1" a="1"/>
  <c r="G1343" i="1" s="1"/>
  <c r="H1343" i="1" a="1"/>
  <c r="H1343" i="1" s="1"/>
  <c r="E943" i="1" a="1"/>
  <c r="E943" i="1" s="1"/>
  <c r="F943" i="1" a="1"/>
  <c r="F943" i="1" s="1"/>
  <c r="G943" i="1" a="1"/>
  <c r="G943" i="1" s="1"/>
  <c r="H943" i="1" a="1"/>
  <c r="H943" i="1" s="1"/>
  <c r="E939" i="1" a="1"/>
  <c r="E939" i="1" s="1"/>
  <c r="F939" i="1" a="1"/>
  <c r="F939" i="1" s="1"/>
  <c r="G939" i="1" a="1"/>
  <c r="G939" i="1" s="1"/>
  <c r="H939" i="1" a="1"/>
  <c r="H939" i="1" s="1"/>
  <c r="E443" i="1" a="1"/>
  <c r="E443" i="1" s="1"/>
  <c r="F443" i="1" a="1"/>
  <c r="F443" i="1" s="1"/>
  <c r="G443" i="1" a="1"/>
  <c r="G443" i="1" s="1"/>
  <c r="H443" i="1" a="1"/>
  <c r="H443" i="1" s="1"/>
  <c r="E439" i="1" a="1"/>
  <c r="E439" i="1" s="1"/>
  <c r="F439" i="1" a="1"/>
  <c r="F439" i="1" s="1"/>
  <c r="G439" i="1" a="1"/>
  <c r="G439" i="1" s="1"/>
  <c r="H439" i="1" a="1"/>
  <c r="H439" i="1" s="1"/>
  <c r="E142" i="1" a="1"/>
  <c r="E142" i="1" s="1"/>
  <c r="F142" i="1" a="1"/>
  <c r="F142" i="1" s="1"/>
  <c r="G142" i="1" a="1"/>
  <c r="G142" i="1" s="1"/>
  <c r="H142" i="1" a="1"/>
  <c r="H142" i="1" s="1"/>
  <c r="E138" i="1" a="1"/>
  <c r="E138" i="1" s="1"/>
  <c r="F138" i="1" a="1"/>
  <c r="F138" i="1" s="1"/>
  <c r="G138" i="1" a="1"/>
  <c r="G138" i="1" s="1"/>
  <c r="H138" i="1" a="1"/>
  <c r="H138" i="1" s="1"/>
  <c r="E282" i="1" a="1"/>
  <c r="E282" i="1" s="1"/>
  <c r="F282" i="1" a="1"/>
  <c r="F282" i="1" s="1"/>
  <c r="G282" i="1" a="1"/>
  <c r="G282" i="1" s="1"/>
  <c r="H282" i="1" a="1"/>
  <c r="H282" i="1" s="1"/>
  <c r="E279" i="1" a="1"/>
  <c r="E279" i="1" s="1"/>
  <c r="F279" i="1" a="1"/>
  <c r="F279" i="1" s="1"/>
  <c r="G279" i="1" a="1"/>
  <c r="G279" i="1" s="1"/>
  <c r="H279" i="1" a="1"/>
  <c r="H279" i="1" s="1"/>
  <c r="E253" i="1" a="1"/>
  <c r="E253" i="1" s="1"/>
  <c r="F253" i="1" a="1"/>
  <c r="F253" i="1" s="1"/>
  <c r="G253" i="1" a="1"/>
  <c r="G253" i="1" s="1"/>
  <c r="H253" i="1" a="1"/>
  <c r="H253" i="1" s="1"/>
  <c r="E250" i="1" a="1"/>
  <c r="E250" i="1" s="1"/>
  <c r="F250" i="1" a="1"/>
  <c r="F250" i="1" s="1"/>
  <c r="G250" i="1" a="1"/>
  <c r="G250" i="1" s="1"/>
  <c r="H250" i="1" a="1"/>
  <c r="H250" i="1" s="1"/>
  <c r="E240" i="1" a="1"/>
  <c r="E240" i="1" s="1"/>
  <c r="F240" i="1" a="1"/>
  <c r="F240" i="1" s="1"/>
  <c r="G240" i="1" a="1"/>
  <c r="G240" i="1" s="1"/>
  <c r="H240" i="1" a="1"/>
  <c r="H240" i="1" s="1"/>
  <c r="E237" i="1" a="1"/>
  <c r="E237" i="1" s="1"/>
  <c r="F237" i="1" a="1"/>
  <c r="F237" i="1" s="1"/>
  <c r="G237" i="1" a="1"/>
  <c r="G237" i="1" s="1"/>
  <c r="H237" i="1" a="1"/>
  <c r="H237" i="1" s="1"/>
  <c r="E175" i="1" a="1"/>
  <c r="E175" i="1" s="1"/>
  <c r="F175" i="1" a="1"/>
  <c r="F175" i="1" s="1"/>
  <c r="G175" i="1" a="1"/>
  <c r="G175" i="1" s="1"/>
  <c r="H175" i="1" a="1"/>
  <c r="H175" i="1" s="1"/>
  <c r="E171" i="1" a="1"/>
  <c r="E171" i="1" s="1"/>
  <c r="F171" i="1" a="1"/>
  <c r="F171" i="1" s="1"/>
  <c r="G171" i="1" a="1"/>
  <c r="G171" i="1" s="1"/>
  <c r="H171" i="1" a="1"/>
  <c r="H171" i="1" s="1"/>
  <c r="E1494" i="1" a="1"/>
  <c r="E1494" i="1" s="1"/>
  <c r="F1494" i="1" a="1"/>
  <c r="F1494" i="1" s="1"/>
  <c r="G1494" i="1" a="1"/>
  <c r="G1494" i="1" s="1"/>
  <c r="H1494" i="1" a="1"/>
  <c r="H1494" i="1" s="1"/>
  <c r="E1490" i="1" a="1"/>
  <c r="E1490" i="1" s="1"/>
  <c r="F1490" i="1" a="1"/>
  <c r="F1490" i="1" s="1"/>
  <c r="G1490" i="1" a="1"/>
  <c r="G1490" i="1" s="1"/>
  <c r="H1490" i="1" a="1"/>
  <c r="H1490" i="1" s="1"/>
  <c r="E1154" i="1" a="1"/>
  <c r="E1154" i="1" s="1"/>
  <c r="F1154" i="1" a="1"/>
  <c r="F1154" i="1" s="1"/>
  <c r="G1154" i="1" a="1"/>
  <c r="G1154" i="1" s="1"/>
  <c r="H1154" i="1" a="1"/>
  <c r="H1154" i="1" s="1"/>
  <c r="E1150" i="1" a="1"/>
  <c r="E1150" i="1" s="1"/>
  <c r="F1150" i="1" a="1"/>
  <c r="F1150" i="1" s="1"/>
  <c r="G1150" i="1" a="1"/>
  <c r="G1150" i="1" s="1"/>
  <c r="H1150" i="1" a="1"/>
  <c r="H1150" i="1" s="1"/>
  <c r="E268" i="1" a="1"/>
  <c r="E268" i="1" s="1"/>
  <c r="F268" i="1" a="1"/>
  <c r="F268" i="1" s="1"/>
  <c r="G268" i="1" a="1"/>
  <c r="G268" i="1" s="1"/>
  <c r="H268" i="1" a="1"/>
  <c r="H268" i="1" s="1"/>
  <c r="E264" i="1" a="1"/>
  <c r="E264" i="1" s="1"/>
  <c r="F264" i="1" a="1"/>
  <c r="F264" i="1" s="1"/>
  <c r="G264" i="1" a="1"/>
  <c r="G264" i="1" s="1"/>
  <c r="H264" i="1" a="1"/>
  <c r="H264" i="1" s="1"/>
  <c r="E405" i="1" a="1"/>
  <c r="E405" i="1" s="1"/>
  <c r="F405" i="1" a="1"/>
  <c r="F405" i="1" s="1"/>
  <c r="G405" i="1" a="1"/>
  <c r="G405" i="1" s="1"/>
  <c r="H405" i="1" a="1"/>
  <c r="H405" i="1" s="1"/>
  <c r="E402" i="1" a="1"/>
  <c r="E402" i="1" s="1"/>
  <c r="F402" i="1" a="1"/>
  <c r="F402" i="1" s="1"/>
  <c r="G402" i="1" a="1"/>
  <c r="G402" i="1" s="1"/>
  <c r="H402" i="1" a="1"/>
  <c r="H402" i="1" s="1"/>
  <c r="E418" i="1" a="1"/>
  <c r="E418" i="1" s="1"/>
  <c r="F418" i="1" a="1"/>
  <c r="F418" i="1" s="1"/>
  <c r="G418" i="1" a="1"/>
  <c r="G418" i="1" s="1"/>
  <c r="H418" i="1" a="1"/>
  <c r="H418" i="1" s="1"/>
  <c r="E415" i="1" a="1"/>
  <c r="E415" i="1" s="1"/>
  <c r="F415" i="1" a="1"/>
  <c r="F415" i="1" s="1"/>
  <c r="G415" i="1" a="1"/>
  <c r="G415" i="1" s="1"/>
  <c r="H415" i="1" a="1"/>
  <c r="H415" i="1" s="1"/>
  <c r="E430" i="1" a="1"/>
  <c r="E430" i="1" s="1"/>
  <c r="F430" i="1" a="1"/>
  <c r="F430" i="1" s="1"/>
  <c r="G430" i="1" a="1"/>
  <c r="G430" i="1" s="1"/>
  <c r="H430" i="1" a="1"/>
  <c r="H430" i="1" s="1"/>
  <c r="E427" i="1" a="1"/>
  <c r="E427" i="1" s="1"/>
  <c r="F427" i="1" a="1"/>
  <c r="F427" i="1" s="1"/>
  <c r="G427" i="1" a="1"/>
  <c r="G427" i="1" s="1"/>
  <c r="H427" i="1" a="1"/>
  <c r="H427" i="1" s="1"/>
  <c r="E393" i="1" a="1"/>
  <c r="E393" i="1" s="1"/>
  <c r="F393" i="1" a="1"/>
  <c r="F393" i="1" s="1"/>
  <c r="G393" i="1" a="1"/>
  <c r="G393" i="1" s="1"/>
  <c r="H393" i="1" a="1"/>
  <c r="H393" i="1" s="1"/>
  <c r="E390" i="1" a="1"/>
  <c r="E390" i="1" s="1"/>
  <c r="F390" i="1" a="1"/>
  <c r="F390" i="1" s="1"/>
  <c r="G390" i="1" a="1"/>
  <c r="G390" i="1" s="1"/>
  <c r="H390" i="1" a="1"/>
  <c r="H390" i="1" s="1"/>
  <c r="E381" i="1" a="1"/>
  <c r="E381" i="1" s="1"/>
  <c r="F381" i="1" a="1"/>
  <c r="F381" i="1" s="1"/>
  <c r="G381" i="1" a="1"/>
  <c r="G381" i="1" s="1"/>
  <c r="H381" i="1" a="1"/>
  <c r="H381" i="1" s="1"/>
  <c r="E378" i="1" a="1"/>
  <c r="E378" i="1" s="1"/>
  <c r="F378" i="1" a="1"/>
  <c r="F378" i="1" s="1"/>
  <c r="G378" i="1" a="1"/>
  <c r="G378" i="1" s="1"/>
  <c r="H378" i="1" a="1"/>
  <c r="H378" i="1" s="1"/>
  <c r="E369" i="1" a="1"/>
  <c r="E369" i="1" s="1"/>
  <c r="F369" i="1" a="1"/>
  <c r="F369" i="1" s="1"/>
  <c r="G369" i="1" a="1"/>
  <c r="G369" i="1" s="1"/>
  <c r="H369" i="1" a="1"/>
  <c r="H369" i="1" s="1"/>
  <c r="E366" i="1" a="1"/>
  <c r="E366" i="1" s="1"/>
  <c r="F366" i="1" a="1"/>
  <c r="F366" i="1" s="1"/>
  <c r="G366" i="1" a="1"/>
  <c r="G366" i="1" s="1"/>
  <c r="H366" i="1" a="1"/>
  <c r="H366" i="1" s="1"/>
  <c r="E356" i="1" a="1"/>
  <c r="E356" i="1" s="1"/>
  <c r="F356" i="1" a="1"/>
  <c r="F356" i="1" s="1"/>
  <c r="G356" i="1" a="1"/>
  <c r="G356" i="1" s="1"/>
  <c r="H356" i="1" a="1"/>
  <c r="H356" i="1" s="1"/>
  <c r="E352" i="1" a="1"/>
  <c r="E352" i="1" s="1"/>
  <c r="F352" i="1" a="1"/>
  <c r="F352" i="1" s="1"/>
  <c r="G352" i="1" a="1"/>
  <c r="G352" i="1" s="1"/>
  <c r="H352" i="1" a="1"/>
  <c r="H352" i="1" s="1"/>
  <c r="E318" i="1" a="1"/>
  <c r="E318" i="1" s="1"/>
  <c r="F318" i="1" a="1"/>
  <c r="F318" i="1" s="1"/>
  <c r="G318" i="1" a="1"/>
  <c r="G318" i="1" s="1"/>
  <c r="H318" i="1" a="1"/>
  <c r="H318" i="1" s="1"/>
  <c r="E315" i="1" a="1"/>
  <c r="E315" i="1" s="1"/>
  <c r="F315" i="1" a="1"/>
  <c r="F315" i="1" s="1"/>
  <c r="G315" i="1" a="1"/>
  <c r="G315" i="1" s="1"/>
  <c r="H315" i="1" a="1"/>
  <c r="H315" i="1" s="1"/>
  <c r="E331" i="1" a="1"/>
  <c r="E331" i="1" s="1"/>
  <c r="F331" i="1" a="1"/>
  <c r="F331" i="1" s="1"/>
  <c r="G331" i="1" a="1"/>
  <c r="G331" i="1" s="1"/>
  <c r="H331" i="1" a="1"/>
  <c r="H331" i="1" s="1"/>
  <c r="E328" i="1" a="1"/>
  <c r="E328" i="1" s="1"/>
  <c r="F328" i="1" a="1"/>
  <c r="F328" i="1" s="1"/>
  <c r="G328" i="1" a="1"/>
  <c r="G328" i="1" s="1"/>
  <c r="H328" i="1" a="1"/>
  <c r="H328" i="1" s="1"/>
  <c r="E344" i="1" a="1"/>
  <c r="E344" i="1" s="1"/>
  <c r="F344" i="1" a="1"/>
  <c r="F344" i="1" s="1"/>
  <c r="G344" i="1" a="1"/>
  <c r="G344" i="1" s="1"/>
  <c r="H344" i="1" a="1"/>
  <c r="H344" i="1" s="1"/>
  <c r="E341" i="1" a="1"/>
  <c r="E341" i="1" s="1"/>
  <c r="F341" i="1" a="1"/>
  <c r="F341" i="1" s="1"/>
  <c r="G341" i="1" a="1"/>
  <c r="G341" i="1" s="1"/>
  <c r="H341" i="1" a="1"/>
  <c r="H341" i="1" s="1"/>
  <c r="E305" i="1" a="1"/>
  <c r="E305" i="1" s="1"/>
  <c r="F305" i="1" a="1"/>
  <c r="F305" i="1" s="1"/>
  <c r="G305" i="1" a="1"/>
  <c r="G305" i="1" s="1"/>
  <c r="H305" i="1" a="1"/>
  <c r="H305" i="1" s="1"/>
  <c r="E302" i="1" a="1"/>
  <c r="E302" i="1" s="1"/>
  <c r="F302" i="1" a="1"/>
  <c r="F302" i="1" s="1"/>
  <c r="G302" i="1" a="1"/>
  <c r="G302" i="1" s="1"/>
  <c r="H302" i="1" a="1"/>
  <c r="H302" i="1" s="1"/>
  <c r="E296" i="1" a="1"/>
  <c r="E296" i="1" s="1"/>
  <c r="F296" i="1" a="1"/>
  <c r="F296" i="1" s="1"/>
  <c r="G296" i="1" a="1"/>
  <c r="G296" i="1" s="1"/>
  <c r="H296" i="1" a="1"/>
  <c r="H296" i="1" s="1"/>
  <c r="E293" i="1" a="1"/>
  <c r="E293" i="1" s="1"/>
  <c r="F293" i="1" a="1"/>
  <c r="F293" i="1" s="1"/>
  <c r="G293" i="1" a="1"/>
  <c r="G293" i="1" s="1"/>
  <c r="H293" i="1" a="1"/>
  <c r="H293" i="1" s="1"/>
  <c r="E649" i="1" a="1"/>
  <c r="E649" i="1" s="1"/>
  <c r="F649" i="1" a="1"/>
  <c r="F649" i="1" s="1"/>
  <c r="G649" i="1" a="1"/>
  <c r="G649" i="1" s="1"/>
  <c r="H649" i="1" a="1"/>
  <c r="H649" i="1" s="1"/>
  <c r="E646" i="1" a="1"/>
  <c r="E646" i="1" s="1"/>
  <c r="F646" i="1" a="1"/>
  <c r="F646" i="1" s="1"/>
  <c r="G646" i="1" a="1"/>
  <c r="G646" i="1" s="1"/>
  <c r="H646" i="1" a="1"/>
  <c r="H646" i="1" s="1"/>
  <c r="E591" i="1" a="1"/>
  <c r="E591" i="1" s="1"/>
  <c r="F591" i="1" a="1"/>
  <c r="F591" i="1" s="1"/>
  <c r="G591" i="1" a="1"/>
  <c r="G591" i="1" s="1"/>
  <c r="H591" i="1" a="1"/>
  <c r="H591" i="1" s="1"/>
  <c r="E588" i="1" a="1"/>
  <c r="E588" i="1" s="1"/>
  <c r="F588" i="1" a="1"/>
  <c r="F588" i="1" s="1"/>
  <c r="G588" i="1" a="1"/>
  <c r="G588" i="1" s="1"/>
  <c r="H588" i="1" a="1"/>
  <c r="H588" i="1" s="1"/>
  <c r="E604" i="1" a="1"/>
  <c r="E604" i="1" s="1"/>
  <c r="F604" i="1" a="1"/>
  <c r="F604" i="1" s="1"/>
  <c r="G604" i="1" a="1"/>
  <c r="G604" i="1" s="1"/>
  <c r="H604" i="1" a="1"/>
  <c r="H604" i="1" s="1"/>
  <c r="E601" i="1" a="1"/>
  <c r="E601" i="1" s="1"/>
  <c r="F601" i="1" a="1"/>
  <c r="F601" i="1" s="1"/>
  <c r="G601" i="1" a="1"/>
  <c r="G601" i="1" s="1"/>
  <c r="H601" i="1" a="1"/>
  <c r="H601" i="1" s="1"/>
  <c r="E539" i="1" a="1"/>
  <c r="E539" i="1" s="1"/>
  <c r="F539" i="1" a="1"/>
  <c r="F539" i="1" s="1"/>
  <c r="G539" i="1" a="1"/>
  <c r="G539" i="1" s="1"/>
  <c r="H539" i="1" a="1"/>
  <c r="H539" i="1" s="1"/>
  <c r="E535" i="1" a="1"/>
  <c r="E535" i="1" s="1"/>
  <c r="F535" i="1" a="1"/>
  <c r="F535" i="1" s="1"/>
  <c r="G535" i="1" a="1"/>
  <c r="G535" i="1" s="1"/>
  <c r="H535" i="1" a="1"/>
  <c r="H535" i="1" s="1"/>
  <c r="E1477" i="1" a="1"/>
  <c r="E1477" i="1" s="1"/>
  <c r="F1477" i="1" a="1"/>
  <c r="F1477" i="1" s="1"/>
  <c r="G1477" i="1" a="1"/>
  <c r="G1477" i="1" s="1"/>
  <c r="H1477" i="1" a="1"/>
  <c r="H1477" i="1" s="1"/>
  <c r="E1473" i="1" a="1"/>
  <c r="E1473" i="1" s="1"/>
  <c r="F1473" i="1" a="1"/>
  <c r="F1473" i="1" s="1"/>
  <c r="G1473" i="1" a="1"/>
  <c r="G1473" i="1" s="1"/>
  <c r="H1473" i="1" a="1"/>
  <c r="H1473" i="1" s="1"/>
  <c r="E1450" i="1" a="1"/>
  <c r="E1450" i="1" s="1"/>
  <c r="F1450" i="1" a="1"/>
  <c r="F1450" i="1" s="1"/>
  <c r="G1450" i="1" a="1"/>
  <c r="G1450" i="1" s="1"/>
  <c r="H1450" i="1" a="1"/>
  <c r="H1450" i="1" s="1"/>
  <c r="E1447" i="1" a="1"/>
  <c r="E1447" i="1" s="1"/>
  <c r="F1447" i="1" a="1"/>
  <c r="F1447" i="1" s="1"/>
  <c r="G1447" i="1" a="1"/>
  <c r="G1447" i="1" s="1"/>
  <c r="H1447" i="1" a="1"/>
  <c r="H1447" i="1" s="1"/>
  <c r="E1438" i="1" a="1"/>
  <c r="E1438" i="1" s="1"/>
  <c r="F1438" i="1" a="1"/>
  <c r="F1438" i="1" s="1"/>
  <c r="G1438" i="1" a="1"/>
  <c r="G1438" i="1" s="1"/>
  <c r="H1438" i="1" a="1"/>
  <c r="H1438" i="1" s="1"/>
  <c r="E1435" i="1" a="1"/>
  <c r="E1435" i="1" s="1"/>
  <c r="F1435" i="1" a="1"/>
  <c r="F1435" i="1" s="1"/>
  <c r="G1435" i="1" a="1"/>
  <c r="G1435" i="1" s="1"/>
  <c r="H1435" i="1" a="1"/>
  <c r="H1435" i="1" s="1"/>
  <c r="E1426" i="1" a="1"/>
  <c r="E1426" i="1" s="1"/>
  <c r="F1426" i="1" a="1"/>
  <c r="F1426" i="1" s="1"/>
  <c r="G1426" i="1" a="1"/>
  <c r="G1426" i="1" s="1"/>
  <c r="H1426" i="1" a="1"/>
  <c r="H1426" i="1" s="1"/>
  <c r="E1423" i="1" a="1"/>
  <c r="E1423" i="1" s="1"/>
  <c r="F1423" i="1" a="1"/>
  <c r="F1423" i="1" s="1"/>
  <c r="G1423" i="1" a="1"/>
  <c r="G1423" i="1" s="1"/>
  <c r="H1423" i="1" a="1"/>
  <c r="H1423" i="1" s="1"/>
  <c r="E1414" i="1" a="1"/>
  <c r="E1414" i="1" s="1"/>
  <c r="F1414" i="1" a="1"/>
  <c r="F1414" i="1" s="1"/>
  <c r="G1414" i="1" a="1"/>
  <c r="G1414" i="1" s="1"/>
  <c r="H1414" i="1" a="1"/>
  <c r="H1414" i="1" s="1"/>
  <c r="E1411" i="1" a="1"/>
  <c r="E1411" i="1" s="1"/>
  <c r="F1411" i="1" a="1"/>
  <c r="F1411" i="1" s="1"/>
  <c r="G1411" i="1" a="1"/>
  <c r="G1411" i="1" s="1"/>
  <c r="H1411" i="1" a="1"/>
  <c r="H1411" i="1" s="1"/>
  <c r="E1402" i="1" a="1"/>
  <c r="E1402" i="1" s="1"/>
  <c r="F1402" i="1" a="1"/>
  <c r="F1402" i="1" s="1"/>
  <c r="G1402" i="1" a="1"/>
  <c r="G1402" i="1" s="1"/>
  <c r="H1402" i="1" a="1"/>
  <c r="H1402" i="1" s="1"/>
  <c r="E1399" i="1" a="1"/>
  <c r="E1399" i="1" s="1"/>
  <c r="F1399" i="1" a="1"/>
  <c r="F1399" i="1" s="1"/>
  <c r="G1399" i="1" a="1"/>
  <c r="G1399" i="1" s="1"/>
  <c r="H1399" i="1" a="1"/>
  <c r="H1399" i="1" s="1"/>
  <c r="E1391" i="1" a="1"/>
  <c r="E1391" i="1" s="1"/>
  <c r="F1391" i="1" a="1"/>
  <c r="F1391" i="1" s="1"/>
  <c r="G1391" i="1" a="1"/>
  <c r="G1391" i="1" s="1"/>
  <c r="H1391" i="1" a="1"/>
  <c r="H1391" i="1" s="1"/>
  <c r="E1387" i="1" a="1"/>
  <c r="E1387" i="1" s="1"/>
  <c r="F1387" i="1" a="1"/>
  <c r="F1387" i="1" s="1"/>
  <c r="G1387" i="1" a="1"/>
  <c r="G1387" i="1" s="1"/>
  <c r="H1387" i="1" a="1"/>
  <c r="H1387" i="1" s="1"/>
  <c r="E1333" i="1" a="1"/>
  <c r="E1333" i="1" s="1"/>
  <c r="F1333" i="1" a="1"/>
  <c r="F1333" i="1" s="1"/>
  <c r="G1333" i="1" a="1"/>
  <c r="G1333" i="1" s="1"/>
  <c r="H1333" i="1" a="1"/>
  <c r="H1333" i="1" s="1"/>
  <c r="E1330" i="1" a="1"/>
  <c r="E1330" i="1" s="1"/>
  <c r="F1330" i="1" a="1"/>
  <c r="F1330" i="1" s="1"/>
  <c r="G1330" i="1" a="1"/>
  <c r="G1330" i="1" s="1"/>
  <c r="H1330" i="1" a="1"/>
  <c r="H1330" i="1" s="1"/>
  <c r="E487" i="1" a="1"/>
  <c r="E487" i="1" s="1"/>
  <c r="F487" i="1" a="1"/>
  <c r="F487" i="1" s="1"/>
  <c r="G487" i="1" a="1"/>
  <c r="G487" i="1" s="1"/>
  <c r="H487" i="1" a="1"/>
  <c r="H487" i="1" s="1"/>
  <c r="E483" i="1" a="1"/>
  <c r="E483" i="1" s="1"/>
  <c r="F483" i="1" a="1"/>
  <c r="F483" i="1" s="1"/>
  <c r="G483" i="1" a="1"/>
  <c r="G483" i="1" s="1"/>
  <c r="H483" i="1" a="1"/>
  <c r="H483" i="1" s="1"/>
  <c r="E1362" i="1" a="1"/>
  <c r="E1362" i="1" s="1"/>
  <c r="F1362" i="1" a="1"/>
  <c r="F1362" i="1" s="1"/>
  <c r="G1362" i="1" a="1"/>
  <c r="G1362" i="1" s="1"/>
  <c r="H1362" i="1" a="1"/>
  <c r="H1362" i="1" s="1"/>
  <c r="E1359" i="1" a="1"/>
  <c r="E1359" i="1" s="1"/>
  <c r="F1359" i="1" a="1"/>
  <c r="F1359" i="1" s="1"/>
  <c r="G1359" i="1" a="1"/>
  <c r="G1359" i="1" s="1"/>
  <c r="H1359" i="1" a="1"/>
  <c r="H1359" i="1" s="1"/>
  <c r="E1376" i="1" a="1"/>
  <c r="E1376" i="1" s="1"/>
  <c r="F1376" i="1" a="1"/>
  <c r="F1376" i="1" s="1"/>
  <c r="G1376" i="1" a="1"/>
  <c r="G1376" i="1" s="1"/>
  <c r="H1376" i="1" a="1"/>
  <c r="H1376" i="1" s="1"/>
  <c r="E1373" i="1" a="1"/>
  <c r="E1373" i="1" s="1"/>
  <c r="F1373" i="1" a="1"/>
  <c r="F1373" i="1" s="1"/>
  <c r="G1373" i="1" a="1"/>
  <c r="G1373" i="1" s="1"/>
  <c r="H1373" i="1" a="1"/>
  <c r="H1373" i="1" s="1"/>
  <c r="E1304" i="1" a="1"/>
  <c r="E1304" i="1" s="1"/>
  <c r="F1304" i="1" a="1"/>
  <c r="F1304" i="1" s="1"/>
  <c r="G1304" i="1" a="1"/>
  <c r="G1304" i="1" s="1"/>
  <c r="H1304" i="1" a="1"/>
  <c r="H1304" i="1" s="1"/>
  <c r="E1300" i="1" a="1"/>
  <c r="E1300" i="1" s="1"/>
  <c r="F1300" i="1" a="1"/>
  <c r="F1300" i="1" s="1"/>
  <c r="G1300" i="1" a="1"/>
  <c r="G1300" i="1" s="1"/>
  <c r="H1300" i="1" a="1"/>
  <c r="H1300" i="1" s="1"/>
  <c r="E1320" i="1" a="1"/>
  <c r="E1320" i="1" s="1"/>
  <c r="F1320" i="1" a="1"/>
  <c r="F1320" i="1" s="1"/>
  <c r="G1320" i="1" a="1"/>
  <c r="G1320" i="1" s="1"/>
  <c r="H1320" i="1" a="1"/>
  <c r="H1320" i="1" s="1"/>
  <c r="E1317" i="1" a="1"/>
  <c r="E1317" i="1" s="1"/>
  <c r="F1317" i="1" a="1"/>
  <c r="F1317" i="1" s="1"/>
  <c r="G1317" i="1" a="1"/>
  <c r="G1317" i="1" s="1"/>
  <c r="H1317" i="1" a="1"/>
  <c r="H1317" i="1" s="1"/>
  <c r="E1288" i="1" a="1"/>
  <c r="E1288" i="1" s="1"/>
  <c r="F1288" i="1" a="1"/>
  <c r="F1288" i="1" s="1"/>
  <c r="G1288" i="1" a="1"/>
  <c r="G1288" i="1" s="1"/>
  <c r="H1288" i="1" a="1"/>
  <c r="H1288" i="1" s="1"/>
  <c r="E1285" i="1" a="1"/>
  <c r="E1285" i="1" s="1"/>
  <c r="F1285" i="1" a="1"/>
  <c r="F1285" i="1" s="1"/>
  <c r="G1285" i="1" a="1"/>
  <c r="G1285" i="1" s="1"/>
  <c r="H1285" i="1" a="1"/>
  <c r="H1285" i="1" s="1"/>
  <c r="E1274" i="1" a="1"/>
  <c r="E1274" i="1" s="1"/>
  <c r="F1274" i="1" a="1"/>
  <c r="F1274" i="1" s="1"/>
  <c r="G1274" i="1" a="1"/>
  <c r="G1274" i="1" s="1"/>
  <c r="H1274" i="1" a="1"/>
  <c r="H1274" i="1" s="1"/>
  <c r="E1271" i="1" a="1"/>
  <c r="E1271" i="1" s="1"/>
  <c r="F1271" i="1" a="1"/>
  <c r="F1271" i="1" s="1"/>
  <c r="G1271" i="1" a="1"/>
  <c r="G1271" i="1" s="1"/>
  <c r="H1271" i="1" a="1"/>
  <c r="H1271" i="1" s="1"/>
  <c r="E1260" i="1" a="1"/>
  <c r="E1260" i="1" s="1"/>
  <c r="F1260" i="1" a="1"/>
  <c r="F1260" i="1" s="1"/>
  <c r="G1260" i="1" a="1"/>
  <c r="G1260" i="1" s="1"/>
  <c r="H1260" i="1" a="1"/>
  <c r="H1260" i="1" s="1"/>
  <c r="E1257" i="1" a="1"/>
  <c r="E1257" i="1" s="1"/>
  <c r="F1257" i="1" a="1"/>
  <c r="F1257" i="1" s="1"/>
  <c r="G1257" i="1" a="1"/>
  <c r="G1257" i="1" s="1"/>
  <c r="H1257" i="1" a="1"/>
  <c r="H1257" i="1" s="1"/>
  <c r="E1246" i="1" a="1"/>
  <c r="E1246" i="1" s="1"/>
  <c r="F1246" i="1" a="1"/>
  <c r="F1246" i="1" s="1"/>
  <c r="G1246" i="1" a="1"/>
  <c r="G1246" i="1" s="1"/>
  <c r="H1246" i="1" a="1"/>
  <c r="H1246" i="1" s="1"/>
  <c r="E1243" i="1" a="1"/>
  <c r="E1243" i="1" s="1"/>
  <c r="F1243" i="1" a="1"/>
  <c r="F1243" i="1" s="1"/>
  <c r="G1243" i="1" a="1"/>
  <c r="G1243" i="1" s="1"/>
  <c r="H1243" i="1" a="1"/>
  <c r="H1243" i="1" s="1"/>
  <c r="E1206" i="1" a="1"/>
  <c r="E1206" i="1" s="1"/>
  <c r="F1206" i="1" a="1"/>
  <c r="F1206" i="1" s="1"/>
  <c r="G1206" i="1" a="1"/>
  <c r="G1206" i="1" s="1"/>
  <c r="H1206" i="1" a="1"/>
  <c r="H1206" i="1" s="1"/>
  <c r="E1203" i="1" a="1"/>
  <c r="E1203" i="1" s="1"/>
  <c r="F1203" i="1" a="1"/>
  <c r="F1203" i="1" s="1"/>
  <c r="G1203" i="1" a="1"/>
  <c r="G1203" i="1" s="1"/>
  <c r="H1203" i="1" a="1"/>
  <c r="H1203" i="1" s="1"/>
  <c r="E210" i="1" a="1"/>
  <c r="E210" i="1" s="1"/>
  <c r="F210" i="1" a="1"/>
  <c r="F210" i="1" s="1"/>
  <c r="G210" i="1" a="1"/>
  <c r="G210" i="1" s="1"/>
  <c r="H210" i="1" a="1"/>
  <c r="H210" i="1" s="1"/>
  <c r="E207" i="1" a="1"/>
  <c r="E207" i="1" s="1"/>
  <c r="F207" i="1" a="1"/>
  <c r="F207" i="1" s="1"/>
  <c r="G207" i="1" a="1"/>
  <c r="G207" i="1" s="1"/>
  <c r="H207" i="1" a="1"/>
  <c r="H207" i="1" s="1"/>
  <c r="E198" i="1" a="1"/>
  <c r="E198" i="1" s="1"/>
  <c r="F198" i="1" a="1"/>
  <c r="F198" i="1" s="1"/>
  <c r="G198" i="1" a="1"/>
  <c r="G198" i="1" s="1"/>
  <c r="H198" i="1" a="1"/>
  <c r="H198" i="1" s="1"/>
  <c r="E195" i="1" a="1"/>
  <c r="E195" i="1" s="1"/>
  <c r="F195" i="1" a="1"/>
  <c r="F195" i="1" s="1"/>
  <c r="G195" i="1" a="1"/>
  <c r="G195" i="1" s="1"/>
  <c r="H195" i="1" a="1"/>
  <c r="H195" i="1" s="1"/>
  <c r="E185" i="1" a="1"/>
  <c r="E185" i="1" s="1"/>
  <c r="F185" i="1" a="1"/>
  <c r="F185" i="1" s="1"/>
  <c r="G185" i="1" a="1"/>
  <c r="G185" i="1" s="1"/>
  <c r="H185" i="1" a="1"/>
  <c r="H185" i="1" s="1"/>
  <c r="E182" i="1" a="1"/>
  <c r="E182" i="1" s="1"/>
  <c r="F182" i="1" a="1"/>
  <c r="F182" i="1" s="1"/>
  <c r="G182" i="1" a="1"/>
  <c r="G182" i="1" s="1"/>
  <c r="H182" i="1" a="1"/>
  <c r="H182" i="1" s="1"/>
  <c r="E158" i="1" a="1"/>
  <c r="E158" i="1" s="1"/>
  <c r="F158" i="1" a="1"/>
  <c r="F158" i="1" s="1"/>
  <c r="G158" i="1" a="1"/>
  <c r="G158" i="1" s="1"/>
  <c r="H158" i="1" a="1"/>
  <c r="H158" i="1" s="1"/>
  <c r="E154" i="1" a="1"/>
  <c r="E154" i="1" s="1"/>
  <c r="F154" i="1" a="1"/>
  <c r="F154" i="1" s="1"/>
  <c r="G154" i="1" a="1"/>
  <c r="G154" i="1" s="1"/>
  <c r="H154" i="1" a="1"/>
  <c r="H154" i="1" s="1"/>
  <c r="E130" i="1" a="1"/>
  <c r="E130" i="1" s="1"/>
  <c r="F130" i="1" a="1"/>
  <c r="F130" i="1" s="1"/>
  <c r="G130" i="1" a="1"/>
  <c r="G130" i="1" s="1"/>
  <c r="H130" i="1" a="1"/>
  <c r="H130" i="1" s="1"/>
  <c r="E127" i="1" a="1"/>
  <c r="E127" i="1" s="1"/>
  <c r="F127" i="1" a="1"/>
  <c r="F127" i="1" s="1"/>
  <c r="G127" i="1" a="1"/>
  <c r="G127" i="1" s="1"/>
  <c r="H127" i="1" a="1"/>
  <c r="H127" i="1" s="1"/>
  <c r="E471" i="1" a="1"/>
  <c r="E471" i="1" s="1"/>
  <c r="F471" i="1" a="1"/>
  <c r="F471" i="1" s="1"/>
  <c r="G471" i="1" a="1"/>
  <c r="G471" i="1" s="1"/>
  <c r="H471" i="1" a="1"/>
  <c r="H471" i="1" s="1"/>
  <c r="E468" i="1" a="1"/>
  <c r="E468" i="1" s="1"/>
  <c r="F468" i="1" a="1"/>
  <c r="F468" i="1" s="1"/>
  <c r="G468" i="1" a="1"/>
  <c r="G468" i="1" s="1"/>
  <c r="H468" i="1" a="1"/>
  <c r="H468" i="1" s="1"/>
  <c r="E456" i="1" a="1"/>
  <c r="E456" i="1" s="1"/>
  <c r="F456" i="1" a="1"/>
  <c r="F456" i="1" s="1"/>
  <c r="G456" i="1" a="1"/>
  <c r="G456" i="1" s="1"/>
  <c r="H456" i="1" a="1"/>
  <c r="H456" i="1" s="1"/>
  <c r="E452" i="1" a="1"/>
  <c r="E452" i="1" s="1"/>
  <c r="F452" i="1" a="1"/>
  <c r="F452" i="1" s="1"/>
  <c r="G452" i="1" a="1"/>
  <c r="G452" i="1" s="1"/>
  <c r="H452" i="1" a="1"/>
  <c r="H452" i="1" s="1"/>
  <c r="E1026" i="1" a="1"/>
  <c r="E1026" i="1" s="1"/>
  <c r="F1026" i="1" a="1"/>
  <c r="F1026" i="1" s="1"/>
  <c r="G1026" i="1" a="1"/>
  <c r="G1026" i="1" s="1"/>
  <c r="H1026" i="1" a="1"/>
  <c r="H1026" i="1" s="1"/>
  <c r="E1023" i="1" a="1"/>
  <c r="E1023" i="1" s="1"/>
  <c r="F1023" i="1" a="1"/>
  <c r="F1023" i="1" s="1"/>
  <c r="G1023" i="1" a="1"/>
  <c r="G1023" i="1" s="1"/>
  <c r="H1023" i="1" a="1"/>
  <c r="H1023" i="1" s="1"/>
  <c r="E1012" i="1" a="1"/>
  <c r="E1012" i="1" s="1"/>
  <c r="F1012" i="1" a="1"/>
  <c r="F1012" i="1" s="1"/>
  <c r="G1012" i="1" a="1"/>
  <c r="G1012" i="1" s="1"/>
  <c r="H1012" i="1" a="1"/>
  <c r="H1012" i="1" s="1"/>
  <c r="E1008" i="1" a="1"/>
  <c r="E1008" i="1" s="1"/>
  <c r="F1008" i="1" a="1"/>
  <c r="F1008" i="1" s="1"/>
  <c r="G1008" i="1" a="1"/>
  <c r="G1008" i="1" s="1"/>
  <c r="H1008" i="1" a="1"/>
  <c r="H1008" i="1" s="1"/>
  <c r="E957" i="1" a="1"/>
  <c r="E957" i="1" s="1"/>
  <c r="F957" i="1" a="1"/>
  <c r="F957" i="1" s="1"/>
  <c r="G957" i="1" a="1"/>
  <c r="G957" i="1" s="1"/>
  <c r="H957" i="1" a="1"/>
  <c r="H957" i="1" s="1"/>
  <c r="E954" i="1" a="1"/>
  <c r="E954" i="1" s="1"/>
  <c r="F954" i="1" a="1"/>
  <c r="F954" i="1" s="1"/>
  <c r="G954" i="1" a="1"/>
  <c r="G954" i="1" s="1"/>
  <c r="H954" i="1" a="1"/>
  <c r="H954" i="1" s="1"/>
  <c r="E226" i="1" a="1"/>
  <c r="E226" i="1" s="1"/>
  <c r="F226" i="1" a="1"/>
  <c r="F226" i="1" s="1"/>
  <c r="G226" i="1" a="1"/>
  <c r="G226" i="1" s="1"/>
  <c r="H226" i="1" a="1"/>
  <c r="H226" i="1" s="1"/>
  <c r="E222" i="1" a="1"/>
  <c r="E222" i="1" s="1"/>
  <c r="F222" i="1" a="1"/>
  <c r="F222" i="1" s="1"/>
  <c r="G222" i="1" a="1"/>
  <c r="G222" i="1" s="1"/>
  <c r="H222" i="1" a="1"/>
  <c r="H222" i="1" s="1"/>
  <c r="E789" i="1" a="1"/>
  <c r="E789" i="1" s="1"/>
  <c r="F789" i="1" a="1"/>
  <c r="F789" i="1" s="1"/>
  <c r="G789" i="1" a="1"/>
  <c r="G789" i="1" s="1"/>
  <c r="H789" i="1" a="1"/>
  <c r="H789" i="1" s="1"/>
  <c r="E785" i="1" a="1"/>
  <c r="E785" i="1" s="1"/>
  <c r="F785" i="1" a="1"/>
  <c r="F785" i="1" s="1"/>
  <c r="G785" i="1" a="1"/>
  <c r="G785" i="1" s="1"/>
  <c r="H785" i="1" a="1"/>
  <c r="H785" i="1" s="1"/>
  <c r="E883" i="1" a="1"/>
  <c r="E883" i="1" s="1"/>
  <c r="F883" i="1" a="1"/>
  <c r="F883" i="1" s="1"/>
  <c r="G883" i="1" a="1"/>
  <c r="G883" i="1" s="1"/>
  <c r="H883" i="1" a="1"/>
  <c r="H883" i="1" s="1"/>
  <c r="E880" i="1" a="1"/>
  <c r="E880" i="1" s="1"/>
  <c r="F880" i="1" a="1"/>
  <c r="F880" i="1" s="1"/>
  <c r="G880" i="1" a="1"/>
  <c r="G880" i="1" s="1"/>
  <c r="H880" i="1" a="1"/>
  <c r="H880" i="1" s="1"/>
  <c r="E820" i="1" a="1"/>
  <c r="E820" i="1" s="1"/>
  <c r="F820" i="1" a="1"/>
  <c r="F820" i="1" s="1"/>
  <c r="G820" i="1" a="1"/>
  <c r="G820" i="1" s="1"/>
  <c r="H820" i="1" a="1"/>
  <c r="H820" i="1" s="1"/>
  <c r="E817" i="1" a="1"/>
  <c r="E817" i="1" s="1"/>
  <c r="F817" i="1" a="1"/>
  <c r="F817" i="1" s="1"/>
  <c r="G817" i="1" a="1"/>
  <c r="G817" i="1" s="1"/>
  <c r="H817" i="1" a="1"/>
  <c r="H817" i="1" s="1"/>
  <c r="E770" i="1" a="1"/>
  <c r="E770" i="1" s="1"/>
  <c r="F770" i="1" a="1"/>
  <c r="F770" i="1" s="1"/>
  <c r="G770" i="1" a="1"/>
  <c r="G770" i="1" s="1"/>
  <c r="H770" i="1" a="1"/>
  <c r="H770" i="1" s="1"/>
  <c r="E767" i="1" a="1"/>
  <c r="E767" i="1" s="1"/>
  <c r="F767" i="1" a="1"/>
  <c r="F767" i="1" s="1"/>
  <c r="G767" i="1" a="1"/>
  <c r="G767" i="1" s="1"/>
  <c r="H767" i="1" a="1"/>
  <c r="H767" i="1" s="1"/>
  <c r="E739" i="1" a="1"/>
  <c r="E739" i="1" s="1"/>
  <c r="F739" i="1" a="1"/>
  <c r="F739" i="1" s="1"/>
  <c r="G739" i="1" a="1"/>
  <c r="G739" i="1" s="1"/>
  <c r="H739" i="1" a="1"/>
  <c r="H739" i="1" s="1"/>
  <c r="E736" i="1" a="1"/>
  <c r="E736" i="1" s="1"/>
  <c r="F736" i="1" a="1"/>
  <c r="F736" i="1" s="1"/>
  <c r="G736" i="1" a="1"/>
  <c r="G736" i="1" s="1"/>
  <c r="H736" i="1" a="1"/>
  <c r="H736" i="1" s="1"/>
  <c r="E699" i="1" a="1"/>
  <c r="E699" i="1" s="1"/>
  <c r="F699" i="1" a="1"/>
  <c r="F699" i="1" s="1"/>
  <c r="G699" i="1" a="1"/>
  <c r="G699" i="1" s="1"/>
  <c r="H699" i="1" a="1"/>
  <c r="H699" i="1" s="1"/>
  <c r="E695" i="1" a="1"/>
  <c r="E695" i="1" s="1"/>
  <c r="F695" i="1" a="1"/>
  <c r="F695" i="1" s="1"/>
  <c r="G695" i="1" a="1"/>
  <c r="G695" i="1" s="1"/>
  <c r="H695" i="1" a="1"/>
  <c r="H695" i="1" s="1"/>
  <c r="E637" i="1" a="1"/>
  <c r="E637" i="1" s="1"/>
  <c r="F637" i="1" a="1"/>
  <c r="F637" i="1" s="1"/>
  <c r="G637" i="1" a="1"/>
  <c r="G637" i="1" s="1"/>
  <c r="H637" i="1" a="1"/>
  <c r="H637" i="1" s="1"/>
  <c r="E634" i="1" a="1"/>
  <c r="E634" i="1" s="1"/>
  <c r="F634" i="1" a="1"/>
  <c r="F634" i="1" s="1"/>
  <c r="G634" i="1" a="1"/>
  <c r="G634" i="1" s="1"/>
  <c r="H634" i="1" a="1"/>
  <c r="H634" i="1" s="1"/>
  <c r="E581" i="1" a="1"/>
  <c r="E581" i="1" s="1"/>
  <c r="F581" i="1" a="1"/>
  <c r="F581" i="1" s="1"/>
  <c r="G581" i="1" a="1"/>
  <c r="G581" i="1" s="1"/>
  <c r="H581" i="1" a="1"/>
  <c r="H581" i="1" s="1"/>
  <c r="E578" i="1" a="1"/>
  <c r="E578" i="1" s="1"/>
  <c r="F578" i="1" a="1"/>
  <c r="F578" i="1" s="1"/>
  <c r="G578" i="1" a="1"/>
  <c r="G578" i="1" s="1"/>
  <c r="H578" i="1" a="1"/>
  <c r="H578" i="1" s="1"/>
  <c r="E523" i="1" a="1"/>
  <c r="E523" i="1" s="1"/>
  <c r="F523" i="1" a="1"/>
  <c r="F523" i="1" s="1"/>
  <c r="G523" i="1" a="1"/>
  <c r="G523" i="1" s="1"/>
  <c r="H523" i="1" a="1"/>
  <c r="H523" i="1" s="1"/>
  <c r="E519" i="1" a="1"/>
  <c r="E519" i="1" s="1"/>
  <c r="F519" i="1" a="1"/>
  <c r="F519" i="1" s="1"/>
  <c r="G519" i="1" a="1"/>
  <c r="G519" i="1" s="1"/>
  <c r="H519" i="1" a="1"/>
  <c r="H519" i="1" s="1"/>
  <c r="E1465" i="1" a="1"/>
  <c r="E1465" i="1" s="1"/>
  <c r="F1465" i="1" a="1"/>
  <c r="F1465" i="1" s="1"/>
  <c r="G1465" i="1" a="1"/>
  <c r="G1465" i="1" s="1"/>
  <c r="H1465" i="1" a="1"/>
  <c r="H1465" i="1" s="1"/>
  <c r="E1461" i="1" a="1"/>
  <c r="E1461" i="1" s="1"/>
  <c r="F1461" i="1" a="1"/>
  <c r="F1461" i="1" s="1"/>
  <c r="G1461" i="1" a="1"/>
  <c r="G1461" i="1" s="1"/>
  <c r="H1461" i="1" a="1"/>
  <c r="H1461" i="1" s="1"/>
  <c r="E1167" i="1" a="1"/>
  <c r="E1167" i="1" s="1"/>
  <c r="F1167" i="1" a="1"/>
  <c r="F1167" i="1" s="1"/>
  <c r="G1167" i="1" a="1"/>
  <c r="G1167" i="1" s="1"/>
  <c r="H1167" i="1" a="1"/>
  <c r="H1167" i="1" s="1"/>
  <c r="E1163" i="1" a="1"/>
  <c r="E1163" i="1" s="1"/>
  <c r="F1163" i="1" a="1"/>
  <c r="F1163" i="1" s="1"/>
  <c r="G1163" i="1" a="1"/>
  <c r="G1163" i="1" s="1"/>
  <c r="H1163" i="1" a="1"/>
  <c r="H1163" i="1" s="1"/>
  <c r="E724" i="1" a="1"/>
  <c r="E724" i="1" s="1"/>
  <c r="F724" i="1" a="1"/>
  <c r="F724" i="1" s="1"/>
  <c r="G724" i="1" a="1"/>
  <c r="G724" i="1" s="1"/>
  <c r="H724" i="1" a="1"/>
  <c r="H724" i="1" s="1"/>
  <c r="E720" i="1" a="1"/>
  <c r="E720" i="1" s="1"/>
  <c r="F720" i="1" a="1"/>
  <c r="F720" i="1" s="1"/>
  <c r="G720" i="1" a="1"/>
  <c r="G720" i="1" s="1"/>
  <c r="H720" i="1" a="1"/>
  <c r="H720" i="1" s="1"/>
  <c r="E1232" i="1" a="1"/>
  <c r="E1232" i="1" s="1"/>
  <c r="F1232" i="1" a="1"/>
  <c r="F1232" i="1" s="1"/>
  <c r="G1232" i="1" a="1"/>
  <c r="G1232" i="1" s="1"/>
  <c r="H1232" i="1" a="1"/>
  <c r="H1232" i="1" s="1"/>
  <c r="E1228" i="1" a="1"/>
  <c r="E1228" i="1" s="1"/>
  <c r="F1228" i="1" a="1"/>
  <c r="F1228" i="1" s="1"/>
  <c r="G1228" i="1" a="1"/>
  <c r="G1228" i="1" s="1"/>
  <c r="H1228" i="1" a="1"/>
  <c r="H1228" i="1" s="1"/>
  <c r="E1193" i="1" a="1"/>
  <c r="E1193" i="1" s="1"/>
  <c r="F1193" i="1" a="1"/>
  <c r="F1193" i="1" s="1"/>
  <c r="G1193" i="1" a="1"/>
  <c r="G1193" i="1" s="1"/>
  <c r="H1193" i="1" a="1"/>
  <c r="H1193" i="1" s="1"/>
  <c r="E1190" i="1" a="1"/>
  <c r="E1190" i="1" s="1"/>
  <c r="F1190" i="1" a="1"/>
  <c r="F1190" i="1" s="1"/>
  <c r="G1190" i="1" a="1"/>
  <c r="G1190" i="1" s="1"/>
  <c r="H1190" i="1" a="1"/>
  <c r="H1190" i="1" s="1"/>
  <c r="E1181" i="1" a="1"/>
  <c r="E1181" i="1" s="1"/>
  <c r="F1181" i="1" a="1"/>
  <c r="F1181" i="1" s="1"/>
  <c r="G1181" i="1" a="1"/>
  <c r="G1181" i="1" s="1"/>
  <c r="H1181" i="1" a="1"/>
  <c r="H1181" i="1" s="1"/>
  <c r="E1178" i="1" a="1"/>
  <c r="E1178" i="1" s="1"/>
  <c r="F1178" i="1" a="1"/>
  <c r="F1178" i="1" s="1"/>
  <c r="G1178" i="1" a="1"/>
  <c r="G1178" i="1" s="1"/>
  <c r="H1178" i="1" a="1"/>
  <c r="H1178" i="1" s="1"/>
  <c r="E568" i="1" a="1"/>
  <c r="E568" i="1" s="1"/>
  <c r="F568" i="1" a="1"/>
  <c r="F568" i="1" s="1"/>
  <c r="G568" i="1" a="1"/>
  <c r="G568" i="1" s="1"/>
  <c r="H568" i="1" a="1"/>
  <c r="H568" i="1" s="1"/>
  <c r="E564" i="1" a="1"/>
  <c r="E564" i="1" s="1"/>
  <c r="F564" i="1" a="1"/>
  <c r="F564" i="1" s="1"/>
  <c r="G564" i="1" a="1"/>
  <c r="G564" i="1" s="1"/>
  <c r="H564" i="1" a="1"/>
  <c r="H564" i="1" s="1"/>
  <c r="E103" i="1" a="1"/>
  <c r="E103" i="1" s="1"/>
  <c r="F103" i="1" a="1"/>
  <c r="F103" i="1" s="1"/>
  <c r="G103" i="1" a="1"/>
  <c r="G103" i="1" s="1"/>
  <c r="H103" i="1" a="1"/>
  <c r="H103" i="1" s="1"/>
  <c r="E99" i="1" a="1"/>
  <c r="E99" i="1" s="1"/>
  <c r="F99" i="1" a="1"/>
  <c r="F99" i="1" s="1"/>
  <c r="G99" i="1" a="1"/>
  <c r="G99" i="1" s="1"/>
  <c r="H99" i="1" a="1"/>
  <c r="H99" i="1" s="1"/>
  <c r="E116" i="1" a="1"/>
  <c r="E116" i="1" s="1"/>
  <c r="F116" i="1" a="1"/>
  <c r="F116" i="1" s="1"/>
  <c r="G116" i="1" a="1"/>
  <c r="G116" i="1" s="1"/>
  <c r="H116" i="1" a="1"/>
  <c r="H116" i="1" s="1"/>
  <c r="E113" i="1" a="1"/>
  <c r="E113" i="1" s="1"/>
  <c r="F113" i="1" a="1"/>
  <c r="F113" i="1" s="1"/>
  <c r="G113" i="1" a="1"/>
  <c r="G113" i="1" s="1"/>
  <c r="H113" i="1" a="1"/>
  <c r="H113" i="1" s="1"/>
  <c r="E1217" i="1" a="1"/>
  <c r="E1217" i="1" s="1"/>
  <c r="F1217" i="1" a="1"/>
  <c r="F1217" i="1" s="1"/>
  <c r="G1217" i="1" a="1"/>
  <c r="G1217" i="1" s="1"/>
  <c r="H1217" i="1" a="1"/>
  <c r="H1217" i="1" s="1"/>
  <c r="E1213" i="1" a="1"/>
  <c r="E1213" i="1" s="1"/>
  <c r="F1213" i="1" a="1"/>
  <c r="F1213" i="1" s="1"/>
  <c r="G1213" i="1" a="1"/>
  <c r="G1213" i="1" s="1"/>
  <c r="H1213" i="1" a="1"/>
  <c r="H1213" i="1" s="1"/>
  <c r="E997" i="1" a="1"/>
  <c r="E997" i="1" s="1"/>
  <c r="F997" i="1" a="1"/>
  <c r="F997" i="1" s="1"/>
  <c r="G997" i="1" a="1"/>
  <c r="G997" i="1" s="1"/>
  <c r="H997" i="1" a="1"/>
  <c r="H997" i="1" s="1"/>
  <c r="E993" i="1" a="1"/>
  <c r="E993" i="1" s="1"/>
  <c r="F993" i="1" a="1"/>
  <c r="F993" i="1" s="1"/>
  <c r="G993" i="1" a="1"/>
  <c r="G993" i="1" s="1"/>
  <c r="H993" i="1" a="1"/>
  <c r="H993" i="1" s="1"/>
  <c r="E869" i="1" a="1"/>
  <c r="E869" i="1" s="1"/>
  <c r="F869" i="1" a="1"/>
  <c r="F869" i="1" s="1"/>
  <c r="G869" i="1" a="1"/>
  <c r="G869" i="1" s="1"/>
  <c r="H869" i="1" a="1"/>
  <c r="H869" i="1" s="1"/>
  <c r="E865" i="1" a="1"/>
  <c r="E865" i="1" s="1"/>
  <c r="F865" i="1" a="1"/>
  <c r="F865" i="1" s="1"/>
  <c r="G865" i="1" a="1"/>
  <c r="G865" i="1" s="1"/>
  <c r="H865" i="1" a="1"/>
  <c r="H865" i="1" s="1"/>
  <c r="E805" i="1" a="1"/>
  <c r="E805" i="1" s="1"/>
  <c r="F805" i="1" a="1"/>
  <c r="F805" i="1" s="1"/>
  <c r="G805" i="1" a="1"/>
  <c r="G805" i="1" s="1"/>
  <c r="H805" i="1" a="1"/>
  <c r="H805" i="1" s="1"/>
  <c r="E801" i="1" a="1"/>
  <c r="E801" i="1" s="1"/>
  <c r="F801" i="1" a="1"/>
  <c r="F801" i="1" s="1"/>
  <c r="G801" i="1" a="1"/>
  <c r="G801" i="1" s="1"/>
  <c r="H801" i="1" a="1"/>
  <c r="H801" i="1" s="1"/>
  <c r="E1097" i="1" a="1"/>
  <c r="E1097" i="1" s="1"/>
  <c r="F1097" i="1" a="1"/>
  <c r="F1097" i="1" s="1"/>
  <c r="G1097" i="1" a="1"/>
  <c r="G1097" i="1" s="1"/>
  <c r="H1097" i="1" a="1"/>
  <c r="H1097" i="1" s="1"/>
  <c r="E1094" i="1" a="1"/>
  <c r="E1094" i="1" s="1"/>
  <c r="F1094" i="1" a="1"/>
  <c r="F1094" i="1" s="1"/>
  <c r="G1094" i="1" a="1"/>
  <c r="G1094" i="1" s="1"/>
  <c r="H1094" i="1" a="1"/>
  <c r="H1094" i="1" s="1"/>
  <c r="E1084" i="1" a="1"/>
  <c r="E1084" i="1" s="1"/>
  <c r="F1084" i="1" a="1"/>
  <c r="F1084" i="1" s="1"/>
  <c r="G1084" i="1" a="1"/>
  <c r="G1084" i="1" s="1"/>
  <c r="H1084" i="1" a="1"/>
  <c r="H1084" i="1" s="1"/>
  <c r="E1080" i="1" a="1"/>
  <c r="E1080" i="1" s="1"/>
  <c r="F1080" i="1" a="1"/>
  <c r="F1080" i="1" s="1"/>
  <c r="G1080" i="1" a="1"/>
  <c r="G1080" i="1" s="1"/>
  <c r="H1080" i="1" a="1"/>
  <c r="H1080" i="1" s="1"/>
  <c r="E927" i="1" a="1"/>
  <c r="E927" i="1" s="1"/>
  <c r="F927" i="1" a="1"/>
  <c r="F927" i="1" s="1"/>
  <c r="G927" i="1" a="1"/>
  <c r="G927" i="1" s="1"/>
  <c r="H927" i="1" a="1"/>
  <c r="H927" i="1" s="1"/>
  <c r="E923" i="1" a="1"/>
  <c r="E923" i="1" s="1"/>
  <c r="F923" i="1" a="1"/>
  <c r="F923" i="1" s="1"/>
  <c r="G923" i="1" a="1"/>
  <c r="G923" i="1" s="1"/>
  <c r="H923" i="1" a="1"/>
  <c r="H923" i="1" s="1"/>
  <c r="E88" i="1" a="1"/>
  <c r="E88" i="1" s="1"/>
  <c r="F88" i="1" a="1"/>
  <c r="F88" i="1" s="1"/>
  <c r="G88" i="1" a="1"/>
  <c r="G88" i="1" s="1"/>
  <c r="H88" i="1" a="1"/>
  <c r="H88" i="1" s="1"/>
  <c r="E85" i="1" a="1"/>
  <c r="E85" i="1" s="1"/>
  <c r="F85" i="1" a="1"/>
  <c r="F85" i="1" s="1"/>
  <c r="G85" i="1" a="1"/>
  <c r="G85" i="1" s="1"/>
  <c r="H85" i="1" a="1"/>
  <c r="H85" i="1" s="1"/>
  <c r="E75" i="1" a="1"/>
  <c r="E75" i="1" s="1"/>
  <c r="F75" i="1" a="1"/>
  <c r="F75" i="1" s="1"/>
  <c r="G75" i="1" a="1"/>
  <c r="G75" i="1" s="1"/>
  <c r="H75" i="1" a="1"/>
  <c r="H75" i="1" s="1"/>
  <c r="E71" i="1" a="1"/>
  <c r="E71" i="1" s="1"/>
  <c r="F71" i="1" a="1"/>
  <c r="F71" i="1" s="1"/>
  <c r="G71" i="1" a="1"/>
  <c r="G71" i="1" s="1"/>
  <c r="H71" i="1" a="1"/>
  <c r="H71" i="1" s="1"/>
  <c r="E662" i="1" a="1"/>
  <c r="E662" i="1" s="1"/>
  <c r="F662" i="1" a="1"/>
  <c r="F662" i="1" s="1"/>
  <c r="G662" i="1" a="1"/>
  <c r="G662" i="1" s="1"/>
  <c r="H662" i="1" a="1"/>
  <c r="H662" i="1" s="1"/>
  <c r="E659" i="1" a="1"/>
  <c r="E659" i="1" s="1"/>
  <c r="F659" i="1" a="1"/>
  <c r="F659" i="1" s="1"/>
  <c r="G659" i="1" a="1"/>
  <c r="G659" i="1" s="1"/>
  <c r="H659" i="1" a="1"/>
  <c r="H659" i="1" s="1"/>
  <c r="E624" i="1" a="1"/>
  <c r="E624" i="1" s="1"/>
  <c r="F624" i="1" a="1"/>
  <c r="F624" i="1" s="1"/>
  <c r="G624" i="1" a="1"/>
  <c r="G624" i="1" s="1"/>
  <c r="H624" i="1" a="1"/>
  <c r="H624" i="1" s="1"/>
  <c r="E621" i="1" a="1"/>
  <c r="E621" i="1" s="1"/>
  <c r="F621" i="1" a="1"/>
  <c r="F621" i="1" s="1"/>
  <c r="G621" i="1" a="1"/>
  <c r="G621" i="1" s="1"/>
  <c r="H621" i="1" a="1"/>
  <c r="H621" i="1" s="1"/>
  <c r="E614" i="1" a="1"/>
  <c r="E614" i="1" s="1"/>
  <c r="F614" i="1" a="1"/>
  <c r="F614" i="1" s="1"/>
  <c r="G614" i="1" a="1"/>
  <c r="G614" i="1" s="1"/>
  <c r="H614" i="1" a="1"/>
  <c r="H614" i="1" s="1"/>
  <c r="E611" i="1" a="1"/>
  <c r="E611" i="1" s="1"/>
  <c r="F611" i="1" a="1"/>
  <c r="F611" i="1" s="1"/>
  <c r="G611" i="1" a="1"/>
  <c r="G611" i="1" s="1"/>
  <c r="H611" i="1" a="1"/>
  <c r="H611" i="1" s="1"/>
  <c r="E555" i="1" a="1"/>
  <c r="E555" i="1" s="1"/>
  <c r="F555" i="1" a="1"/>
  <c r="F555" i="1" s="1"/>
  <c r="G555" i="1" a="1"/>
  <c r="G555" i="1" s="1"/>
  <c r="H555" i="1" a="1"/>
  <c r="H555" i="1" s="1"/>
  <c r="E551" i="1" a="1"/>
  <c r="E551" i="1" s="1"/>
  <c r="F551" i="1" a="1"/>
  <c r="F551" i="1" s="1"/>
  <c r="G551" i="1" a="1"/>
  <c r="G551" i="1" s="1"/>
  <c r="H551" i="1" a="1"/>
  <c r="H551" i="1" s="1"/>
  <c r="E511" i="1" a="1"/>
  <c r="E511" i="1" s="1"/>
  <c r="F511" i="1" a="1"/>
  <c r="F511" i="1" s="1"/>
  <c r="G511" i="1" a="1"/>
  <c r="G511" i="1" s="1"/>
  <c r="H511" i="1" a="1"/>
  <c r="H511" i="1" s="1"/>
  <c r="E508" i="1" a="1"/>
  <c r="E508" i="1" s="1"/>
  <c r="F508" i="1" a="1"/>
  <c r="F508" i="1" s="1"/>
  <c r="G508" i="1" a="1"/>
  <c r="G508" i="1" s="1"/>
  <c r="H508" i="1" a="1"/>
  <c r="H508" i="1" s="1"/>
  <c r="E501" i="1" a="1"/>
  <c r="E501" i="1" s="1"/>
  <c r="F501" i="1" a="1"/>
  <c r="F501" i="1" s="1"/>
  <c r="G501" i="1" a="1"/>
  <c r="G501" i="1" s="1"/>
  <c r="H501" i="1" a="1"/>
  <c r="H501" i="1" s="1"/>
  <c r="E498" i="1" a="1"/>
  <c r="E498" i="1" s="1"/>
  <c r="F498" i="1" a="1"/>
  <c r="F498" i="1" s="1"/>
  <c r="G498" i="1" a="1"/>
  <c r="G498" i="1" s="1"/>
  <c r="H498" i="1" a="1"/>
  <c r="H498" i="1" s="1"/>
  <c r="E1068" i="1" a="1"/>
  <c r="E1068" i="1" s="1"/>
  <c r="F1068" i="1" a="1"/>
  <c r="F1068" i="1" s="1"/>
  <c r="G1068" i="1" a="1"/>
  <c r="G1068" i="1" s="1"/>
  <c r="H1068" i="1" a="1"/>
  <c r="H1068" i="1" s="1"/>
  <c r="E1064" i="1" a="1"/>
  <c r="E1064" i="1" s="1"/>
  <c r="F1064" i="1" a="1"/>
  <c r="F1064" i="1" s="1"/>
  <c r="G1064" i="1" a="1"/>
  <c r="G1064" i="1" s="1"/>
  <c r="H1064" i="1" a="1"/>
  <c r="H1064" i="1" s="1"/>
  <c r="E756" i="1" a="1"/>
  <c r="E756" i="1" s="1"/>
  <c r="F756" i="1" a="1"/>
  <c r="F756" i="1" s="1"/>
  <c r="G756" i="1" a="1"/>
  <c r="G756" i="1" s="1"/>
  <c r="H756" i="1" a="1"/>
  <c r="H756" i="1" s="1"/>
  <c r="E753" i="1" a="1"/>
  <c r="E753" i="1" s="1"/>
  <c r="F753" i="1" a="1"/>
  <c r="F753" i="1" s="1"/>
  <c r="G753" i="1" a="1"/>
  <c r="G753" i="1" s="1"/>
  <c r="H753" i="1" a="1"/>
  <c r="H753" i="1" s="1"/>
  <c r="E709" i="1" a="1"/>
  <c r="E709" i="1" s="1"/>
  <c r="F709" i="1" a="1"/>
  <c r="F709" i="1" s="1"/>
  <c r="G709" i="1" a="1"/>
  <c r="G709" i="1" s="1"/>
  <c r="H709" i="1" a="1"/>
  <c r="H709" i="1" s="1"/>
  <c r="E706" i="1" a="1"/>
  <c r="E706" i="1" s="1"/>
  <c r="F706" i="1" a="1"/>
  <c r="F706" i="1" s="1"/>
  <c r="G706" i="1" a="1"/>
  <c r="G706" i="1" s="1"/>
  <c r="H706" i="1" a="1"/>
  <c r="H706" i="1" s="1"/>
  <c r="E682" i="1" a="1"/>
  <c r="E682" i="1" s="1"/>
  <c r="F682" i="1" a="1"/>
  <c r="F682" i="1" s="1"/>
  <c r="G682" i="1" a="1"/>
  <c r="G682" i="1" s="1"/>
  <c r="H682" i="1" a="1"/>
  <c r="H682" i="1" s="1"/>
  <c r="E678" i="1" a="1"/>
  <c r="E678" i="1" s="1"/>
  <c r="F678" i="1" a="1"/>
  <c r="F678" i="1" s="1"/>
  <c r="G678" i="1" a="1"/>
  <c r="G678" i="1" s="1"/>
  <c r="H678" i="1" a="1"/>
  <c r="H678" i="1" s="1"/>
  <c r="E1138" i="1" a="1"/>
  <c r="E1138" i="1" s="1"/>
  <c r="F1138" i="1" a="1"/>
  <c r="F1138" i="1" s="1"/>
  <c r="G1138" i="1" a="1"/>
  <c r="G1138" i="1" s="1"/>
  <c r="H1138" i="1" a="1"/>
  <c r="H1138" i="1" s="1"/>
  <c r="E1134" i="1" a="1"/>
  <c r="E1134" i="1" s="1"/>
  <c r="F1134" i="1" a="1"/>
  <c r="F1134" i="1" s="1"/>
  <c r="G1134" i="1" a="1"/>
  <c r="G1134" i="1" s="1"/>
  <c r="H1134" i="1" a="1"/>
  <c r="H1134" i="1" s="1"/>
  <c r="E1536" i="1" a="1"/>
  <c r="E1536" i="1" s="1"/>
  <c r="F1536" i="1" a="1"/>
  <c r="F1536" i="1" s="1"/>
  <c r="G1536" i="1" a="1"/>
  <c r="G1536" i="1" s="1"/>
  <c r="H1536" i="1" a="1"/>
  <c r="H1536" i="1" s="1"/>
  <c r="E1516" i="1" a="1"/>
  <c r="E1516" i="1" s="1"/>
  <c r="F1516" i="1" a="1"/>
  <c r="F1516" i="1" s="1"/>
  <c r="G1516" i="1" a="1"/>
  <c r="G1516" i="1" s="1"/>
  <c r="H1516" i="1" a="1"/>
  <c r="H1516" i="1" s="1"/>
  <c r="E852" i="1" a="1"/>
  <c r="E852" i="1" s="1"/>
  <c r="F852" i="1" a="1"/>
  <c r="F852" i="1" s="1"/>
  <c r="G852" i="1" a="1"/>
  <c r="G852" i="1" s="1"/>
  <c r="H852" i="1" a="1"/>
  <c r="H852" i="1" s="1"/>
  <c r="E848" i="1" a="1"/>
  <c r="E848" i="1" s="1"/>
  <c r="F848" i="1" a="1"/>
  <c r="F848" i="1" s="1"/>
  <c r="G848" i="1" a="1"/>
  <c r="G848" i="1" s="1"/>
  <c r="H848" i="1" a="1"/>
  <c r="H848" i="1" s="1"/>
  <c r="E913" i="1" a="1"/>
  <c r="E913" i="1" s="1"/>
  <c r="F913" i="1" a="1"/>
  <c r="F913" i="1" s="1"/>
  <c r="G913" i="1" a="1"/>
  <c r="G913" i="1" s="1"/>
  <c r="H913" i="1" a="1"/>
  <c r="H913" i="1" s="1"/>
  <c r="E910" i="1" a="1"/>
  <c r="E910" i="1" s="1"/>
  <c r="F910" i="1" a="1"/>
  <c r="F910" i="1" s="1"/>
  <c r="G910" i="1" a="1"/>
  <c r="G910" i="1" s="1"/>
  <c r="H910" i="1" a="1"/>
  <c r="H910" i="1" s="1"/>
  <c r="E907" i="1" a="1"/>
  <c r="E907" i="1" s="1"/>
  <c r="F907" i="1" a="1"/>
  <c r="F907" i="1" s="1"/>
  <c r="G907" i="1" a="1"/>
  <c r="G907" i="1" s="1"/>
  <c r="H907" i="1" a="1"/>
  <c r="H907" i="1" s="1"/>
  <c r="E911" i="1" a="1"/>
  <c r="E911" i="1" s="1"/>
  <c r="F911" i="1" a="1"/>
  <c r="F911" i="1" s="1"/>
  <c r="G911" i="1" a="1"/>
  <c r="G911" i="1" s="1"/>
  <c r="H911" i="1" a="1"/>
  <c r="H911" i="1" s="1"/>
  <c r="U3" i="20"/>
  <c r="U4" i="20" s="1"/>
  <c r="E854" i="1" a="1"/>
  <c r="E854" i="1" s="1"/>
  <c r="F854" i="1" a="1"/>
  <c r="F854" i="1" s="1"/>
  <c r="G854" i="1" a="1"/>
  <c r="G854" i="1" s="1"/>
  <c r="H854" i="1" a="1"/>
  <c r="H854" i="1" s="1"/>
  <c r="E929" i="1" a="1"/>
  <c r="E929" i="1" s="1"/>
  <c r="F929" i="1" a="1"/>
  <c r="F929" i="1" s="1"/>
  <c r="G929" i="1" a="1"/>
  <c r="G929" i="1" s="1"/>
  <c r="H929" i="1" a="1"/>
  <c r="H929" i="1" s="1"/>
  <c r="E445" i="1" a="1"/>
  <c r="E445" i="1" s="1"/>
  <c r="F445" i="1" a="1"/>
  <c r="F445" i="1" s="1"/>
  <c r="G445" i="1" a="1"/>
  <c r="G445" i="1" s="1"/>
  <c r="H445" i="1" a="1"/>
  <c r="H445" i="1" s="1"/>
  <c r="E1169" i="1" a="1"/>
  <c r="E1169" i="1" s="1"/>
  <c r="F1169" i="1" a="1"/>
  <c r="F1169" i="1" s="1"/>
  <c r="G1169" i="1" a="1"/>
  <c r="G1169" i="1" s="1"/>
  <c r="H1169" i="1" a="1"/>
  <c r="H1169" i="1" s="1"/>
  <c r="E692" i="1" a="1"/>
  <c r="E692" i="1" s="1"/>
  <c r="F692" i="1" a="1"/>
  <c r="F692" i="1" s="1"/>
  <c r="G692" i="1" a="1"/>
  <c r="G692" i="1" s="1"/>
  <c r="H692" i="1" a="1"/>
  <c r="H692" i="1" s="1"/>
  <c r="E700" i="1" a="1"/>
  <c r="E700" i="1" s="1"/>
  <c r="F700" i="1" a="1"/>
  <c r="F700" i="1" s="1"/>
  <c r="G700" i="1" a="1"/>
  <c r="G700" i="1" s="1"/>
  <c r="H700" i="1" a="1"/>
  <c r="H700" i="1" s="1"/>
  <c r="E782" i="1" a="1"/>
  <c r="E782" i="1" s="1"/>
  <c r="F782" i="1" a="1"/>
  <c r="F782" i="1" s="1"/>
  <c r="G782" i="1" a="1"/>
  <c r="G782" i="1" s="1"/>
  <c r="H782" i="1" a="1"/>
  <c r="H782" i="1" s="1"/>
  <c r="E790" i="1" a="1"/>
  <c r="E790" i="1" s="1"/>
  <c r="F790" i="1" a="1"/>
  <c r="F790" i="1" s="1"/>
  <c r="G790" i="1" a="1"/>
  <c r="G790" i="1" s="1"/>
  <c r="H790" i="1" a="1"/>
  <c r="H790" i="1" s="1"/>
  <c r="E1340" i="1" a="1"/>
  <c r="E1340" i="1" s="1"/>
  <c r="F1340" i="1" a="1"/>
  <c r="F1340" i="1" s="1"/>
  <c r="G1340" i="1" a="1"/>
  <c r="G1340" i="1" s="1"/>
  <c r="H1340" i="1" a="1"/>
  <c r="H1340" i="1" s="1"/>
  <c r="E1348" i="1" a="1"/>
  <c r="E1348" i="1" s="1"/>
  <c r="F1348" i="1" a="1"/>
  <c r="F1348" i="1" s="1"/>
  <c r="G1348" i="1" a="1"/>
  <c r="G1348" i="1" s="1"/>
  <c r="H1348" i="1" a="1"/>
  <c r="H1348" i="1" s="1"/>
  <c r="E1160" i="1" a="1"/>
  <c r="E1160" i="1" s="1"/>
  <c r="F1160" i="1" a="1"/>
  <c r="F1160" i="1" s="1"/>
  <c r="G1160" i="1" a="1"/>
  <c r="G1160" i="1" s="1"/>
  <c r="H1160" i="1" a="1"/>
  <c r="H1160" i="1" s="1"/>
  <c r="E1168" i="1" a="1"/>
  <c r="E1168" i="1" s="1"/>
  <c r="F1168" i="1" a="1"/>
  <c r="F1168" i="1" s="1"/>
  <c r="G1168" i="1" a="1"/>
  <c r="G1168" i="1" s="1"/>
  <c r="H1168" i="1" a="1"/>
  <c r="H1168" i="1" s="1"/>
  <c r="E96" i="1" a="1"/>
  <c r="E96" i="1" s="1"/>
  <c r="F96" i="1" a="1"/>
  <c r="F96" i="1" s="1"/>
  <c r="G96" i="1" a="1"/>
  <c r="G96" i="1" s="1"/>
  <c r="H96" i="1" a="1"/>
  <c r="H96" i="1" s="1"/>
  <c r="E104" i="1" a="1"/>
  <c r="E104" i="1" s="1"/>
  <c r="F104" i="1" a="1"/>
  <c r="F104" i="1" s="1"/>
  <c r="G104" i="1" a="1"/>
  <c r="G104" i="1" s="1"/>
  <c r="H104" i="1" a="1"/>
  <c r="H104" i="1" s="1"/>
  <c r="E449" i="1" a="1"/>
  <c r="E449" i="1" s="1"/>
  <c r="F449" i="1" a="1"/>
  <c r="F449" i="1" s="1"/>
  <c r="G449" i="1" a="1"/>
  <c r="G449" i="1" s="1"/>
  <c r="H449" i="1" a="1"/>
  <c r="H449" i="1" s="1"/>
  <c r="E457" i="1" a="1"/>
  <c r="E457" i="1" s="1"/>
  <c r="F457" i="1" a="1"/>
  <c r="F457" i="1" s="1"/>
  <c r="G457" i="1" a="1"/>
  <c r="G457" i="1" s="1"/>
  <c r="H457" i="1" a="1"/>
  <c r="H457" i="1" s="1"/>
  <c r="E1470" i="1" a="1"/>
  <c r="E1470" i="1" s="1"/>
  <c r="F1470" i="1" a="1"/>
  <c r="F1470" i="1" s="1"/>
  <c r="G1470" i="1" a="1"/>
  <c r="G1470" i="1" s="1"/>
  <c r="H1470" i="1" a="1"/>
  <c r="H1470" i="1" s="1"/>
  <c r="E1478" i="1" a="1"/>
  <c r="E1478" i="1" s="1"/>
  <c r="F1478" i="1" a="1"/>
  <c r="F1478" i="1" s="1"/>
  <c r="G1478" i="1" a="1"/>
  <c r="G1478" i="1" s="1"/>
  <c r="H1478" i="1" a="1"/>
  <c r="H1478" i="1" s="1"/>
  <c r="E1147" i="1" a="1"/>
  <c r="E1147" i="1" s="1"/>
  <c r="F1147" i="1" a="1"/>
  <c r="F1147" i="1" s="1"/>
  <c r="G1147" i="1" a="1"/>
  <c r="G1147" i="1" s="1"/>
  <c r="H1147" i="1" a="1"/>
  <c r="H1147" i="1" s="1"/>
  <c r="E1155" i="1" a="1"/>
  <c r="E1155" i="1" s="1"/>
  <c r="F1155" i="1" a="1"/>
  <c r="F1155" i="1" s="1"/>
  <c r="G1155" i="1" a="1"/>
  <c r="G1155" i="1" s="1"/>
  <c r="H1155" i="1" a="1"/>
  <c r="H1155" i="1" s="1"/>
  <c r="E1458" i="1" a="1"/>
  <c r="E1458" i="1" s="1"/>
  <c r="F1458" i="1" a="1"/>
  <c r="F1458" i="1" s="1"/>
  <c r="G1458" i="1" a="1"/>
  <c r="G1458" i="1" s="1"/>
  <c r="H1458" i="1" a="1"/>
  <c r="H1458" i="1" s="1"/>
  <c r="E1466" i="1" a="1"/>
  <c r="E1466" i="1" s="1"/>
  <c r="F1466" i="1" a="1"/>
  <c r="F1466" i="1" s="1"/>
  <c r="G1466" i="1" a="1"/>
  <c r="G1466" i="1" s="1"/>
  <c r="H1466" i="1" a="1"/>
  <c r="H1466" i="1" s="1"/>
  <c r="E936" i="1" a="1"/>
  <c r="E936" i="1" s="1"/>
  <c r="F936" i="1" a="1"/>
  <c r="F936" i="1" s="1"/>
  <c r="G936" i="1" a="1"/>
  <c r="G936" i="1" s="1"/>
  <c r="H936" i="1" a="1"/>
  <c r="H936" i="1" s="1"/>
  <c r="E944" i="1" a="1"/>
  <c r="E944" i="1" s="1"/>
  <c r="F944" i="1" a="1"/>
  <c r="F944" i="1" s="1"/>
  <c r="G944" i="1" a="1"/>
  <c r="G944" i="1" s="1"/>
  <c r="H944" i="1" a="1"/>
  <c r="H944" i="1" s="1"/>
  <c r="E904" i="1" a="1"/>
  <c r="E904" i="1" s="1"/>
  <c r="F904" i="1" a="1"/>
  <c r="F904" i="1" s="1"/>
  <c r="G904" i="1" a="1"/>
  <c r="G904" i="1" s="1"/>
  <c r="H904" i="1" a="1"/>
  <c r="H904" i="1" s="1"/>
  <c r="E912" i="1" a="1"/>
  <c r="E912" i="1" s="1"/>
  <c r="F912" i="1" a="1"/>
  <c r="F912" i="1" s="1"/>
  <c r="G912" i="1" a="1"/>
  <c r="G912" i="1" s="1"/>
  <c r="H912" i="1" a="1"/>
  <c r="H912" i="1" s="1"/>
  <c r="E68" i="1" a="1"/>
  <c r="E68" i="1" s="1"/>
  <c r="F68" i="1" a="1"/>
  <c r="F68" i="1" s="1"/>
  <c r="G68" i="1" a="1"/>
  <c r="G68" i="1" s="1"/>
  <c r="H68" i="1" a="1"/>
  <c r="H68" i="1" s="1"/>
  <c r="E76" i="1" a="1"/>
  <c r="E76" i="1" s="1"/>
  <c r="F76" i="1" a="1"/>
  <c r="F76" i="1" s="1"/>
  <c r="G76" i="1" a="1"/>
  <c r="G76" i="1" s="1"/>
  <c r="H76" i="1" a="1"/>
  <c r="H76" i="1" s="1"/>
  <c r="E1061" i="1" a="1"/>
  <c r="E1061" i="1" s="1"/>
  <c r="F1061" i="1" a="1"/>
  <c r="F1061" i="1" s="1"/>
  <c r="G1061" i="1" a="1"/>
  <c r="G1061" i="1" s="1"/>
  <c r="H1061" i="1" a="1"/>
  <c r="H1061" i="1" s="1"/>
  <c r="E1069" i="1" a="1"/>
  <c r="E1069" i="1" s="1"/>
  <c r="F1069" i="1" a="1"/>
  <c r="F1069" i="1" s="1"/>
  <c r="G1069" i="1" a="1"/>
  <c r="G1069" i="1" s="1"/>
  <c r="H1069" i="1" a="1"/>
  <c r="H1069" i="1" s="1"/>
  <c r="E1005" i="1" a="1"/>
  <c r="E1005" i="1" s="1"/>
  <c r="F1005" i="1" a="1"/>
  <c r="F1005" i="1" s="1"/>
  <c r="G1005" i="1" a="1"/>
  <c r="G1005" i="1" s="1"/>
  <c r="H1005" i="1" a="1"/>
  <c r="H1005" i="1" s="1"/>
  <c r="E1013" i="1" a="1"/>
  <c r="E1013" i="1" s="1"/>
  <c r="F1013" i="1" a="1"/>
  <c r="F1013" i="1" s="1"/>
  <c r="G1013" i="1" a="1"/>
  <c r="G1013" i="1" s="1"/>
  <c r="H1013" i="1" a="1"/>
  <c r="H1013" i="1" s="1"/>
  <c r="E135" i="1" a="1"/>
  <c r="E135" i="1" s="1"/>
  <c r="F135" i="1" a="1"/>
  <c r="F135" i="1" s="1"/>
  <c r="G135" i="1" a="1"/>
  <c r="G135" i="1" s="1"/>
  <c r="H135" i="1" a="1"/>
  <c r="H135" i="1" s="1"/>
  <c r="E143" i="1" a="1"/>
  <c r="E143" i="1" s="1"/>
  <c r="F143" i="1" a="1"/>
  <c r="F143" i="1" s="1"/>
  <c r="G143" i="1" a="1"/>
  <c r="G143" i="1" s="1"/>
  <c r="H143" i="1" a="1"/>
  <c r="H143" i="1" s="1"/>
  <c r="E798" i="1" a="1"/>
  <c r="E798" i="1" s="1"/>
  <c r="F798" i="1" a="1"/>
  <c r="F798" i="1" s="1"/>
  <c r="G798" i="1" a="1"/>
  <c r="G798" i="1" s="1"/>
  <c r="H798" i="1" a="1"/>
  <c r="H798" i="1" s="1"/>
  <c r="E806" i="1" a="1"/>
  <c r="E806" i="1" s="1"/>
  <c r="F806" i="1" a="1"/>
  <c r="F806" i="1" s="1"/>
  <c r="G806" i="1" a="1"/>
  <c r="G806" i="1" s="1"/>
  <c r="H806" i="1" a="1"/>
  <c r="H806" i="1" s="1"/>
  <c r="E349" i="1" a="1"/>
  <c r="E349" i="1" s="1"/>
  <c r="F349" i="1" a="1"/>
  <c r="F349" i="1" s="1"/>
  <c r="G349" i="1" a="1"/>
  <c r="G349" i="1" s="1"/>
  <c r="H349" i="1" a="1"/>
  <c r="H349" i="1" s="1"/>
  <c r="E357" i="1" a="1"/>
  <c r="E357" i="1" s="1"/>
  <c r="F357" i="1" a="1"/>
  <c r="F357" i="1" s="1"/>
  <c r="G357" i="1" a="1"/>
  <c r="G357" i="1" s="1"/>
  <c r="H357" i="1" a="1"/>
  <c r="H357" i="1" s="1"/>
  <c r="E168" i="1" a="1"/>
  <c r="E168" i="1" s="1"/>
  <c r="F168" i="1" a="1"/>
  <c r="F168" i="1" s="1"/>
  <c r="G168" i="1" a="1"/>
  <c r="G168" i="1" s="1"/>
  <c r="H168" i="1" a="1"/>
  <c r="H168" i="1" s="1"/>
  <c r="E176" i="1" a="1"/>
  <c r="E176" i="1" s="1"/>
  <c r="F176" i="1" a="1"/>
  <c r="F176" i="1" s="1"/>
  <c r="G176" i="1" a="1"/>
  <c r="G176" i="1" s="1"/>
  <c r="H176" i="1" a="1"/>
  <c r="H176" i="1" s="1"/>
  <c r="E532" i="1" a="1"/>
  <c r="E532" i="1" s="1"/>
  <c r="F532" i="1" a="1"/>
  <c r="F532" i="1" s="1"/>
  <c r="G532" i="1" a="1"/>
  <c r="G532" i="1" s="1"/>
  <c r="H532" i="1" a="1"/>
  <c r="H532" i="1" s="1"/>
  <c r="E540" i="1" a="1"/>
  <c r="E540" i="1" s="1"/>
  <c r="F540" i="1" a="1"/>
  <c r="F540" i="1" s="1"/>
  <c r="G540" i="1" a="1"/>
  <c r="G540" i="1" s="1"/>
  <c r="H540" i="1" a="1"/>
  <c r="H540" i="1" s="1"/>
  <c r="E261" i="1" a="1"/>
  <c r="E261" i="1" s="1"/>
  <c r="F261" i="1" a="1"/>
  <c r="F261" i="1" s="1"/>
  <c r="G261" i="1" a="1"/>
  <c r="G261" i="1" s="1"/>
  <c r="H261" i="1" a="1"/>
  <c r="H261" i="1" s="1"/>
  <c r="E269" i="1" a="1"/>
  <c r="E269" i="1" s="1"/>
  <c r="F269" i="1" a="1"/>
  <c r="F269" i="1" s="1"/>
  <c r="G269" i="1" a="1"/>
  <c r="G269" i="1" s="1"/>
  <c r="H269" i="1" a="1"/>
  <c r="H269" i="1" s="1"/>
  <c r="E1297" i="1" a="1"/>
  <c r="E1297" i="1" s="1"/>
  <c r="F1297" i="1" a="1"/>
  <c r="F1297" i="1" s="1"/>
  <c r="G1297" i="1" a="1"/>
  <c r="G1297" i="1" s="1"/>
  <c r="H1297" i="1" a="1"/>
  <c r="H1297" i="1" s="1"/>
  <c r="E1305" i="1" a="1"/>
  <c r="E1305" i="1" s="1"/>
  <c r="F1305" i="1" a="1"/>
  <c r="F1305" i="1" s="1"/>
  <c r="G1305" i="1" a="1"/>
  <c r="G1305" i="1" s="1"/>
  <c r="H1305" i="1" a="1"/>
  <c r="H1305" i="1" s="1"/>
  <c r="E862" i="1" a="1"/>
  <c r="E862" i="1" s="1"/>
  <c r="F862" i="1" a="1"/>
  <c r="F862" i="1" s="1"/>
  <c r="G862" i="1" a="1"/>
  <c r="G862" i="1" s="1"/>
  <c r="H862" i="1" a="1"/>
  <c r="H862" i="1" s="1"/>
  <c r="E870" i="1" a="1"/>
  <c r="E870" i="1" s="1"/>
  <c r="F870" i="1" a="1"/>
  <c r="F870" i="1" s="1"/>
  <c r="G870" i="1" a="1"/>
  <c r="G870" i="1" s="1"/>
  <c r="H870" i="1" a="1"/>
  <c r="H870" i="1" s="1"/>
  <c r="E990" i="1" a="1"/>
  <c r="E990" i="1" s="1"/>
  <c r="F990" i="1" a="1"/>
  <c r="F990" i="1" s="1"/>
  <c r="G990" i="1" a="1"/>
  <c r="G990" i="1" s="1"/>
  <c r="H990" i="1" a="1"/>
  <c r="H990" i="1" s="1"/>
  <c r="E998" i="1" a="1"/>
  <c r="E998" i="1" s="1"/>
  <c r="F998" i="1" a="1"/>
  <c r="F998" i="1" s="1"/>
  <c r="G998" i="1" a="1"/>
  <c r="G998" i="1" s="1"/>
  <c r="H998" i="1" a="1"/>
  <c r="H998" i="1" s="1"/>
  <c r="E1210" i="1" a="1"/>
  <c r="E1210" i="1" s="1"/>
  <c r="F1210" i="1" a="1"/>
  <c r="F1210" i="1" s="1"/>
  <c r="G1210" i="1" a="1"/>
  <c r="G1210" i="1" s="1"/>
  <c r="H1210" i="1" a="1"/>
  <c r="H1210" i="1" s="1"/>
  <c r="E1218" i="1" a="1"/>
  <c r="E1218" i="1" s="1"/>
  <c r="F1218" i="1" a="1"/>
  <c r="F1218" i="1" s="1"/>
  <c r="G1218" i="1" a="1"/>
  <c r="G1218" i="1" s="1"/>
  <c r="H1218" i="1" a="1"/>
  <c r="H1218" i="1" s="1"/>
  <c r="E920" i="1" a="1"/>
  <c r="E920" i="1" s="1"/>
  <c r="F920" i="1" a="1"/>
  <c r="F920" i="1" s="1"/>
  <c r="G920" i="1" a="1"/>
  <c r="G920" i="1" s="1"/>
  <c r="H920" i="1" a="1"/>
  <c r="H920" i="1" s="1"/>
  <c r="E928" i="1" a="1"/>
  <c r="E928" i="1" s="1"/>
  <c r="F928" i="1" a="1"/>
  <c r="F928" i="1" s="1"/>
  <c r="G928" i="1" a="1"/>
  <c r="G928" i="1" s="1"/>
  <c r="H928" i="1" a="1"/>
  <c r="H928" i="1" s="1"/>
  <c r="E561" i="1" a="1"/>
  <c r="E561" i="1" s="1"/>
  <c r="F561" i="1" a="1"/>
  <c r="F561" i="1" s="1"/>
  <c r="G561" i="1" a="1"/>
  <c r="G561" i="1" s="1"/>
  <c r="H561" i="1" a="1"/>
  <c r="H561" i="1" s="1"/>
  <c r="E569" i="1" a="1"/>
  <c r="E569" i="1" s="1"/>
  <c r="F569" i="1" a="1"/>
  <c r="F569" i="1" s="1"/>
  <c r="G569" i="1" a="1"/>
  <c r="G569" i="1" s="1"/>
  <c r="H569" i="1" a="1"/>
  <c r="H569" i="1" s="1"/>
  <c r="E1077" i="1" a="1"/>
  <c r="E1077" i="1" s="1"/>
  <c r="F1077" i="1" a="1"/>
  <c r="F1077" i="1" s="1"/>
  <c r="G1077" i="1" a="1"/>
  <c r="G1077" i="1" s="1"/>
  <c r="H1077" i="1" a="1"/>
  <c r="H1077" i="1" s="1"/>
  <c r="E1085" i="1" a="1"/>
  <c r="E1085" i="1" s="1"/>
  <c r="F1085" i="1" a="1"/>
  <c r="F1085" i="1" s="1"/>
  <c r="G1085" i="1" a="1"/>
  <c r="G1085" i="1" s="1"/>
  <c r="H1085" i="1" a="1"/>
  <c r="H1085" i="1" s="1"/>
  <c r="E480" i="1" a="1"/>
  <c r="E480" i="1" s="1"/>
  <c r="F480" i="1" a="1"/>
  <c r="F480" i="1" s="1"/>
  <c r="G480" i="1" a="1"/>
  <c r="G480" i="1" s="1"/>
  <c r="H480" i="1" a="1"/>
  <c r="H480" i="1" s="1"/>
  <c r="E488" i="1" a="1"/>
  <c r="E488" i="1" s="1"/>
  <c r="F488" i="1" a="1"/>
  <c r="F488" i="1" s="1"/>
  <c r="G488" i="1" a="1"/>
  <c r="G488" i="1" s="1"/>
  <c r="H488" i="1" a="1"/>
  <c r="H488" i="1" s="1"/>
  <c r="E1384" i="1" a="1"/>
  <c r="E1384" i="1" s="1"/>
  <c r="F1384" i="1" a="1"/>
  <c r="F1384" i="1" s="1"/>
  <c r="G1384" i="1" a="1"/>
  <c r="G1384" i="1" s="1"/>
  <c r="H1384" i="1" a="1"/>
  <c r="H1384" i="1" s="1"/>
  <c r="E1392" i="1" a="1"/>
  <c r="E1392" i="1" s="1"/>
  <c r="F1392" i="1" a="1"/>
  <c r="F1392" i="1" s="1"/>
  <c r="G1392" i="1" a="1"/>
  <c r="G1392" i="1" s="1"/>
  <c r="H1392" i="1" a="1"/>
  <c r="H1392" i="1" s="1"/>
  <c r="E965" i="1" a="1"/>
  <c r="E965" i="1" s="1"/>
  <c r="F965" i="1" a="1"/>
  <c r="F965" i="1" s="1"/>
  <c r="G965" i="1" a="1"/>
  <c r="G965" i="1" s="1"/>
  <c r="H965" i="1" a="1"/>
  <c r="H965" i="1" s="1"/>
  <c r="E973" i="1" a="1"/>
  <c r="E973" i="1" s="1"/>
  <c r="F973" i="1" a="1"/>
  <c r="F973" i="1" s="1"/>
  <c r="G973" i="1" a="1"/>
  <c r="G973" i="1" s="1"/>
  <c r="H973" i="1" a="1"/>
  <c r="H973" i="1" s="1"/>
  <c r="E1225" i="1" a="1"/>
  <c r="E1225" i="1" s="1"/>
  <c r="F1225" i="1" a="1"/>
  <c r="F1225" i="1" s="1"/>
  <c r="G1225" i="1" a="1"/>
  <c r="G1225" i="1" s="1"/>
  <c r="H1225" i="1" a="1"/>
  <c r="H1225" i="1" s="1"/>
  <c r="E1233" i="1" a="1"/>
  <c r="E1233" i="1" s="1"/>
  <c r="F1233" i="1" a="1"/>
  <c r="F1233" i="1" s="1"/>
  <c r="G1233" i="1" a="1"/>
  <c r="G1233" i="1" s="1"/>
  <c r="H1233" i="1" a="1"/>
  <c r="H1233" i="1" s="1"/>
  <c r="E548" i="1" a="1"/>
  <c r="E548" i="1" s="1"/>
  <c r="F548" i="1" a="1"/>
  <c r="F548" i="1" s="1"/>
  <c r="G548" i="1" a="1"/>
  <c r="G548" i="1" s="1"/>
  <c r="H548" i="1" a="1"/>
  <c r="H548" i="1" s="1"/>
  <c r="E556" i="1" a="1"/>
  <c r="E556" i="1" s="1"/>
  <c r="F556" i="1" a="1"/>
  <c r="F556" i="1" s="1"/>
  <c r="G556" i="1" a="1"/>
  <c r="G556" i="1" s="1"/>
  <c r="H556" i="1" a="1"/>
  <c r="H556" i="1" s="1"/>
  <c r="E151" i="1" a="1"/>
  <c r="E151" i="1" s="1"/>
  <c r="F151" i="1" a="1"/>
  <c r="F151" i="1" s="1"/>
  <c r="G151" i="1" a="1"/>
  <c r="G151" i="1" s="1"/>
  <c r="H151" i="1" a="1"/>
  <c r="H151" i="1" s="1"/>
  <c r="E159" i="1" a="1"/>
  <c r="E159" i="1" s="1"/>
  <c r="F159" i="1" a="1"/>
  <c r="F159" i="1" s="1"/>
  <c r="G159" i="1" a="1"/>
  <c r="G159" i="1" s="1"/>
  <c r="H159" i="1" a="1"/>
  <c r="H159" i="1" s="1"/>
  <c r="E1131" i="1" a="1"/>
  <c r="E1131" i="1" s="1"/>
  <c r="F1131" i="1" a="1"/>
  <c r="F1131" i="1" s="1"/>
  <c r="G1131" i="1" a="1"/>
  <c r="G1131" i="1" s="1"/>
  <c r="H1131" i="1" a="1"/>
  <c r="H1131" i="1" s="1"/>
  <c r="E1139" i="1" a="1"/>
  <c r="E1139" i="1" s="1"/>
  <c r="F1139" i="1" a="1"/>
  <c r="F1139" i="1" s="1"/>
  <c r="G1139" i="1" a="1"/>
  <c r="G1139" i="1" s="1"/>
  <c r="H1139" i="1" a="1"/>
  <c r="H1139" i="1" s="1"/>
  <c r="E675" i="1" a="1"/>
  <c r="E675" i="1" s="1"/>
  <c r="F675" i="1" a="1"/>
  <c r="F675" i="1" s="1"/>
  <c r="G675" i="1" a="1"/>
  <c r="G675" i="1" s="1"/>
  <c r="H675" i="1" a="1"/>
  <c r="H675" i="1" s="1"/>
  <c r="E683" i="1" a="1"/>
  <c r="E683" i="1" s="1"/>
  <c r="F683" i="1" a="1"/>
  <c r="F683" i="1" s="1"/>
  <c r="G683" i="1" a="1"/>
  <c r="G683" i="1" s="1"/>
  <c r="H683" i="1" a="1"/>
  <c r="H683" i="1" s="1"/>
  <c r="E717" i="1" a="1"/>
  <c r="E717" i="1" s="1"/>
  <c r="F717" i="1" a="1"/>
  <c r="F717" i="1" s="1"/>
  <c r="G717" i="1" a="1"/>
  <c r="G717" i="1" s="1"/>
  <c r="H717" i="1" a="1"/>
  <c r="H717" i="1" s="1"/>
  <c r="E725" i="1" a="1"/>
  <c r="E725" i="1" s="1"/>
  <c r="F725" i="1" a="1"/>
  <c r="F725" i="1" s="1"/>
  <c r="G725" i="1" a="1"/>
  <c r="G725" i="1" s="1"/>
  <c r="H725" i="1" a="1"/>
  <c r="H725" i="1" s="1"/>
  <c r="E1487" i="1" a="1"/>
  <c r="E1487" i="1" s="1"/>
  <c r="F1487" i="1" a="1"/>
  <c r="F1487" i="1" s="1"/>
  <c r="G1487" i="1" a="1"/>
  <c r="G1487" i="1" s="1"/>
  <c r="H1487" i="1" a="1"/>
  <c r="H1487" i="1" s="1"/>
  <c r="E1495" i="1" a="1"/>
  <c r="E1495" i="1" s="1"/>
  <c r="F1495" i="1" a="1"/>
  <c r="F1495" i="1" s="1"/>
  <c r="G1495" i="1" a="1"/>
  <c r="G1495" i="1" s="1"/>
  <c r="H1495" i="1" a="1"/>
  <c r="H1495" i="1" s="1"/>
  <c r="E436" i="1" a="1"/>
  <c r="E436" i="1" s="1"/>
  <c r="F436" i="1" a="1"/>
  <c r="F436" i="1" s="1"/>
  <c r="G436" i="1" a="1"/>
  <c r="G436" i="1" s="1"/>
  <c r="H436" i="1" a="1"/>
  <c r="H436" i="1" s="1"/>
  <c r="E444" i="1" a="1"/>
  <c r="E444" i="1" s="1"/>
  <c r="F444" i="1" a="1"/>
  <c r="F444" i="1" s="1"/>
  <c r="G444" i="1" a="1"/>
  <c r="G444" i="1" s="1"/>
  <c r="H444" i="1" a="1"/>
  <c r="H444" i="1" s="1"/>
  <c r="E219" i="1" a="1"/>
  <c r="E219" i="1" s="1"/>
  <c r="F219" i="1" a="1"/>
  <c r="F219" i="1" s="1"/>
  <c r="G219" i="1" a="1"/>
  <c r="G219" i="1" s="1"/>
  <c r="H219" i="1" a="1"/>
  <c r="H219" i="1" s="1"/>
  <c r="E227" i="1" a="1"/>
  <c r="E227" i="1" s="1"/>
  <c r="F227" i="1" a="1"/>
  <c r="F227" i="1" s="1"/>
  <c r="G227" i="1" a="1"/>
  <c r="G227" i="1" s="1"/>
  <c r="H227" i="1" a="1"/>
  <c r="H227" i="1" s="1"/>
  <c r="E516" i="1" a="1"/>
  <c r="E516" i="1" s="1"/>
  <c r="F516" i="1" a="1"/>
  <c r="F516" i="1" s="1"/>
  <c r="G516" i="1" a="1"/>
  <c r="G516" i="1" s="1"/>
  <c r="H516" i="1" a="1"/>
  <c r="H516" i="1" s="1"/>
  <c r="E524" i="1" a="1"/>
  <c r="E524" i="1" s="1"/>
  <c r="F524" i="1" a="1"/>
  <c r="F524" i="1" s="1"/>
  <c r="G524" i="1" a="1"/>
  <c r="G524" i="1" s="1"/>
  <c r="H524" i="1" a="1"/>
  <c r="H524" i="1" s="1"/>
  <c r="E845" i="1" a="1"/>
  <c r="E845" i="1" s="1"/>
  <c r="F845" i="1" a="1"/>
  <c r="F845" i="1" s="1"/>
  <c r="G845" i="1" a="1"/>
  <c r="G845" i="1" s="1"/>
  <c r="H845" i="1" a="1"/>
  <c r="H845" i="1" s="1"/>
  <c r="E853" i="1" a="1"/>
  <c r="E853" i="1" s="1"/>
  <c r="F853" i="1" a="1"/>
  <c r="F853" i="1" s="1"/>
  <c r="G853" i="1" a="1"/>
  <c r="G853" i="1" s="1"/>
  <c r="H853" i="1" a="1"/>
  <c r="H853" i="1" s="1"/>
  <c r="E828" i="1" a="1"/>
  <c r="E828" i="1" s="1"/>
  <c r="F828" i="1" a="1"/>
  <c r="F828" i="1" s="1"/>
  <c r="G828" i="1" a="1"/>
  <c r="G828" i="1" s="1"/>
  <c r="H828" i="1" a="1"/>
  <c r="H828" i="1" s="1"/>
  <c r="E836" i="1" a="1"/>
  <c r="E836" i="1" s="1"/>
  <c r="F836" i="1" a="1"/>
  <c r="F836" i="1" s="1"/>
  <c r="G836" i="1" a="1"/>
  <c r="G836" i="1" s="1"/>
  <c r="H836" i="1" a="1"/>
  <c r="H83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2" i="1" a="1"/>
  <c r="G72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7" i="1" a="1"/>
  <c r="G97" i="1" s="1"/>
  <c r="G98" i="1" a="1"/>
  <c r="G98" i="1" s="1"/>
  <c r="G100" i="1" a="1"/>
  <c r="G100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4" i="1" a="1"/>
  <c r="G124" i="1" s="1"/>
  <c r="G125" i="1" a="1"/>
  <c r="G125" i="1" s="1"/>
  <c r="G126" i="1" a="1"/>
  <c r="G126" i="1" s="1"/>
  <c r="G131" i="1" a="1"/>
  <c r="G131" i="1" s="1"/>
  <c r="G132" i="1" a="1"/>
  <c r="G132" i="1" s="1"/>
  <c r="G133" i="1" a="1"/>
  <c r="G133" i="1" s="1"/>
  <c r="G134" i="1" a="1"/>
  <c r="G134" i="1" s="1"/>
  <c r="G136" i="1" a="1"/>
  <c r="G136" i="1" s="1"/>
  <c r="G137" i="1" a="1"/>
  <c r="G137" i="1" s="1"/>
  <c r="G139" i="1" a="1"/>
  <c r="G139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2" i="1" a="1"/>
  <c r="G152" i="1" s="1"/>
  <c r="G153" i="1" a="1"/>
  <c r="G153" i="1" s="1"/>
  <c r="G155" i="1" a="1"/>
  <c r="G155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7" i="1" a="1"/>
  <c r="G167" i="1" s="1"/>
  <c r="G169" i="1" a="1"/>
  <c r="G169" i="1" s="1"/>
  <c r="G170" i="1" a="1"/>
  <c r="G170" i="1" s="1"/>
  <c r="G172" i="1" a="1"/>
  <c r="G172" i="1" s="1"/>
  <c r="G177" i="1" a="1"/>
  <c r="G177" i="1" s="1"/>
  <c r="G178" i="1" a="1"/>
  <c r="G178" i="1" s="1"/>
  <c r="G217" i="1" a="1"/>
  <c r="G217" i="1" s="1"/>
  <c r="G218" i="1" a="1"/>
  <c r="G218" i="1" s="1"/>
  <c r="G220" i="1" a="1"/>
  <c r="G220" i="1" s="1"/>
  <c r="G221" i="1" a="1"/>
  <c r="G221" i="1" s="1"/>
  <c r="G223" i="1" a="1"/>
  <c r="G223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179" i="1" a="1"/>
  <c r="G179" i="1" s="1"/>
  <c r="G180" i="1" a="1"/>
  <c r="G180" i="1" s="1"/>
  <c r="G181" i="1" a="1"/>
  <c r="G181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34" i="1" a="1"/>
  <c r="G234" i="1" s="1"/>
  <c r="G235" i="1" a="1"/>
  <c r="G235" i="1" s="1"/>
  <c r="G236" i="1" a="1"/>
  <c r="G236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2" i="1" a="1"/>
  <c r="G262" i="1" s="1"/>
  <c r="G263" i="1" a="1"/>
  <c r="G263" i="1" s="1"/>
  <c r="G265" i="1" a="1"/>
  <c r="G265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90" i="1" a="1"/>
  <c r="G290" i="1" s="1"/>
  <c r="G291" i="1" a="1"/>
  <c r="G291" i="1" s="1"/>
  <c r="G292" i="1" a="1"/>
  <c r="G292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5" i="1" a="1"/>
  <c r="G345" i="1" s="1"/>
  <c r="G346" i="1" a="1"/>
  <c r="G346" i="1" s="1"/>
  <c r="G347" i="1" a="1"/>
  <c r="G347" i="1" s="1"/>
  <c r="G348" i="1" a="1"/>
  <c r="G348" i="1" s="1"/>
  <c r="G350" i="1" a="1"/>
  <c r="G350" i="1" s="1"/>
  <c r="G351" i="1" a="1"/>
  <c r="G351" i="1" s="1"/>
  <c r="G353" i="1" a="1"/>
  <c r="G353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31" i="1" a="1"/>
  <c r="G431" i="1" s="1"/>
  <c r="G432" i="1" a="1"/>
  <c r="G432" i="1" s="1"/>
  <c r="G433" i="1" a="1"/>
  <c r="G433" i="1" s="1"/>
  <c r="G435" i="1" a="1"/>
  <c r="G435" i="1" s="1"/>
  <c r="G437" i="1" a="1"/>
  <c r="G437" i="1" s="1"/>
  <c r="G438" i="1" a="1"/>
  <c r="G438" i="1" s="1"/>
  <c r="G440" i="1" a="1"/>
  <c r="G440" i="1" s="1"/>
  <c r="G446" i="1" a="1"/>
  <c r="G446" i="1" s="1"/>
  <c r="G447" i="1" a="1"/>
  <c r="G447" i="1" s="1"/>
  <c r="G448" i="1" a="1"/>
  <c r="G448" i="1" s="1"/>
  <c r="G450" i="1" a="1"/>
  <c r="G450" i="1" s="1"/>
  <c r="G451" i="1" a="1"/>
  <c r="G451" i="1" s="1"/>
  <c r="G453" i="1" a="1"/>
  <c r="G453" i="1" s="1"/>
  <c r="G458" i="1" a="1"/>
  <c r="G458" i="1" s="1"/>
  <c r="G459" i="1" a="1"/>
  <c r="G459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1" i="1" a="1"/>
  <c r="G481" i="1" s="1"/>
  <c r="G482" i="1" a="1"/>
  <c r="G482" i="1" s="1"/>
  <c r="G484" i="1" a="1"/>
  <c r="G484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12" i="1" a="1"/>
  <c r="G512" i="1" s="1"/>
  <c r="G513" i="1" a="1"/>
  <c r="G513" i="1" s="1"/>
  <c r="G514" i="1" a="1"/>
  <c r="G514" i="1" s="1"/>
  <c r="G515" i="1" a="1"/>
  <c r="G515" i="1" s="1"/>
  <c r="G517" i="1" a="1"/>
  <c r="G517" i="1" s="1"/>
  <c r="G518" i="1" a="1"/>
  <c r="G518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3" i="1" a="1"/>
  <c r="G533" i="1" s="1"/>
  <c r="G534" i="1" a="1"/>
  <c r="G534" i="1" s="1"/>
  <c r="G536" i="1" a="1"/>
  <c r="G536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9" i="1" a="1"/>
  <c r="G549" i="1" s="1"/>
  <c r="G550" i="1" a="1"/>
  <c r="G550" i="1" s="1"/>
  <c r="G552" i="1" a="1"/>
  <c r="G552" i="1" s="1"/>
  <c r="G557" i="1" a="1"/>
  <c r="G557" i="1" s="1"/>
  <c r="G558" i="1" a="1"/>
  <c r="G558" i="1" s="1"/>
  <c r="G559" i="1" a="1"/>
  <c r="G559" i="1" s="1"/>
  <c r="G560" i="1" a="1"/>
  <c r="G560" i="1" s="1"/>
  <c r="G562" i="1" a="1"/>
  <c r="G562" i="1" s="1"/>
  <c r="G563" i="1" a="1"/>
  <c r="G563" i="1" s="1"/>
  <c r="G565" i="1" a="1"/>
  <c r="G565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20" i="1" a="1"/>
  <c r="G520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6" i="1" a="1"/>
  <c r="G676" i="1" s="1"/>
  <c r="G677" i="1" a="1"/>
  <c r="G677" i="1" s="1"/>
  <c r="G679" i="1" a="1"/>
  <c r="G679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1" i="1" a="1"/>
  <c r="G691" i="1" s="1"/>
  <c r="G693" i="1" a="1"/>
  <c r="G693" i="1" s="1"/>
  <c r="G694" i="1" a="1"/>
  <c r="G694" i="1" s="1"/>
  <c r="G696" i="1" a="1"/>
  <c r="G696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8" i="1" a="1"/>
  <c r="G718" i="1" s="1"/>
  <c r="G719" i="1" a="1"/>
  <c r="G719" i="1" s="1"/>
  <c r="G721" i="1" a="1"/>
  <c r="G721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3" i="1" a="1"/>
  <c r="G783" i="1" s="1"/>
  <c r="G784" i="1" a="1"/>
  <c r="G784" i="1" s="1"/>
  <c r="G786" i="1" a="1"/>
  <c r="G786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9" i="1" a="1"/>
  <c r="G799" i="1" s="1"/>
  <c r="G800" i="1" a="1"/>
  <c r="G800" i="1" s="1"/>
  <c r="G802" i="1" a="1"/>
  <c r="G802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9" i="1" a="1"/>
  <c r="G829" i="1" s="1"/>
  <c r="G830" i="1" a="1"/>
  <c r="G830" i="1" s="1"/>
  <c r="G832" i="1" a="1"/>
  <c r="G832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6" i="1" a="1"/>
  <c r="G846" i="1" s="1"/>
  <c r="G847" i="1" a="1"/>
  <c r="G847" i="1" s="1"/>
  <c r="G849" i="1" a="1"/>
  <c r="G849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3" i="1" a="1"/>
  <c r="G863" i="1" s="1"/>
  <c r="G864" i="1" a="1"/>
  <c r="G864" i="1" s="1"/>
  <c r="G866" i="1" a="1"/>
  <c r="G866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5" i="1" a="1"/>
  <c r="G905" i="1" s="1"/>
  <c r="G906" i="1" a="1"/>
  <c r="G906" i="1" s="1"/>
  <c r="G908" i="1" a="1"/>
  <c r="G908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1" i="1" a="1"/>
  <c r="G921" i="1" s="1"/>
  <c r="G922" i="1" a="1"/>
  <c r="G922" i="1" s="1"/>
  <c r="G924" i="1" a="1"/>
  <c r="G924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7" i="1" a="1"/>
  <c r="G937" i="1" s="1"/>
  <c r="G938" i="1" a="1"/>
  <c r="G938" i="1" s="1"/>
  <c r="G940" i="1" a="1"/>
  <c r="G940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4" i="1" a="1"/>
  <c r="G964" i="1" s="1"/>
  <c r="G966" i="1" a="1"/>
  <c r="G966" i="1" s="1"/>
  <c r="G967" i="1" a="1"/>
  <c r="G967" i="1" s="1"/>
  <c r="G969" i="1" a="1"/>
  <c r="G969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1" i="1" a="1"/>
  <c r="G991" i="1" s="1"/>
  <c r="G992" i="1" a="1"/>
  <c r="G992" i="1" s="1"/>
  <c r="G994" i="1" a="1"/>
  <c r="G994" i="1" s="1"/>
  <c r="G999" i="1" a="1"/>
  <c r="G999" i="1" s="1"/>
  <c r="G1000" i="1" a="1"/>
  <c r="G1000" i="1" s="1"/>
  <c r="G1001" i="1" a="1"/>
  <c r="G1001" i="1" s="1"/>
  <c r="G1002" i="1" a="1"/>
  <c r="G1002" i="1" s="1"/>
  <c r="G1003" i="1" a="1"/>
  <c r="G1003" i="1" s="1"/>
  <c r="G1004" i="1" a="1"/>
  <c r="G1004" i="1" s="1"/>
  <c r="G1006" i="1" a="1"/>
  <c r="G1006" i="1" s="1"/>
  <c r="G1007" i="1" a="1"/>
  <c r="G1007" i="1" s="1"/>
  <c r="G1009" i="1" a="1"/>
  <c r="G1009" i="1" s="1"/>
  <c r="G1014" i="1" a="1"/>
  <c r="G1014" i="1" s="1"/>
  <c r="G1015" i="1" a="1"/>
  <c r="G1015" i="1" s="1"/>
  <c r="G1016" i="1" a="1"/>
  <c r="G1016" i="1" s="1"/>
  <c r="G1017" i="1" a="1"/>
  <c r="G1017" i="1" s="1"/>
  <c r="G1018" i="1" a="1"/>
  <c r="G1018" i="1" s="1"/>
  <c r="G1019" i="1" a="1"/>
  <c r="G1019" i="1" s="1"/>
  <c r="G1020" i="1" a="1"/>
  <c r="G1020" i="1" s="1"/>
  <c r="G1021" i="1" a="1"/>
  <c r="G1021" i="1" s="1"/>
  <c r="G1022" i="1" a="1"/>
  <c r="G1022" i="1" s="1"/>
  <c r="G1027" i="1" a="1"/>
  <c r="G1027" i="1" s="1"/>
  <c r="G1028" i="1" a="1"/>
  <c r="G1028" i="1" s="1"/>
  <c r="G1029" i="1" a="1"/>
  <c r="G1029" i="1" s="1"/>
  <c r="G1030" i="1" a="1"/>
  <c r="G1030" i="1" s="1"/>
  <c r="G1031" i="1" a="1"/>
  <c r="G1031" i="1" s="1"/>
  <c r="G1032" i="1" a="1"/>
  <c r="G1032" i="1" s="1"/>
  <c r="G1033" i="1" a="1"/>
  <c r="G1033" i="1" s="1"/>
  <c r="G1034" i="1" a="1"/>
  <c r="G1034" i="1" s="1"/>
  <c r="G1035" i="1" a="1"/>
  <c r="G1035" i="1" s="1"/>
  <c r="G1040" i="1" a="1"/>
  <c r="G1040" i="1" s="1"/>
  <c r="G1041" i="1" a="1"/>
  <c r="G1041" i="1" s="1"/>
  <c r="G1042" i="1" a="1"/>
  <c r="G1042" i="1" s="1"/>
  <c r="G1043" i="1" a="1"/>
  <c r="G1043" i="1" s="1"/>
  <c r="G1044" i="1" a="1"/>
  <c r="G1044" i="1" s="1"/>
  <c r="G1045" i="1" a="1"/>
  <c r="G1045" i="1" s="1"/>
  <c r="G1046" i="1" a="1"/>
  <c r="G1046" i="1" s="1"/>
  <c r="G1047" i="1" a="1"/>
  <c r="G1047" i="1" s="1"/>
  <c r="G1048" i="1" a="1"/>
  <c r="G1048" i="1" s="1"/>
  <c r="G1053" i="1" a="1"/>
  <c r="G1053" i="1" s="1"/>
  <c r="G1054" i="1" a="1"/>
  <c r="G1054" i="1" s="1"/>
  <c r="G1055" i="1" a="1"/>
  <c r="G1055" i="1" s="1"/>
  <c r="G1056" i="1" a="1"/>
  <c r="G1056" i="1" s="1"/>
  <c r="G1057" i="1" a="1"/>
  <c r="G1057" i="1" s="1"/>
  <c r="G1058" i="1" a="1"/>
  <c r="G1058" i="1" s="1"/>
  <c r="G1059" i="1" a="1"/>
  <c r="G1059" i="1" s="1"/>
  <c r="G1060" i="1" a="1"/>
  <c r="G1060" i="1" s="1"/>
  <c r="G1062" i="1" a="1"/>
  <c r="G1062" i="1" s="1"/>
  <c r="G1063" i="1" a="1"/>
  <c r="G1063" i="1" s="1"/>
  <c r="G1065" i="1" a="1"/>
  <c r="G1065" i="1" s="1"/>
  <c r="G1070" i="1" a="1"/>
  <c r="G1070" i="1" s="1"/>
  <c r="G1071" i="1" a="1"/>
  <c r="G1071" i="1" s="1"/>
  <c r="G1072" i="1" a="1"/>
  <c r="G1072" i="1" s="1"/>
  <c r="G1073" i="1" a="1"/>
  <c r="G1073" i="1" s="1"/>
  <c r="G1074" i="1" a="1"/>
  <c r="G1074" i="1" s="1"/>
  <c r="G1075" i="1" a="1"/>
  <c r="G1075" i="1" s="1"/>
  <c r="G1076" i="1" a="1"/>
  <c r="G1076" i="1" s="1"/>
  <c r="G1078" i="1" a="1"/>
  <c r="G1078" i="1" s="1"/>
  <c r="G1079" i="1" a="1"/>
  <c r="G1079" i="1" s="1"/>
  <c r="G1081" i="1" a="1"/>
  <c r="G1081" i="1" s="1"/>
  <c r="G1086" i="1" a="1"/>
  <c r="G1086" i="1" s="1"/>
  <c r="G1087" i="1" a="1"/>
  <c r="G1087" i="1" s="1"/>
  <c r="G1088" i="1" a="1"/>
  <c r="G1088" i="1" s="1"/>
  <c r="G1089" i="1" a="1"/>
  <c r="G1089" i="1" s="1"/>
  <c r="G1090" i="1" a="1"/>
  <c r="G1090" i="1" s="1"/>
  <c r="G1091" i="1" a="1"/>
  <c r="G1091" i="1" s="1"/>
  <c r="G1092" i="1" a="1"/>
  <c r="G1092" i="1" s="1"/>
  <c r="G1093" i="1" a="1"/>
  <c r="G1093" i="1" s="1"/>
  <c r="G1098" i="1" a="1"/>
  <c r="G1098" i="1" s="1"/>
  <c r="G1099" i="1" a="1"/>
  <c r="G1099" i="1" s="1"/>
  <c r="G1100" i="1" a="1"/>
  <c r="G1100" i="1" s="1"/>
  <c r="G1101" i="1" a="1"/>
  <c r="G1101" i="1" s="1"/>
  <c r="G1102" i="1" a="1"/>
  <c r="G1102" i="1" s="1"/>
  <c r="G1103" i="1" a="1"/>
  <c r="G1103" i="1" s="1"/>
  <c r="G1104" i="1" a="1"/>
  <c r="G1104" i="1" s="1"/>
  <c r="G1105" i="1" a="1"/>
  <c r="G1105" i="1" s="1"/>
  <c r="G1106" i="1" a="1"/>
  <c r="G1106" i="1" s="1"/>
  <c r="G1111" i="1" a="1"/>
  <c r="G1111" i="1" s="1"/>
  <c r="G1112" i="1" a="1"/>
  <c r="G1112" i="1" s="1"/>
  <c r="G1113" i="1" a="1"/>
  <c r="G1113" i="1" s="1"/>
  <c r="G1114" i="1" a="1"/>
  <c r="G1114" i="1" s="1"/>
  <c r="G1115" i="1" a="1"/>
  <c r="G1115" i="1" s="1"/>
  <c r="G1116" i="1" a="1"/>
  <c r="G1116" i="1" s="1"/>
  <c r="G1117" i="1" a="1"/>
  <c r="G1117" i="1" s="1"/>
  <c r="G1118" i="1" a="1"/>
  <c r="G1118" i="1" s="1"/>
  <c r="G1119" i="1" a="1"/>
  <c r="G1119" i="1" s="1"/>
  <c r="G1124" i="1" a="1"/>
  <c r="G1124" i="1" s="1"/>
  <c r="G1125" i="1" a="1"/>
  <c r="G1125" i="1" s="1"/>
  <c r="G1126" i="1" a="1"/>
  <c r="G1126" i="1" s="1"/>
  <c r="G1127" i="1" a="1"/>
  <c r="G1127" i="1" s="1"/>
  <c r="G1128" i="1" a="1"/>
  <c r="G1128" i="1" s="1"/>
  <c r="G1129" i="1" a="1"/>
  <c r="G1129" i="1" s="1"/>
  <c r="G1130" i="1" a="1"/>
  <c r="G1130" i="1" s="1"/>
  <c r="G1132" i="1" a="1"/>
  <c r="G1132" i="1" s="1"/>
  <c r="G1133" i="1" a="1"/>
  <c r="G1133" i="1" s="1"/>
  <c r="G1135" i="1" a="1"/>
  <c r="G1135" i="1" s="1"/>
  <c r="G1140" i="1" a="1"/>
  <c r="G1140" i="1" s="1"/>
  <c r="G1141" i="1" a="1"/>
  <c r="G1141" i="1" s="1"/>
  <c r="G1142" i="1" a="1"/>
  <c r="G1142" i="1" s="1"/>
  <c r="G1143" i="1" a="1"/>
  <c r="G1143" i="1" s="1"/>
  <c r="G1144" i="1" a="1"/>
  <c r="G1144" i="1" s="1"/>
  <c r="G1145" i="1" a="1"/>
  <c r="G1145" i="1" s="1"/>
  <c r="G1146" i="1" a="1"/>
  <c r="G1146" i="1" s="1"/>
  <c r="G1148" i="1" a="1"/>
  <c r="G1148" i="1" s="1"/>
  <c r="G1149" i="1" a="1"/>
  <c r="G1149" i="1" s="1"/>
  <c r="G1151" i="1" a="1"/>
  <c r="G1151" i="1" s="1"/>
  <c r="G1156" i="1" a="1"/>
  <c r="G1156" i="1" s="1"/>
  <c r="G1157" i="1" a="1"/>
  <c r="G1157" i="1" s="1"/>
  <c r="G1158" i="1" a="1"/>
  <c r="G1158" i="1" s="1"/>
  <c r="G1159" i="1" a="1"/>
  <c r="G1159" i="1" s="1"/>
  <c r="G1161" i="1" a="1"/>
  <c r="G1161" i="1" s="1"/>
  <c r="G1162" i="1" a="1"/>
  <c r="G1162" i="1" s="1"/>
  <c r="G1164" i="1" a="1"/>
  <c r="G1164" i="1" s="1"/>
  <c r="G1170" i="1" a="1"/>
  <c r="G1170" i="1" s="1"/>
  <c r="G1171" i="1" a="1"/>
  <c r="G1171" i="1" s="1"/>
  <c r="G1172" i="1" a="1"/>
  <c r="G1172" i="1" s="1"/>
  <c r="G1173" i="1" a="1"/>
  <c r="G1173" i="1" s="1"/>
  <c r="G1174" i="1" a="1"/>
  <c r="G1174" i="1" s="1"/>
  <c r="G1175" i="1" a="1"/>
  <c r="G1175" i="1" s="1"/>
  <c r="G1176" i="1" a="1"/>
  <c r="G1176" i="1" s="1"/>
  <c r="G1177" i="1" a="1"/>
  <c r="G1177" i="1" s="1"/>
  <c r="G1182" i="1" a="1"/>
  <c r="G1182" i="1" s="1"/>
  <c r="G1183" i="1" a="1"/>
  <c r="G1183" i="1" s="1"/>
  <c r="G1184" i="1" a="1"/>
  <c r="G1184" i="1" s="1"/>
  <c r="G1185" i="1" a="1"/>
  <c r="G1185" i="1" s="1"/>
  <c r="G1186" i="1" a="1"/>
  <c r="G1186" i="1" s="1"/>
  <c r="G1187" i="1" a="1"/>
  <c r="G1187" i="1" s="1"/>
  <c r="G1188" i="1" a="1"/>
  <c r="G1188" i="1" s="1"/>
  <c r="G1189" i="1" a="1"/>
  <c r="G1189" i="1" s="1"/>
  <c r="G1194" i="1" a="1"/>
  <c r="G1194" i="1" s="1"/>
  <c r="G1195" i="1" a="1"/>
  <c r="G1195" i="1" s="1"/>
  <c r="G1196" i="1" a="1"/>
  <c r="G1196" i="1" s="1"/>
  <c r="G1197" i="1" a="1"/>
  <c r="G1197" i="1" s="1"/>
  <c r="G1198" i="1" a="1"/>
  <c r="G1198" i="1" s="1"/>
  <c r="G1200" i="1" a="1"/>
  <c r="G1200" i="1" s="1"/>
  <c r="G1201" i="1" a="1"/>
  <c r="G1201" i="1" s="1"/>
  <c r="G1202" i="1" a="1"/>
  <c r="G1202" i="1" s="1"/>
  <c r="G1207" i="1" a="1"/>
  <c r="G1207" i="1" s="1"/>
  <c r="G1208" i="1" a="1"/>
  <c r="G1208" i="1" s="1"/>
  <c r="G1209" i="1" a="1"/>
  <c r="G1209" i="1" s="1"/>
  <c r="G1211" i="1" a="1"/>
  <c r="G1211" i="1" s="1"/>
  <c r="G1212" i="1" a="1"/>
  <c r="G1212" i="1" s="1"/>
  <c r="G1214" i="1" a="1"/>
  <c r="G1214" i="1" s="1"/>
  <c r="G1219" i="1" a="1"/>
  <c r="G1219" i="1" s="1"/>
  <c r="G1220" i="1" a="1"/>
  <c r="G1220" i="1" s="1"/>
  <c r="G1221" i="1" a="1"/>
  <c r="G1221" i="1" s="1"/>
  <c r="G1222" i="1" a="1"/>
  <c r="G1222" i="1" s="1"/>
  <c r="G1223" i="1" a="1"/>
  <c r="G1223" i="1" s="1"/>
  <c r="G1224" i="1" a="1"/>
  <c r="G1224" i="1" s="1"/>
  <c r="G1226" i="1" a="1"/>
  <c r="G1226" i="1" s="1"/>
  <c r="G1227" i="1" a="1"/>
  <c r="G1227" i="1" s="1"/>
  <c r="G1229" i="1" a="1"/>
  <c r="G1229" i="1" s="1"/>
  <c r="G1234" i="1" a="1"/>
  <c r="G1234" i="1" s="1"/>
  <c r="G1235" i="1" a="1"/>
  <c r="G1235" i="1" s="1"/>
  <c r="G1236" i="1" a="1"/>
  <c r="G1236" i="1" s="1"/>
  <c r="G1237" i="1" a="1"/>
  <c r="G1237" i="1" s="1"/>
  <c r="G1238" i="1" a="1"/>
  <c r="G1238" i="1" s="1"/>
  <c r="G1239" i="1" a="1"/>
  <c r="G1239" i="1" s="1"/>
  <c r="G1240" i="1" a="1"/>
  <c r="G1240" i="1" s="1"/>
  <c r="G1241" i="1" a="1"/>
  <c r="G1241" i="1" s="1"/>
  <c r="G1242" i="1" a="1"/>
  <c r="G1242" i="1" s="1"/>
  <c r="G1247" i="1" a="1"/>
  <c r="G1247" i="1" s="1"/>
  <c r="G1248" i="1" a="1"/>
  <c r="G1248" i="1" s="1"/>
  <c r="G1249" i="1" a="1"/>
  <c r="G1249" i="1" s="1"/>
  <c r="G1250" i="1" a="1"/>
  <c r="G1250" i="1" s="1"/>
  <c r="G1251" i="1" a="1"/>
  <c r="G1251" i="1" s="1"/>
  <c r="G1252" i="1" a="1"/>
  <c r="G1252" i="1" s="1"/>
  <c r="G1253" i="1" a="1"/>
  <c r="G1253" i="1" s="1"/>
  <c r="G1254" i="1" a="1"/>
  <c r="G1254" i="1" s="1"/>
  <c r="G1255" i="1" a="1"/>
  <c r="G1255" i="1" s="1"/>
  <c r="G1256" i="1" a="1"/>
  <c r="G1256" i="1" s="1"/>
  <c r="G1261" i="1" a="1"/>
  <c r="G1261" i="1" s="1"/>
  <c r="G1262" i="1" a="1"/>
  <c r="G1262" i="1" s="1"/>
  <c r="G1263" i="1" a="1"/>
  <c r="G1263" i="1" s="1"/>
  <c r="G1264" i="1" a="1"/>
  <c r="G1264" i="1" s="1"/>
  <c r="G1265" i="1" a="1"/>
  <c r="G1265" i="1" s="1"/>
  <c r="G1266" i="1" a="1"/>
  <c r="G1266" i="1" s="1"/>
  <c r="G1267" i="1" a="1"/>
  <c r="G1267" i="1" s="1"/>
  <c r="G1268" i="1" a="1"/>
  <c r="G1268" i="1" s="1"/>
  <c r="G1269" i="1" a="1"/>
  <c r="G1269" i="1" s="1"/>
  <c r="G1270" i="1" a="1"/>
  <c r="G1270" i="1" s="1"/>
  <c r="G1275" i="1" a="1"/>
  <c r="G1275" i="1" s="1"/>
  <c r="G1276" i="1" a="1"/>
  <c r="G1276" i="1" s="1"/>
  <c r="G1277" i="1" a="1"/>
  <c r="G1277" i="1" s="1"/>
  <c r="G1278" i="1" a="1"/>
  <c r="G1278" i="1" s="1"/>
  <c r="G1279" i="1" a="1"/>
  <c r="G1279" i="1" s="1"/>
  <c r="G1280" i="1" a="1"/>
  <c r="G1280" i="1" s="1"/>
  <c r="G1281" i="1" a="1"/>
  <c r="G1281" i="1" s="1"/>
  <c r="G1282" i="1" a="1"/>
  <c r="G1282" i="1" s="1"/>
  <c r="G1283" i="1" a="1"/>
  <c r="G1283" i="1" s="1"/>
  <c r="G1284" i="1" a="1"/>
  <c r="G1284" i="1" s="1"/>
  <c r="G1289" i="1" a="1"/>
  <c r="G1289" i="1" s="1"/>
  <c r="G1290" i="1" a="1"/>
  <c r="G1290" i="1" s="1"/>
  <c r="G1291" i="1" a="1"/>
  <c r="G1291" i="1" s="1"/>
  <c r="G1292" i="1" a="1"/>
  <c r="G1292" i="1" s="1"/>
  <c r="G1293" i="1" a="1"/>
  <c r="G1293" i="1" s="1"/>
  <c r="G1294" i="1" a="1"/>
  <c r="G1294" i="1" s="1"/>
  <c r="G1295" i="1" a="1"/>
  <c r="G1295" i="1" s="1"/>
  <c r="G1296" i="1" a="1"/>
  <c r="G1296" i="1" s="1"/>
  <c r="G1298" i="1" a="1"/>
  <c r="G1298" i="1" s="1"/>
  <c r="G1299" i="1" a="1"/>
  <c r="G1299" i="1" s="1"/>
  <c r="G1301" i="1" a="1"/>
  <c r="G1301" i="1" s="1"/>
  <c r="G1306" i="1" a="1"/>
  <c r="G1306" i="1" s="1"/>
  <c r="G1307" i="1" a="1"/>
  <c r="G1307" i="1" s="1"/>
  <c r="G1308" i="1" a="1"/>
  <c r="G1308" i="1" s="1"/>
  <c r="G1309" i="1" a="1"/>
  <c r="G1309" i="1" s="1"/>
  <c r="G1310" i="1" a="1"/>
  <c r="G1310" i="1" s="1"/>
  <c r="G1311" i="1" a="1"/>
  <c r="G1311" i="1" s="1"/>
  <c r="G1312" i="1" a="1"/>
  <c r="G1312" i="1" s="1"/>
  <c r="G1313" i="1" a="1"/>
  <c r="G1313" i="1" s="1"/>
  <c r="G1314" i="1" a="1"/>
  <c r="G1314" i="1" s="1"/>
  <c r="G1315" i="1" a="1"/>
  <c r="G1315" i="1" s="1"/>
  <c r="G1316" i="1" a="1"/>
  <c r="G1316" i="1" s="1"/>
  <c r="G1321" i="1" a="1"/>
  <c r="G1321" i="1" s="1"/>
  <c r="G1322" i="1" a="1"/>
  <c r="G1322" i="1" s="1"/>
  <c r="G1323" i="1" a="1"/>
  <c r="G1323" i="1" s="1"/>
  <c r="G1324" i="1" a="1"/>
  <c r="G1324" i="1" s="1"/>
  <c r="G1325" i="1" a="1"/>
  <c r="G1325" i="1" s="1"/>
  <c r="G1326" i="1" a="1"/>
  <c r="G1326" i="1" s="1"/>
  <c r="G1327" i="1" a="1"/>
  <c r="G1327" i="1" s="1"/>
  <c r="G1328" i="1" a="1"/>
  <c r="G1328" i="1" s="1"/>
  <c r="G1329" i="1" a="1"/>
  <c r="G1329" i="1" s="1"/>
  <c r="G1334" i="1" a="1"/>
  <c r="G1334" i="1" s="1"/>
  <c r="G1335" i="1" a="1"/>
  <c r="G1335" i="1" s="1"/>
  <c r="G1336" i="1" a="1"/>
  <c r="G1336" i="1" s="1"/>
  <c r="G1337" i="1" a="1"/>
  <c r="G1337" i="1" s="1"/>
  <c r="G1338" i="1" a="1"/>
  <c r="G1338" i="1" s="1"/>
  <c r="G1339" i="1" a="1"/>
  <c r="G1339" i="1" s="1"/>
  <c r="G1341" i="1" a="1"/>
  <c r="G1341" i="1" s="1"/>
  <c r="G1342" i="1" a="1"/>
  <c r="G1342" i="1" s="1"/>
  <c r="G1344" i="1" a="1"/>
  <c r="G1344" i="1" s="1"/>
  <c r="G1349" i="1" a="1"/>
  <c r="G1349" i="1" s="1"/>
  <c r="G1350" i="1" a="1"/>
  <c r="G1350" i="1" s="1"/>
  <c r="G1351" i="1" a="1"/>
  <c r="G1351" i="1" s="1"/>
  <c r="G1352" i="1" a="1"/>
  <c r="G1352" i="1" s="1"/>
  <c r="G1353" i="1" a="1"/>
  <c r="G1353" i="1" s="1"/>
  <c r="G1354" i="1" a="1"/>
  <c r="G1354" i="1" s="1"/>
  <c r="G1355" i="1" a="1"/>
  <c r="G1355" i="1" s="1"/>
  <c r="G1356" i="1" a="1"/>
  <c r="G1356" i="1" s="1"/>
  <c r="G1357" i="1" a="1"/>
  <c r="G1357" i="1" s="1"/>
  <c r="G1358" i="1" a="1"/>
  <c r="G1358" i="1" s="1"/>
  <c r="G1363" i="1" a="1"/>
  <c r="G1363" i="1" s="1"/>
  <c r="G1364" i="1" a="1"/>
  <c r="G1364" i="1" s="1"/>
  <c r="G1365" i="1" a="1"/>
  <c r="G1365" i="1" s="1"/>
  <c r="G1366" i="1" a="1"/>
  <c r="G1366" i="1" s="1"/>
  <c r="G1367" i="1" a="1"/>
  <c r="G1367" i="1" s="1"/>
  <c r="G1368" i="1" a="1"/>
  <c r="G1368" i="1" s="1"/>
  <c r="G1369" i="1" a="1"/>
  <c r="G1369" i="1" s="1"/>
  <c r="G1370" i="1" a="1"/>
  <c r="G1370" i="1" s="1"/>
  <c r="G1371" i="1" a="1"/>
  <c r="G1371" i="1" s="1"/>
  <c r="G1372" i="1" a="1"/>
  <c r="G1372" i="1" s="1"/>
  <c r="G1377" i="1" a="1"/>
  <c r="G1377" i="1" s="1"/>
  <c r="G1378" i="1" a="1"/>
  <c r="G1378" i="1" s="1"/>
  <c r="G1379" i="1" a="1"/>
  <c r="G1379" i="1" s="1"/>
  <c r="G1380" i="1" a="1"/>
  <c r="G1380" i="1" s="1"/>
  <c r="G1381" i="1" a="1"/>
  <c r="G1381" i="1" s="1"/>
  <c r="G1382" i="1" a="1"/>
  <c r="G1382" i="1" s="1"/>
  <c r="G1383" i="1" a="1"/>
  <c r="G1383" i="1" s="1"/>
  <c r="G1385" i="1" a="1"/>
  <c r="G1385" i="1" s="1"/>
  <c r="G1386" i="1" a="1"/>
  <c r="G1386" i="1" s="1"/>
  <c r="G1388" i="1" a="1"/>
  <c r="G1388" i="1" s="1"/>
  <c r="G1393" i="1" a="1"/>
  <c r="G1393" i="1" s="1"/>
  <c r="G1394" i="1" a="1"/>
  <c r="G1394" i="1" s="1"/>
  <c r="G1395" i="1" a="1"/>
  <c r="G1395" i="1" s="1"/>
  <c r="G1396" i="1" a="1"/>
  <c r="G1396" i="1" s="1"/>
  <c r="G1397" i="1" a="1"/>
  <c r="G1397" i="1" s="1"/>
  <c r="G1398" i="1" a="1"/>
  <c r="G1398" i="1" s="1"/>
  <c r="G1403" i="1" a="1"/>
  <c r="G1403" i="1" s="1"/>
  <c r="G1404" i="1" a="1"/>
  <c r="G1404" i="1" s="1"/>
  <c r="G1405" i="1" a="1"/>
  <c r="G1405" i="1" s="1"/>
  <c r="G1406" i="1" a="1"/>
  <c r="G1406" i="1" s="1"/>
  <c r="G1407" i="1" a="1"/>
  <c r="G1407" i="1" s="1"/>
  <c r="G1408" i="1" a="1"/>
  <c r="G1408" i="1" s="1"/>
  <c r="G1409" i="1" a="1"/>
  <c r="G1409" i="1" s="1"/>
  <c r="G1410" i="1" a="1"/>
  <c r="G1410" i="1" s="1"/>
  <c r="G1415" i="1" a="1"/>
  <c r="G1415" i="1" s="1"/>
  <c r="G1416" i="1" a="1"/>
  <c r="G1416" i="1" s="1"/>
  <c r="G1417" i="1" a="1"/>
  <c r="G1417" i="1" s="1"/>
  <c r="G1418" i="1" a="1"/>
  <c r="G1418" i="1" s="1"/>
  <c r="G1419" i="1" a="1"/>
  <c r="G1419" i="1" s="1"/>
  <c r="G1420" i="1" a="1"/>
  <c r="G1420" i="1" s="1"/>
  <c r="G1421" i="1" a="1"/>
  <c r="G1421" i="1" s="1"/>
  <c r="G1422" i="1" a="1"/>
  <c r="G1422" i="1" s="1"/>
  <c r="G1427" i="1" a="1"/>
  <c r="G1427" i="1" s="1"/>
  <c r="G1428" i="1" a="1"/>
  <c r="G1428" i="1" s="1"/>
  <c r="G1429" i="1" a="1"/>
  <c r="G1429" i="1" s="1"/>
  <c r="G1430" i="1" a="1"/>
  <c r="G1430" i="1" s="1"/>
  <c r="G1431" i="1" a="1"/>
  <c r="G1431" i="1" s="1"/>
  <c r="G1432" i="1" a="1"/>
  <c r="G1432" i="1" s="1"/>
  <c r="G1433" i="1" a="1"/>
  <c r="G1433" i="1" s="1"/>
  <c r="G1434" i="1" a="1"/>
  <c r="G1434" i="1" s="1"/>
  <c r="G1439" i="1" a="1"/>
  <c r="G1439" i="1" s="1"/>
  <c r="G1440" i="1" a="1"/>
  <c r="G1440" i="1" s="1"/>
  <c r="G1441" i="1" a="1"/>
  <c r="G1441" i="1" s="1"/>
  <c r="G1442" i="1" a="1"/>
  <c r="G1442" i="1" s="1"/>
  <c r="G1443" i="1" a="1"/>
  <c r="G1443" i="1" s="1"/>
  <c r="G1444" i="1" a="1"/>
  <c r="G1444" i="1" s="1"/>
  <c r="G1445" i="1" a="1"/>
  <c r="G1445" i="1" s="1"/>
  <c r="G1446" i="1" a="1"/>
  <c r="G1446" i="1" s="1"/>
  <c r="G1451" i="1" a="1"/>
  <c r="G1451" i="1" s="1"/>
  <c r="G1452" i="1" a="1"/>
  <c r="G1452" i="1" s="1"/>
  <c r="G1453" i="1" a="1"/>
  <c r="G1453" i="1" s="1"/>
  <c r="G1454" i="1" a="1"/>
  <c r="G1454" i="1" s="1"/>
  <c r="G1455" i="1" a="1"/>
  <c r="G1455" i="1" s="1"/>
  <c r="G1457" i="1" a="1"/>
  <c r="G1457" i="1" s="1"/>
  <c r="G1459" i="1" a="1"/>
  <c r="G1459" i="1" s="1"/>
  <c r="G1460" i="1" a="1"/>
  <c r="G1460" i="1" s="1"/>
  <c r="G1462" i="1" a="1"/>
  <c r="G1462" i="1" s="1"/>
  <c r="G1467" i="1" a="1"/>
  <c r="G1467" i="1" s="1"/>
  <c r="G1468" i="1" a="1"/>
  <c r="G1468" i="1" s="1"/>
  <c r="G1469" i="1" a="1"/>
  <c r="G1469" i="1" s="1"/>
  <c r="G1471" i="1" a="1"/>
  <c r="G1471" i="1" s="1"/>
  <c r="G1472" i="1" a="1"/>
  <c r="G1472" i="1" s="1"/>
  <c r="G1474" i="1" a="1"/>
  <c r="G1474" i="1" s="1"/>
  <c r="G1479" i="1" a="1"/>
  <c r="G1479" i="1" s="1"/>
  <c r="G1480" i="1" a="1"/>
  <c r="G1480" i="1" s="1"/>
  <c r="G1481" i="1" a="1"/>
  <c r="G1481" i="1" s="1"/>
  <c r="G1482" i="1" a="1"/>
  <c r="G1482" i="1" s="1"/>
  <c r="G1483" i="1" a="1"/>
  <c r="G1483" i="1" s="1"/>
  <c r="G1484" i="1" a="1"/>
  <c r="G1484" i="1" s="1"/>
  <c r="G1486" i="1" a="1"/>
  <c r="G1486" i="1" s="1"/>
  <c r="G1488" i="1" a="1"/>
  <c r="G1488" i="1" s="1"/>
  <c r="G1489" i="1" a="1"/>
  <c r="G1489" i="1" s="1"/>
  <c r="G1491" i="1" a="1"/>
  <c r="G1491" i="1" s="1"/>
  <c r="G1496" i="1" a="1"/>
  <c r="G1496" i="1" s="1"/>
  <c r="G1497" i="1" a="1"/>
  <c r="G1497" i="1" s="1"/>
  <c r="G1498" i="1" a="1"/>
  <c r="G1498" i="1" s="1"/>
  <c r="G1499" i="1" a="1"/>
  <c r="G1499" i="1" s="1"/>
  <c r="G1500" i="1" a="1"/>
  <c r="G1500" i="1" s="1"/>
  <c r="G1501" i="1" a="1"/>
  <c r="G1501" i="1" s="1"/>
  <c r="G1502" i="1" a="1"/>
  <c r="G1502" i="1" s="1"/>
  <c r="G1503" i="1" a="1"/>
  <c r="G1503" i="1" s="1"/>
  <c r="G1504" i="1" a="1"/>
  <c r="G1504" i="1" s="1"/>
  <c r="G1505" i="1" a="1"/>
  <c r="G1505" i="1" s="1"/>
  <c r="G1506" i="1" a="1"/>
  <c r="G1506" i="1" s="1"/>
  <c r="G1507" i="1" a="1"/>
  <c r="G1507" i="1" s="1"/>
  <c r="G1508" i="1" a="1"/>
  <c r="G1508" i="1" s="1"/>
  <c r="G1509" i="1" a="1"/>
  <c r="G1509" i="1" s="1"/>
  <c r="G1510" i="1" a="1"/>
  <c r="G1510" i="1" s="1"/>
  <c r="G1511" i="1" a="1"/>
  <c r="G1511" i="1" s="1"/>
  <c r="G1512" i="1" a="1"/>
  <c r="G1512" i="1" s="1"/>
  <c r="G1513" i="1" a="1"/>
  <c r="G1513" i="1" s="1"/>
  <c r="G1514" i="1" a="1"/>
  <c r="G1514" i="1" s="1"/>
  <c r="G1515" i="1" a="1"/>
  <c r="G1515" i="1" s="1"/>
  <c r="G1519" i="1" a="1"/>
  <c r="G1519" i="1" s="1"/>
  <c r="G1520" i="1" a="1"/>
  <c r="G1520" i="1" s="1"/>
  <c r="G1521" i="1" a="1"/>
  <c r="G1521" i="1" s="1"/>
  <c r="G1522" i="1" a="1"/>
  <c r="G1522" i="1" s="1"/>
  <c r="G1523" i="1" a="1"/>
  <c r="G1523" i="1" s="1"/>
  <c r="G1524" i="1" a="1"/>
  <c r="G1524" i="1" s="1"/>
  <c r="G1525" i="1" a="1"/>
  <c r="G1525" i="1" s="1"/>
  <c r="G1526" i="1" a="1"/>
  <c r="G1526" i="1" s="1"/>
  <c r="G1527" i="1" a="1"/>
  <c r="G1527" i="1" s="1"/>
  <c r="G1528" i="1" a="1"/>
  <c r="G1528" i="1" s="1"/>
  <c r="G1529" i="1" a="1"/>
  <c r="G1529" i="1" s="1"/>
  <c r="G1530" i="1" a="1"/>
  <c r="G1530" i="1" s="1"/>
  <c r="G1531" i="1" a="1"/>
  <c r="G1531" i="1" s="1"/>
  <c r="G1532" i="1" a="1"/>
  <c r="G1532" i="1" s="1"/>
  <c r="G1533" i="1" a="1"/>
  <c r="G1533" i="1" s="1"/>
  <c r="G1534" i="1" a="1"/>
  <c r="G1534" i="1" s="1"/>
  <c r="G1535" i="1" a="1"/>
  <c r="G1535" i="1" s="1"/>
  <c r="G1538" i="1" a="1"/>
  <c r="G1538" i="1" s="1"/>
  <c r="G1539" i="1" a="1"/>
  <c r="G1539" i="1" s="1"/>
  <c r="G1540" i="1" a="1"/>
  <c r="G1540" i="1" s="1"/>
  <c r="G1541" i="1" a="1"/>
  <c r="G1541" i="1" s="1"/>
  <c r="G1542" i="1" a="1"/>
  <c r="G1542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2" i="1" a="1"/>
  <c r="F72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7" i="1" a="1"/>
  <c r="F97" i="1" s="1"/>
  <c r="F98" i="1" a="1"/>
  <c r="F98" i="1" s="1"/>
  <c r="F100" i="1" a="1"/>
  <c r="F100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4" i="1" a="1"/>
  <c r="F124" i="1" s="1"/>
  <c r="F125" i="1" a="1"/>
  <c r="F125" i="1" s="1"/>
  <c r="F126" i="1" a="1"/>
  <c r="F126" i="1" s="1"/>
  <c r="F131" i="1" a="1"/>
  <c r="F131" i="1" s="1"/>
  <c r="F132" i="1" a="1"/>
  <c r="F132" i="1" s="1"/>
  <c r="F133" i="1" a="1"/>
  <c r="F133" i="1" s="1"/>
  <c r="F134" i="1" a="1"/>
  <c r="F134" i="1" s="1"/>
  <c r="F136" i="1" a="1"/>
  <c r="F136" i="1" s="1"/>
  <c r="F137" i="1" a="1"/>
  <c r="F137" i="1" s="1"/>
  <c r="F139" i="1" a="1"/>
  <c r="F139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2" i="1" a="1"/>
  <c r="F152" i="1" s="1"/>
  <c r="F153" i="1" a="1"/>
  <c r="F153" i="1" s="1"/>
  <c r="F155" i="1" a="1"/>
  <c r="F155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7" i="1" a="1"/>
  <c r="F167" i="1" s="1"/>
  <c r="F169" i="1" a="1"/>
  <c r="F169" i="1" s="1"/>
  <c r="F170" i="1" a="1"/>
  <c r="F170" i="1" s="1"/>
  <c r="F172" i="1" a="1"/>
  <c r="F172" i="1" s="1"/>
  <c r="F177" i="1" a="1"/>
  <c r="F177" i="1" s="1"/>
  <c r="F178" i="1" a="1"/>
  <c r="F178" i="1" s="1"/>
  <c r="F217" i="1" a="1"/>
  <c r="F217" i="1" s="1"/>
  <c r="F218" i="1" a="1"/>
  <c r="F218" i="1" s="1"/>
  <c r="F220" i="1" a="1"/>
  <c r="F220" i="1" s="1"/>
  <c r="F221" i="1" a="1"/>
  <c r="F221" i="1" s="1"/>
  <c r="F223" i="1" a="1"/>
  <c r="F223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179" i="1" a="1"/>
  <c r="F179" i="1" s="1"/>
  <c r="F180" i="1" a="1"/>
  <c r="F180" i="1" s="1"/>
  <c r="F181" i="1" a="1"/>
  <c r="F181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34" i="1" a="1"/>
  <c r="F234" i="1" s="1"/>
  <c r="F235" i="1" a="1"/>
  <c r="F235" i="1" s="1"/>
  <c r="F236" i="1" a="1"/>
  <c r="F236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2" i="1" a="1"/>
  <c r="F262" i="1" s="1"/>
  <c r="F263" i="1" a="1"/>
  <c r="F263" i="1" s="1"/>
  <c r="F265" i="1" a="1"/>
  <c r="F265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90" i="1" a="1"/>
  <c r="F290" i="1" s="1"/>
  <c r="F291" i="1" a="1"/>
  <c r="F291" i="1" s="1"/>
  <c r="F292" i="1" a="1"/>
  <c r="F292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5" i="1" a="1"/>
  <c r="F345" i="1" s="1"/>
  <c r="F346" i="1" a="1"/>
  <c r="F346" i="1" s="1"/>
  <c r="F347" i="1" a="1"/>
  <c r="F347" i="1" s="1"/>
  <c r="F348" i="1" a="1"/>
  <c r="F348" i="1" s="1"/>
  <c r="F350" i="1" a="1"/>
  <c r="F350" i="1" s="1"/>
  <c r="F351" i="1" a="1"/>
  <c r="F351" i="1" s="1"/>
  <c r="F353" i="1" a="1"/>
  <c r="F353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3" i="1" a="1"/>
  <c r="F363" i="1" s="1"/>
  <c r="F364" i="1" a="1"/>
  <c r="F364" i="1" s="1"/>
  <c r="F365" i="1" a="1"/>
  <c r="F365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375" i="1" a="1"/>
  <c r="F375" i="1" s="1"/>
  <c r="F376" i="1" a="1"/>
  <c r="F376" i="1" s="1"/>
  <c r="F377" i="1" a="1"/>
  <c r="F377" i="1" s="1"/>
  <c r="F382" i="1" a="1"/>
  <c r="F382" i="1" s="1"/>
  <c r="F383" i="1" a="1"/>
  <c r="F383" i="1" s="1"/>
  <c r="F384" i="1" a="1"/>
  <c r="F384" i="1" s="1"/>
  <c r="F385" i="1" a="1"/>
  <c r="F385" i="1" s="1"/>
  <c r="F386" i="1" a="1"/>
  <c r="F386" i="1" s="1"/>
  <c r="F387" i="1" a="1"/>
  <c r="F387" i="1" s="1"/>
  <c r="F388" i="1" a="1"/>
  <c r="F388" i="1" s="1"/>
  <c r="F389" i="1" a="1"/>
  <c r="F389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399" i="1" a="1"/>
  <c r="F399" i="1" s="1"/>
  <c r="F400" i="1" a="1"/>
  <c r="F400" i="1" s="1"/>
  <c r="F401" i="1" a="1"/>
  <c r="F401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1" i="1" a="1"/>
  <c r="F411" i="1" s="1"/>
  <c r="F412" i="1" a="1"/>
  <c r="F412" i="1" s="1"/>
  <c r="F413" i="1" a="1"/>
  <c r="F413" i="1" s="1"/>
  <c r="F414" i="1" a="1"/>
  <c r="F414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31" i="1" a="1"/>
  <c r="F431" i="1" s="1"/>
  <c r="F432" i="1" a="1"/>
  <c r="F432" i="1" s="1"/>
  <c r="F433" i="1" a="1"/>
  <c r="F433" i="1" s="1"/>
  <c r="F435" i="1" a="1"/>
  <c r="F435" i="1" s="1"/>
  <c r="F437" i="1" a="1"/>
  <c r="F437" i="1" s="1"/>
  <c r="F438" i="1" a="1"/>
  <c r="F438" i="1" s="1"/>
  <c r="F440" i="1" a="1"/>
  <c r="F440" i="1" s="1"/>
  <c r="F446" i="1" a="1"/>
  <c r="F446" i="1" s="1"/>
  <c r="F447" i="1" a="1"/>
  <c r="F447" i="1" s="1"/>
  <c r="F448" i="1" a="1"/>
  <c r="F448" i="1" s="1"/>
  <c r="F450" i="1" a="1"/>
  <c r="F450" i="1" s="1"/>
  <c r="F451" i="1" a="1"/>
  <c r="F451" i="1" s="1"/>
  <c r="F453" i="1" a="1"/>
  <c r="F453" i="1" s="1"/>
  <c r="F458" i="1" a="1"/>
  <c r="F458" i="1" s="1"/>
  <c r="F459" i="1" a="1"/>
  <c r="F459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72" i="1" a="1"/>
  <c r="F472" i="1" s="1"/>
  <c r="F473" i="1" a="1"/>
  <c r="F473" i="1" s="1"/>
  <c r="F474" i="1" a="1"/>
  <c r="F474" i="1" s="1"/>
  <c r="F475" i="1" a="1"/>
  <c r="F475" i="1" s="1"/>
  <c r="F476" i="1" a="1"/>
  <c r="F476" i="1" s="1"/>
  <c r="F477" i="1" a="1"/>
  <c r="F477" i="1" s="1"/>
  <c r="F478" i="1" a="1"/>
  <c r="F478" i="1" s="1"/>
  <c r="F479" i="1" a="1"/>
  <c r="F479" i="1" s="1"/>
  <c r="F481" i="1" a="1"/>
  <c r="F481" i="1" s="1"/>
  <c r="F482" i="1" a="1"/>
  <c r="F482" i="1" s="1"/>
  <c r="F484" i="1" a="1"/>
  <c r="F484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95" i="1" a="1"/>
  <c r="F495" i="1" s="1"/>
  <c r="F496" i="1" a="1"/>
  <c r="F496" i="1" s="1"/>
  <c r="F497" i="1" a="1"/>
  <c r="F497" i="1" s="1"/>
  <c r="F502" i="1" a="1"/>
  <c r="F502" i="1" s="1"/>
  <c r="F503" i="1" a="1"/>
  <c r="F503" i="1" s="1"/>
  <c r="F504" i="1" a="1"/>
  <c r="F504" i="1" s="1"/>
  <c r="F505" i="1" a="1"/>
  <c r="F505" i="1" s="1"/>
  <c r="F506" i="1" a="1"/>
  <c r="F506" i="1" s="1"/>
  <c r="F507" i="1" a="1"/>
  <c r="F507" i="1" s="1"/>
  <c r="F512" i="1" a="1"/>
  <c r="F512" i="1" s="1"/>
  <c r="F513" i="1" a="1"/>
  <c r="F513" i="1" s="1"/>
  <c r="F514" i="1" a="1"/>
  <c r="F514" i="1" s="1"/>
  <c r="F515" i="1" a="1"/>
  <c r="F515" i="1" s="1"/>
  <c r="F517" i="1" a="1"/>
  <c r="F517" i="1" s="1"/>
  <c r="F518" i="1" a="1"/>
  <c r="F518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0" i="1" a="1"/>
  <c r="F530" i="1" s="1"/>
  <c r="F531" i="1" a="1"/>
  <c r="F531" i="1" s="1"/>
  <c r="F533" i="1" a="1"/>
  <c r="F533" i="1" s="1"/>
  <c r="F534" i="1" a="1"/>
  <c r="F534" i="1" s="1"/>
  <c r="F536" i="1" a="1"/>
  <c r="F536" i="1" s="1"/>
  <c r="F541" i="1" a="1"/>
  <c r="F541" i="1" s="1"/>
  <c r="F542" i="1" a="1"/>
  <c r="F542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9" i="1" a="1"/>
  <c r="F549" i="1" s="1"/>
  <c r="F550" i="1" a="1"/>
  <c r="F550" i="1" s="1"/>
  <c r="F552" i="1" a="1"/>
  <c r="F552" i="1" s="1"/>
  <c r="F557" i="1" a="1"/>
  <c r="F557" i="1" s="1"/>
  <c r="F558" i="1" a="1"/>
  <c r="F558" i="1" s="1"/>
  <c r="F559" i="1" a="1"/>
  <c r="F559" i="1" s="1"/>
  <c r="F560" i="1" a="1"/>
  <c r="F560" i="1" s="1"/>
  <c r="F562" i="1" a="1"/>
  <c r="F562" i="1" s="1"/>
  <c r="F563" i="1" a="1"/>
  <c r="F563" i="1" s="1"/>
  <c r="F565" i="1" a="1"/>
  <c r="F565" i="1" s="1"/>
  <c r="F570" i="1" a="1"/>
  <c r="F570" i="1" s="1"/>
  <c r="F571" i="1" a="1"/>
  <c r="F571" i="1" s="1"/>
  <c r="F572" i="1" a="1"/>
  <c r="F572" i="1" s="1"/>
  <c r="F573" i="1" a="1"/>
  <c r="F573" i="1" s="1"/>
  <c r="F574" i="1" a="1"/>
  <c r="F574" i="1" s="1"/>
  <c r="F575" i="1" a="1"/>
  <c r="F575" i="1" s="1"/>
  <c r="F576" i="1" a="1"/>
  <c r="F576" i="1" s="1"/>
  <c r="F577" i="1" a="1"/>
  <c r="F577" i="1" s="1"/>
  <c r="F520" i="1" a="1"/>
  <c r="F520" i="1" s="1"/>
  <c r="F582" i="1" a="1"/>
  <c r="F582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92" i="1" a="1"/>
  <c r="F592" i="1" s="1"/>
  <c r="F593" i="1" a="1"/>
  <c r="F593" i="1" s="1"/>
  <c r="F594" i="1" a="1"/>
  <c r="F594" i="1" s="1"/>
  <c r="F595" i="1" a="1"/>
  <c r="F595" i="1" s="1"/>
  <c r="F596" i="1" a="1"/>
  <c r="F596" i="1" s="1"/>
  <c r="F597" i="1" a="1"/>
  <c r="F597" i="1" s="1"/>
  <c r="F598" i="1" a="1"/>
  <c r="F598" i="1" s="1"/>
  <c r="F599" i="1" a="1"/>
  <c r="F599" i="1" s="1"/>
  <c r="F600" i="1" a="1"/>
  <c r="F600" i="1" s="1"/>
  <c r="F605" i="1" a="1"/>
  <c r="F605" i="1" s="1"/>
  <c r="F606" i="1" a="1"/>
  <c r="F606" i="1" s="1"/>
  <c r="F607" i="1" a="1"/>
  <c r="F607" i="1" s="1"/>
  <c r="F608" i="1" a="1"/>
  <c r="F608" i="1" s="1"/>
  <c r="F609" i="1" a="1"/>
  <c r="F609" i="1" s="1"/>
  <c r="F610" i="1" a="1"/>
  <c r="F610" i="1" s="1"/>
  <c r="F615" i="1" a="1"/>
  <c r="F615" i="1" s="1"/>
  <c r="F616" i="1" a="1"/>
  <c r="F616" i="1" s="1"/>
  <c r="F617" i="1" a="1"/>
  <c r="F617" i="1" s="1"/>
  <c r="F618" i="1" a="1"/>
  <c r="F618" i="1" s="1"/>
  <c r="F619" i="1" a="1"/>
  <c r="F619" i="1" s="1"/>
  <c r="F620" i="1" a="1"/>
  <c r="F620" i="1" s="1"/>
  <c r="F625" i="1" a="1"/>
  <c r="F625" i="1" s="1"/>
  <c r="F626" i="1" a="1"/>
  <c r="F626" i="1" s="1"/>
  <c r="F627" i="1" a="1"/>
  <c r="F627" i="1" s="1"/>
  <c r="F628" i="1" a="1"/>
  <c r="F628" i="1" s="1"/>
  <c r="F629" i="1" a="1"/>
  <c r="F629" i="1" s="1"/>
  <c r="F630" i="1" a="1"/>
  <c r="F630" i="1" s="1"/>
  <c r="F631" i="1" a="1"/>
  <c r="F631" i="1" s="1"/>
  <c r="F632" i="1" a="1"/>
  <c r="F632" i="1" s="1"/>
  <c r="F633" i="1" a="1"/>
  <c r="F633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3" i="1" a="1"/>
  <c r="F643" i="1" s="1"/>
  <c r="F644" i="1" a="1"/>
  <c r="F644" i="1" s="1"/>
  <c r="F645" i="1" a="1"/>
  <c r="F645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5" i="1" a="1"/>
  <c r="F655" i="1" s="1"/>
  <c r="F656" i="1" a="1"/>
  <c r="F656" i="1" s="1"/>
  <c r="F657" i="1" a="1"/>
  <c r="F657" i="1" s="1"/>
  <c r="F658" i="1" a="1"/>
  <c r="F658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8" i="1" a="1"/>
  <c r="F668" i="1" s="1"/>
  <c r="F669" i="1" a="1"/>
  <c r="F669" i="1" s="1"/>
  <c r="F670" i="1" a="1"/>
  <c r="F670" i="1" s="1"/>
  <c r="F671" i="1" a="1"/>
  <c r="F671" i="1" s="1"/>
  <c r="F672" i="1" a="1"/>
  <c r="F672" i="1" s="1"/>
  <c r="F673" i="1" a="1"/>
  <c r="F673" i="1" s="1"/>
  <c r="F674" i="1" a="1"/>
  <c r="F674" i="1" s="1"/>
  <c r="F676" i="1" a="1"/>
  <c r="F676" i="1" s="1"/>
  <c r="F677" i="1" a="1"/>
  <c r="F677" i="1" s="1"/>
  <c r="F679" i="1" a="1"/>
  <c r="F679" i="1" s="1"/>
  <c r="F684" i="1" a="1"/>
  <c r="F684" i="1" s="1"/>
  <c r="F685" i="1" a="1"/>
  <c r="F685" i="1" s="1"/>
  <c r="F686" i="1" a="1"/>
  <c r="F686" i="1" s="1"/>
  <c r="F687" i="1" a="1"/>
  <c r="F687" i="1" s="1"/>
  <c r="F688" i="1" a="1"/>
  <c r="F688" i="1" s="1"/>
  <c r="F689" i="1" a="1"/>
  <c r="F689" i="1" s="1"/>
  <c r="F691" i="1" a="1"/>
  <c r="F691" i="1" s="1"/>
  <c r="F693" i="1" a="1"/>
  <c r="F693" i="1" s="1"/>
  <c r="F694" i="1" a="1"/>
  <c r="F694" i="1" s="1"/>
  <c r="F696" i="1" a="1"/>
  <c r="F696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10" i="1" a="1"/>
  <c r="F710" i="1" s="1"/>
  <c r="F711" i="1" a="1"/>
  <c r="F711" i="1" s="1"/>
  <c r="F712" i="1" a="1"/>
  <c r="F712" i="1" s="1"/>
  <c r="F713" i="1" a="1"/>
  <c r="F713" i="1" s="1"/>
  <c r="F714" i="1" a="1"/>
  <c r="F714" i="1" s="1"/>
  <c r="F715" i="1" a="1"/>
  <c r="F715" i="1" s="1"/>
  <c r="F716" i="1" a="1"/>
  <c r="F716" i="1" s="1"/>
  <c r="F718" i="1" a="1"/>
  <c r="F718" i="1" s="1"/>
  <c r="F719" i="1" a="1"/>
  <c r="F719" i="1" s="1"/>
  <c r="F721" i="1" a="1"/>
  <c r="F721" i="1" s="1"/>
  <c r="F726" i="1" a="1"/>
  <c r="F726" i="1" s="1"/>
  <c r="F727" i="1" a="1"/>
  <c r="F727" i="1" s="1"/>
  <c r="F728" i="1" a="1"/>
  <c r="F728" i="1" s="1"/>
  <c r="F729" i="1" a="1"/>
  <c r="F729" i="1" s="1"/>
  <c r="F730" i="1" a="1"/>
  <c r="F730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3" i="1" a="1"/>
  <c r="F763" i="1" s="1"/>
  <c r="F764" i="1" a="1"/>
  <c r="F764" i="1" s="1"/>
  <c r="F765" i="1" a="1"/>
  <c r="F765" i="1" s="1"/>
  <c r="F766" i="1" a="1"/>
  <c r="F766" i="1" s="1"/>
  <c r="F771" i="1" a="1"/>
  <c r="F771" i="1" s="1"/>
  <c r="F772" i="1" a="1"/>
  <c r="F772" i="1" s="1"/>
  <c r="F773" i="1" a="1"/>
  <c r="F773" i="1" s="1"/>
  <c r="F774" i="1" a="1"/>
  <c r="F774" i="1" s="1"/>
  <c r="F775" i="1" a="1"/>
  <c r="F775" i="1" s="1"/>
  <c r="F776" i="1" a="1"/>
  <c r="F776" i="1" s="1"/>
  <c r="F777" i="1" a="1"/>
  <c r="F777" i="1" s="1"/>
  <c r="F778" i="1" a="1"/>
  <c r="F778" i="1" s="1"/>
  <c r="F779" i="1" a="1"/>
  <c r="F779" i="1" s="1"/>
  <c r="F780" i="1" a="1"/>
  <c r="F780" i="1" s="1"/>
  <c r="F781" i="1" a="1"/>
  <c r="F781" i="1" s="1"/>
  <c r="F783" i="1" a="1"/>
  <c r="F783" i="1" s="1"/>
  <c r="F784" i="1" a="1"/>
  <c r="F784" i="1" s="1"/>
  <c r="F786" i="1" a="1"/>
  <c r="F786" i="1" s="1"/>
  <c r="F791" i="1" a="1"/>
  <c r="F791" i="1" s="1"/>
  <c r="F792" i="1" a="1"/>
  <c r="F792" i="1" s="1"/>
  <c r="F793" i="1" a="1"/>
  <c r="F793" i="1" s="1"/>
  <c r="F794" i="1" a="1"/>
  <c r="F794" i="1" s="1"/>
  <c r="F795" i="1" a="1"/>
  <c r="F795" i="1" s="1"/>
  <c r="F796" i="1" a="1"/>
  <c r="F796" i="1" s="1"/>
  <c r="F797" i="1" a="1"/>
  <c r="F797" i="1" s="1"/>
  <c r="F799" i="1" a="1"/>
  <c r="F799" i="1" s="1"/>
  <c r="F800" i="1" a="1"/>
  <c r="F800" i="1" s="1"/>
  <c r="F802" i="1" a="1"/>
  <c r="F802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2" i="1" a="1"/>
  <c r="F812" i="1" s="1"/>
  <c r="F813" i="1" a="1"/>
  <c r="F813" i="1" s="1"/>
  <c r="F814" i="1" a="1"/>
  <c r="F814" i="1" s="1"/>
  <c r="F815" i="1" a="1"/>
  <c r="F815" i="1" s="1"/>
  <c r="F816" i="1" a="1"/>
  <c r="F816" i="1" s="1"/>
  <c r="F821" i="1" a="1"/>
  <c r="F821" i="1" s="1"/>
  <c r="F822" i="1" a="1"/>
  <c r="F822" i="1" s="1"/>
  <c r="F823" i="1" a="1"/>
  <c r="F823" i="1" s="1"/>
  <c r="F824" i="1" a="1"/>
  <c r="F824" i="1" s="1"/>
  <c r="F825" i="1" a="1"/>
  <c r="F825" i="1" s="1"/>
  <c r="F826" i="1" a="1"/>
  <c r="F826" i="1" s="1"/>
  <c r="F827" i="1" a="1"/>
  <c r="F827" i="1" s="1"/>
  <c r="F829" i="1" a="1"/>
  <c r="F829" i="1" s="1"/>
  <c r="F830" i="1" a="1"/>
  <c r="F830" i="1" s="1"/>
  <c r="F832" i="1" a="1"/>
  <c r="F832" i="1" s="1"/>
  <c r="F837" i="1" a="1"/>
  <c r="F837" i="1" s="1"/>
  <c r="F838" i="1" a="1"/>
  <c r="F838" i="1" s="1"/>
  <c r="F839" i="1" a="1"/>
  <c r="F839" i="1" s="1"/>
  <c r="F840" i="1" a="1"/>
  <c r="F840" i="1" s="1"/>
  <c r="F841" i="1" a="1"/>
  <c r="F841" i="1" s="1"/>
  <c r="F842" i="1" a="1"/>
  <c r="F842" i="1" s="1"/>
  <c r="F843" i="1" a="1"/>
  <c r="F843" i="1" s="1"/>
  <c r="F844" i="1" a="1"/>
  <c r="F844" i="1" s="1"/>
  <c r="F846" i="1" a="1"/>
  <c r="F846" i="1" s="1"/>
  <c r="F847" i="1" a="1"/>
  <c r="F847" i="1" s="1"/>
  <c r="F849" i="1" a="1"/>
  <c r="F849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1" i="1" a="1"/>
  <c r="F861" i="1" s="1"/>
  <c r="F863" i="1" a="1"/>
  <c r="F863" i="1" s="1"/>
  <c r="F864" i="1" a="1"/>
  <c r="F864" i="1" s="1"/>
  <c r="F866" i="1" a="1"/>
  <c r="F866" i="1" s="1"/>
  <c r="F871" i="1" a="1"/>
  <c r="F871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7" i="1" a="1"/>
  <c r="F877" i="1" s="1"/>
  <c r="F878" i="1" a="1"/>
  <c r="F878" i="1" s="1"/>
  <c r="F879" i="1" a="1"/>
  <c r="F879" i="1" s="1"/>
  <c r="F884" i="1" a="1"/>
  <c r="F884" i="1" s="1"/>
  <c r="F885" i="1" a="1"/>
  <c r="F885" i="1" s="1"/>
  <c r="F886" i="1" a="1"/>
  <c r="F886" i="1" s="1"/>
  <c r="F887" i="1" a="1"/>
  <c r="F887" i="1" s="1"/>
  <c r="F888" i="1" a="1"/>
  <c r="F888" i="1" s="1"/>
  <c r="F889" i="1" a="1"/>
  <c r="F889" i="1" s="1"/>
  <c r="F890" i="1" a="1"/>
  <c r="F890" i="1" s="1"/>
  <c r="F891" i="1" a="1"/>
  <c r="F891" i="1" s="1"/>
  <c r="F892" i="1" a="1"/>
  <c r="F892" i="1" s="1"/>
  <c r="F897" i="1" a="1"/>
  <c r="F897" i="1" s="1"/>
  <c r="F898" i="1" a="1"/>
  <c r="F898" i="1" s="1"/>
  <c r="F899" i="1" a="1"/>
  <c r="F899" i="1" s="1"/>
  <c r="F900" i="1" a="1"/>
  <c r="F900" i="1" s="1"/>
  <c r="F901" i="1" a="1"/>
  <c r="F901" i="1" s="1"/>
  <c r="F902" i="1" a="1"/>
  <c r="F902" i="1" s="1"/>
  <c r="F903" i="1" a="1"/>
  <c r="F903" i="1" s="1"/>
  <c r="F905" i="1" a="1"/>
  <c r="F905" i="1" s="1"/>
  <c r="F906" i="1" a="1"/>
  <c r="F906" i="1" s="1"/>
  <c r="F908" i="1" a="1"/>
  <c r="F908" i="1" s="1"/>
  <c r="F914" i="1" a="1"/>
  <c r="F914" i="1" s="1"/>
  <c r="F915" i="1" a="1"/>
  <c r="F915" i="1" s="1"/>
  <c r="F916" i="1" a="1"/>
  <c r="F916" i="1" s="1"/>
  <c r="F917" i="1" a="1"/>
  <c r="F917" i="1" s="1"/>
  <c r="F918" i="1" a="1"/>
  <c r="F918" i="1" s="1"/>
  <c r="F919" i="1" a="1"/>
  <c r="F919" i="1" s="1"/>
  <c r="F921" i="1" a="1"/>
  <c r="F921" i="1" s="1"/>
  <c r="F922" i="1" a="1"/>
  <c r="F922" i="1" s="1"/>
  <c r="F924" i="1" a="1"/>
  <c r="F924" i="1" s="1"/>
  <c r="F930" i="1" a="1"/>
  <c r="F930" i="1" s="1"/>
  <c r="F931" i="1" a="1"/>
  <c r="F931" i="1" s="1"/>
  <c r="F932" i="1" a="1"/>
  <c r="F932" i="1" s="1"/>
  <c r="F933" i="1" a="1"/>
  <c r="F933" i="1" s="1"/>
  <c r="F934" i="1" a="1"/>
  <c r="F934" i="1" s="1"/>
  <c r="F935" i="1" a="1"/>
  <c r="F935" i="1" s="1"/>
  <c r="F937" i="1" a="1"/>
  <c r="F937" i="1" s="1"/>
  <c r="F938" i="1" a="1"/>
  <c r="F938" i="1" s="1"/>
  <c r="F940" i="1" a="1"/>
  <c r="F940" i="1" s="1"/>
  <c r="F945" i="1" a="1"/>
  <c r="F945" i="1" s="1"/>
  <c r="F946" i="1" a="1"/>
  <c r="F946" i="1" s="1"/>
  <c r="F947" i="1" a="1"/>
  <c r="F947" i="1" s="1"/>
  <c r="F948" i="1" a="1"/>
  <c r="F948" i="1" s="1"/>
  <c r="F949" i="1" a="1"/>
  <c r="F949" i="1" s="1"/>
  <c r="F950" i="1" a="1"/>
  <c r="F950" i="1" s="1"/>
  <c r="F951" i="1" a="1"/>
  <c r="F951" i="1" s="1"/>
  <c r="F952" i="1" a="1"/>
  <c r="F952" i="1" s="1"/>
  <c r="F953" i="1" a="1"/>
  <c r="F953" i="1" s="1"/>
  <c r="F958" i="1" a="1"/>
  <c r="F958" i="1" s="1"/>
  <c r="F959" i="1" a="1"/>
  <c r="F959" i="1" s="1"/>
  <c r="F960" i="1" a="1"/>
  <c r="F960" i="1" s="1"/>
  <c r="F961" i="1" a="1"/>
  <c r="F961" i="1" s="1"/>
  <c r="F962" i="1" a="1"/>
  <c r="F962" i="1" s="1"/>
  <c r="F964" i="1" a="1"/>
  <c r="F964" i="1" s="1"/>
  <c r="F966" i="1" a="1"/>
  <c r="F966" i="1" s="1"/>
  <c r="F967" i="1" a="1"/>
  <c r="F967" i="1" s="1"/>
  <c r="F969" i="1" a="1"/>
  <c r="F969" i="1" s="1"/>
  <c r="F974" i="1" a="1"/>
  <c r="F974" i="1" s="1"/>
  <c r="F975" i="1" a="1"/>
  <c r="F975" i="1" s="1"/>
  <c r="F976" i="1" a="1"/>
  <c r="F976" i="1" s="1"/>
  <c r="F977" i="1" a="1"/>
  <c r="F977" i="1" s="1"/>
  <c r="F978" i="1" a="1"/>
  <c r="F978" i="1" s="1"/>
  <c r="F983" i="1" a="1"/>
  <c r="F983" i="1" s="1"/>
  <c r="F984" i="1" a="1"/>
  <c r="F984" i="1" s="1"/>
  <c r="F985" i="1" a="1"/>
  <c r="F985" i="1" s="1"/>
  <c r="F986" i="1" a="1"/>
  <c r="F986" i="1" s="1"/>
  <c r="F987" i="1" a="1"/>
  <c r="F987" i="1" s="1"/>
  <c r="F988" i="1" a="1"/>
  <c r="F988" i="1" s="1"/>
  <c r="F989" i="1" a="1"/>
  <c r="F989" i="1" s="1"/>
  <c r="F991" i="1" a="1"/>
  <c r="F991" i="1" s="1"/>
  <c r="F992" i="1" a="1"/>
  <c r="F992" i="1" s="1"/>
  <c r="F994" i="1" a="1"/>
  <c r="F994" i="1" s="1"/>
  <c r="F999" i="1" a="1"/>
  <c r="F999" i="1" s="1"/>
  <c r="F1000" i="1" a="1"/>
  <c r="F1000" i="1" s="1"/>
  <c r="F1001" i="1" a="1"/>
  <c r="F1001" i="1" s="1"/>
  <c r="F1002" i="1" a="1"/>
  <c r="F1002" i="1" s="1"/>
  <c r="F1003" i="1" a="1"/>
  <c r="F1003" i="1" s="1"/>
  <c r="F1004" i="1" a="1"/>
  <c r="F1004" i="1" s="1"/>
  <c r="F1006" i="1" a="1"/>
  <c r="F1006" i="1" s="1"/>
  <c r="F1007" i="1" a="1"/>
  <c r="F1007" i="1" s="1"/>
  <c r="F1009" i="1" a="1"/>
  <c r="F1009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0" i="1" a="1"/>
  <c r="F1020" i="1" s="1"/>
  <c r="F1021" i="1" a="1"/>
  <c r="F1021" i="1" s="1"/>
  <c r="F1022" i="1" a="1"/>
  <c r="F1022" i="1" s="1"/>
  <c r="F1027" i="1" a="1"/>
  <c r="F1027" i="1" s="1"/>
  <c r="F1028" i="1" a="1"/>
  <c r="F1028" i="1" s="1"/>
  <c r="F1029" i="1" a="1"/>
  <c r="F1029" i="1" s="1"/>
  <c r="F1030" i="1" a="1"/>
  <c r="F1030" i="1" s="1"/>
  <c r="F1031" i="1" a="1"/>
  <c r="F1031" i="1" s="1"/>
  <c r="F1032" i="1" a="1"/>
  <c r="F1032" i="1" s="1"/>
  <c r="F1033" i="1" a="1"/>
  <c r="F1033" i="1" s="1"/>
  <c r="F1034" i="1" a="1"/>
  <c r="F1034" i="1" s="1"/>
  <c r="F1035" i="1" a="1"/>
  <c r="F1035" i="1" s="1"/>
  <c r="F1040" i="1" a="1"/>
  <c r="F1040" i="1" s="1"/>
  <c r="F1041" i="1" a="1"/>
  <c r="F1041" i="1" s="1"/>
  <c r="F1042" i="1" a="1"/>
  <c r="F1042" i="1" s="1"/>
  <c r="F1043" i="1" a="1"/>
  <c r="F1043" i="1" s="1"/>
  <c r="F1044" i="1" a="1"/>
  <c r="F1044" i="1" s="1"/>
  <c r="F1045" i="1" a="1"/>
  <c r="F1045" i="1" s="1"/>
  <c r="F1046" i="1" a="1"/>
  <c r="F1046" i="1" s="1"/>
  <c r="F1047" i="1" a="1"/>
  <c r="F1047" i="1" s="1"/>
  <c r="F1048" i="1" a="1"/>
  <c r="F1048" i="1" s="1"/>
  <c r="F1053" i="1" a="1"/>
  <c r="F1053" i="1" s="1"/>
  <c r="F1054" i="1" a="1"/>
  <c r="F1054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2" i="1" a="1"/>
  <c r="F1062" i="1" s="1"/>
  <c r="F1063" i="1" a="1"/>
  <c r="F1063" i="1" s="1"/>
  <c r="F1065" i="1" a="1"/>
  <c r="F1065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6" i="1" a="1"/>
  <c r="F1076" i="1" s="1"/>
  <c r="F1078" i="1" a="1"/>
  <c r="F1078" i="1" s="1"/>
  <c r="F1079" i="1" a="1"/>
  <c r="F1079" i="1" s="1"/>
  <c r="F1081" i="1" a="1"/>
  <c r="F1081" i="1" s="1"/>
  <c r="F1086" i="1" a="1"/>
  <c r="F1086" i="1" s="1"/>
  <c r="F1087" i="1" a="1"/>
  <c r="F1087" i="1" s="1"/>
  <c r="F1088" i="1" a="1"/>
  <c r="F1088" i="1" s="1"/>
  <c r="F1089" i="1" a="1"/>
  <c r="F1089" i="1" s="1"/>
  <c r="F1090" i="1" a="1"/>
  <c r="F1090" i="1" s="1"/>
  <c r="F1091" i="1" a="1"/>
  <c r="F1091" i="1" s="1"/>
  <c r="F1092" i="1" a="1"/>
  <c r="F1092" i="1" s="1"/>
  <c r="F1093" i="1" a="1"/>
  <c r="F1093" i="1" s="1"/>
  <c r="F1098" i="1" a="1"/>
  <c r="F1098" i="1" s="1"/>
  <c r="F1099" i="1" a="1"/>
  <c r="F1099" i="1" s="1"/>
  <c r="F1100" i="1" a="1"/>
  <c r="F1100" i="1" s="1"/>
  <c r="F1101" i="1" a="1"/>
  <c r="F1101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11" i="1" a="1"/>
  <c r="F1111" i="1" s="1"/>
  <c r="F1112" i="1" a="1"/>
  <c r="F1112" i="1" s="1"/>
  <c r="F1113" i="1" a="1"/>
  <c r="F1113" i="1" s="1"/>
  <c r="F1114" i="1" a="1"/>
  <c r="F1114" i="1" s="1"/>
  <c r="F1115" i="1" a="1"/>
  <c r="F1115" i="1" s="1"/>
  <c r="F1116" i="1" a="1"/>
  <c r="F1116" i="1" s="1"/>
  <c r="F1117" i="1" a="1"/>
  <c r="F1117" i="1" s="1"/>
  <c r="F1118" i="1" a="1"/>
  <c r="F1118" i="1" s="1"/>
  <c r="F1119" i="1" a="1"/>
  <c r="F1119" i="1" s="1"/>
  <c r="F1124" i="1" a="1"/>
  <c r="F1124" i="1" s="1"/>
  <c r="F1125" i="1" a="1"/>
  <c r="F1125" i="1" s="1"/>
  <c r="F1126" i="1" a="1"/>
  <c r="F1126" i="1" s="1"/>
  <c r="F1127" i="1" a="1"/>
  <c r="F1127" i="1" s="1"/>
  <c r="F1128" i="1" a="1"/>
  <c r="F1128" i="1" s="1"/>
  <c r="F1129" i="1" a="1"/>
  <c r="F1129" i="1" s="1"/>
  <c r="F1130" i="1" a="1"/>
  <c r="F1130" i="1" s="1"/>
  <c r="F1132" i="1" a="1"/>
  <c r="F1132" i="1" s="1"/>
  <c r="F1133" i="1" a="1"/>
  <c r="F1133" i="1" s="1"/>
  <c r="F1135" i="1" a="1"/>
  <c r="F1135" i="1" s="1"/>
  <c r="F1140" i="1" a="1"/>
  <c r="F1140" i="1" s="1"/>
  <c r="F1141" i="1" a="1"/>
  <c r="F1141" i="1" s="1"/>
  <c r="F1142" i="1" a="1"/>
  <c r="F1142" i="1" s="1"/>
  <c r="F1143" i="1" a="1"/>
  <c r="F1143" i="1" s="1"/>
  <c r="F1144" i="1" a="1"/>
  <c r="F1144" i="1" s="1"/>
  <c r="F1145" i="1" a="1"/>
  <c r="F1145" i="1" s="1"/>
  <c r="F1146" i="1" a="1"/>
  <c r="F1146" i="1" s="1"/>
  <c r="F1148" i="1" a="1"/>
  <c r="F1148" i="1" s="1"/>
  <c r="F1149" i="1" a="1"/>
  <c r="F1149" i="1" s="1"/>
  <c r="F1151" i="1" a="1"/>
  <c r="F1151" i="1" s="1"/>
  <c r="F1156" i="1" a="1"/>
  <c r="F1156" i="1" s="1"/>
  <c r="F1157" i="1" a="1"/>
  <c r="F1157" i="1" s="1"/>
  <c r="F1158" i="1" a="1"/>
  <c r="F1158" i="1" s="1"/>
  <c r="F1159" i="1" a="1"/>
  <c r="F1159" i="1" s="1"/>
  <c r="F1161" i="1" a="1"/>
  <c r="F1161" i="1" s="1"/>
  <c r="F1162" i="1" a="1"/>
  <c r="F1162" i="1" s="1"/>
  <c r="F1164" i="1" a="1"/>
  <c r="F1164" i="1" s="1"/>
  <c r="F1170" i="1" a="1"/>
  <c r="F1170" i="1" s="1"/>
  <c r="F1171" i="1" a="1"/>
  <c r="F1171" i="1" s="1"/>
  <c r="F1172" i="1" a="1"/>
  <c r="F1172" i="1" s="1"/>
  <c r="F1173" i="1" a="1"/>
  <c r="F1173" i="1" s="1"/>
  <c r="F1174" i="1" a="1"/>
  <c r="F1174" i="1" s="1"/>
  <c r="F1175" i="1" a="1"/>
  <c r="F1175" i="1" s="1"/>
  <c r="F1176" i="1" a="1"/>
  <c r="F1176" i="1" s="1"/>
  <c r="F1177" i="1" a="1"/>
  <c r="F1177" i="1" s="1"/>
  <c r="F1182" i="1" a="1"/>
  <c r="F1182" i="1" s="1"/>
  <c r="F1183" i="1" a="1"/>
  <c r="F1183" i="1" s="1"/>
  <c r="F1184" i="1" a="1"/>
  <c r="F1184" i="1" s="1"/>
  <c r="F1185" i="1" a="1"/>
  <c r="F1185" i="1" s="1"/>
  <c r="F1186" i="1" a="1"/>
  <c r="F1186" i="1" s="1"/>
  <c r="F1187" i="1" a="1"/>
  <c r="F1187" i="1" s="1"/>
  <c r="F1188" i="1" a="1"/>
  <c r="F1188" i="1" s="1"/>
  <c r="F1189" i="1" a="1"/>
  <c r="F1189" i="1" s="1"/>
  <c r="F1194" i="1" a="1"/>
  <c r="F1194" i="1" s="1"/>
  <c r="F1195" i="1" a="1"/>
  <c r="F1195" i="1" s="1"/>
  <c r="F1196" i="1" a="1"/>
  <c r="F1196" i="1" s="1"/>
  <c r="F1197" i="1" a="1"/>
  <c r="F1197" i="1" s="1"/>
  <c r="F1198" i="1" a="1"/>
  <c r="F1198" i="1" s="1"/>
  <c r="F1200" i="1" a="1"/>
  <c r="F1200" i="1" s="1"/>
  <c r="F1201" i="1" a="1"/>
  <c r="F1201" i="1" s="1"/>
  <c r="F1202" i="1" a="1"/>
  <c r="F1202" i="1" s="1"/>
  <c r="F1207" i="1" a="1"/>
  <c r="F1207" i="1" s="1"/>
  <c r="F1208" i="1" a="1"/>
  <c r="F1208" i="1" s="1"/>
  <c r="F1209" i="1" a="1"/>
  <c r="F1209" i="1" s="1"/>
  <c r="F1211" i="1" a="1"/>
  <c r="F1211" i="1" s="1"/>
  <c r="F1212" i="1" a="1"/>
  <c r="F1212" i="1" s="1"/>
  <c r="F1214" i="1" a="1"/>
  <c r="F1214" i="1" s="1"/>
  <c r="F1219" i="1" a="1"/>
  <c r="F1219" i="1" s="1"/>
  <c r="F1220" i="1" a="1"/>
  <c r="F1220" i="1" s="1"/>
  <c r="F1221" i="1" a="1"/>
  <c r="F1221" i="1" s="1"/>
  <c r="F1222" i="1" a="1"/>
  <c r="F1222" i="1" s="1"/>
  <c r="F1223" i="1" a="1"/>
  <c r="F1223" i="1" s="1"/>
  <c r="F1224" i="1" a="1"/>
  <c r="F1224" i="1" s="1"/>
  <c r="F1226" i="1" a="1"/>
  <c r="F1226" i="1" s="1"/>
  <c r="F1227" i="1" a="1"/>
  <c r="F1227" i="1" s="1"/>
  <c r="F1229" i="1" a="1"/>
  <c r="F1229" i="1" s="1"/>
  <c r="F1234" i="1" a="1"/>
  <c r="F1234" i="1" s="1"/>
  <c r="F1235" i="1" a="1"/>
  <c r="F1235" i="1" s="1"/>
  <c r="F1236" i="1" a="1"/>
  <c r="F1236" i="1" s="1"/>
  <c r="F1237" i="1" a="1"/>
  <c r="F1237" i="1" s="1"/>
  <c r="F1238" i="1" a="1"/>
  <c r="F1238" i="1" s="1"/>
  <c r="F1239" i="1" a="1"/>
  <c r="F1239" i="1" s="1"/>
  <c r="F1240" i="1" a="1"/>
  <c r="F1240" i="1" s="1"/>
  <c r="F1241" i="1" a="1"/>
  <c r="F1241" i="1" s="1"/>
  <c r="F1242" i="1" a="1"/>
  <c r="F1242" i="1" s="1"/>
  <c r="F1247" i="1" a="1"/>
  <c r="F1247" i="1" s="1"/>
  <c r="F1248" i="1" a="1"/>
  <c r="F1248" i="1" s="1"/>
  <c r="F1249" i="1" a="1"/>
  <c r="F1249" i="1" s="1"/>
  <c r="F1250" i="1" a="1"/>
  <c r="F1250" i="1" s="1"/>
  <c r="F1251" i="1" a="1"/>
  <c r="F1251" i="1" s="1"/>
  <c r="F1252" i="1" a="1"/>
  <c r="F1252" i="1" s="1"/>
  <c r="F1253" i="1" a="1"/>
  <c r="F1253" i="1" s="1"/>
  <c r="F1254" i="1" a="1"/>
  <c r="F1254" i="1" s="1"/>
  <c r="F1255" i="1" a="1"/>
  <c r="F1255" i="1" s="1"/>
  <c r="F1256" i="1" a="1"/>
  <c r="F1256" i="1" s="1"/>
  <c r="F1261" i="1" a="1"/>
  <c r="F1261" i="1" s="1"/>
  <c r="F1262" i="1" a="1"/>
  <c r="F1262" i="1" s="1"/>
  <c r="F1263" i="1" a="1"/>
  <c r="F1263" i="1" s="1"/>
  <c r="F1264" i="1" a="1"/>
  <c r="F1264" i="1" s="1"/>
  <c r="F1265" i="1" a="1"/>
  <c r="F1265" i="1" s="1"/>
  <c r="F1266" i="1" a="1"/>
  <c r="F1266" i="1" s="1"/>
  <c r="F1267" i="1" a="1"/>
  <c r="F1267" i="1" s="1"/>
  <c r="F1268" i="1" a="1"/>
  <c r="F1268" i="1" s="1"/>
  <c r="F1269" i="1" a="1"/>
  <c r="F1269" i="1" s="1"/>
  <c r="F1270" i="1" a="1"/>
  <c r="F1270" i="1" s="1"/>
  <c r="F1275" i="1" a="1"/>
  <c r="F1275" i="1" s="1"/>
  <c r="F1276" i="1" a="1"/>
  <c r="F1276" i="1" s="1"/>
  <c r="F1277" i="1" a="1"/>
  <c r="F1277" i="1" s="1"/>
  <c r="F1278" i="1" a="1"/>
  <c r="F1278" i="1" s="1"/>
  <c r="F1279" i="1" a="1"/>
  <c r="F1279" i="1" s="1"/>
  <c r="F1280" i="1" a="1"/>
  <c r="F1280" i="1" s="1"/>
  <c r="F1281" i="1" a="1"/>
  <c r="F1281" i="1" s="1"/>
  <c r="F1282" i="1" a="1"/>
  <c r="F1282" i="1" s="1"/>
  <c r="F1283" i="1" a="1"/>
  <c r="F1283" i="1" s="1"/>
  <c r="F1284" i="1" a="1"/>
  <c r="F1284" i="1" s="1"/>
  <c r="F1289" i="1" a="1"/>
  <c r="F1289" i="1" s="1"/>
  <c r="F1290" i="1" a="1"/>
  <c r="F1290" i="1" s="1"/>
  <c r="F1291" i="1" a="1"/>
  <c r="F1291" i="1" s="1"/>
  <c r="F1292" i="1" a="1"/>
  <c r="F1292" i="1" s="1"/>
  <c r="F1293" i="1" a="1"/>
  <c r="F1293" i="1" s="1"/>
  <c r="F1294" i="1" a="1"/>
  <c r="F1294" i="1" s="1"/>
  <c r="F1295" i="1" a="1"/>
  <c r="F1295" i="1" s="1"/>
  <c r="F1296" i="1" a="1"/>
  <c r="F1296" i="1" s="1"/>
  <c r="F1298" i="1" a="1"/>
  <c r="F1298" i="1" s="1"/>
  <c r="F1299" i="1" a="1"/>
  <c r="F1299" i="1" s="1"/>
  <c r="F1301" i="1" a="1"/>
  <c r="F1301" i="1" s="1"/>
  <c r="F1306" i="1" a="1"/>
  <c r="F1306" i="1" s="1"/>
  <c r="F1307" i="1" a="1"/>
  <c r="F1307" i="1" s="1"/>
  <c r="F1308" i="1" a="1"/>
  <c r="F1308" i="1" s="1"/>
  <c r="F1309" i="1" a="1"/>
  <c r="F1309" i="1" s="1"/>
  <c r="F1310" i="1" a="1"/>
  <c r="F1310" i="1" s="1"/>
  <c r="F1311" i="1" a="1"/>
  <c r="F1311" i="1" s="1"/>
  <c r="F1312" i="1" a="1"/>
  <c r="F1312" i="1" s="1"/>
  <c r="F1313" i="1" a="1"/>
  <c r="F1313" i="1" s="1"/>
  <c r="F1314" i="1" a="1"/>
  <c r="F1314" i="1" s="1"/>
  <c r="F1315" i="1" a="1"/>
  <c r="F1315" i="1" s="1"/>
  <c r="F1316" i="1" a="1"/>
  <c r="F1316" i="1" s="1"/>
  <c r="F1321" i="1" a="1"/>
  <c r="F1321" i="1" s="1"/>
  <c r="F1322" i="1" a="1"/>
  <c r="F1322" i="1" s="1"/>
  <c r="F1323" i="1" a="1"/>
  <c r="F1323" i="1" s="1"/>
  <c r="F1324" i="1" a="1"/>
  <c r="F1324" i="1" s="1"/>
  <c r="F1325" i="1" a="1"/>
  <c r="F1325" i="1" s="1"/>
  <c r="F1326" i="1" a="1"/>
  <c r="F1326" i="1" s="1"/>
  <c r="F1327" i="1" a="1"/>
  <c r="F1327" i="1" s="1"/>
  <c r="F1328" i="1" a="1"/>
  <c r="F1328" i="1" s="1"/>
  <c r="F1329" i="1" a="1"/>
  <c r="F1329" i="1" s="1"/>
  <c r="F1334" i="1" a="1"/>
  <c r="F1334" i="1" s="1"/>
  <c r="F1335" i="1" a="1"/>
  <c r="F1335" i="1" s="1"/>
  <c r="F1336" i="1" a="1"/>
  <c r="F1336" i="1" s="1"/>
  <c r="F1337" i="1" a="1"/>
  <c r="F1337" i="1" s="1"/>
  <c r="F1338" i="1" a="1"/>
  <c r="F1338" i="1" s="1"/>
  <c r="F1339" i="1" a="1"/>
  <c r="F1339" i="1" s="1"/>
  <c r="F1341" i="1" a="1"/>
  <c r="F1341" i="1" s="1"/>
  <c r="F1342" i="1" a="1"/>
  <c r="F1342" i="1" s="1"/>
  <c r="F1344" i="1" a="1"/>
  <c r="F1344" i="1" s="1"/>
  <c r="F1349" i="1" a="1"/>
  <c r="F1349" i="1" s="1"/>
  <c r="F1350" i="1" a="1"/>
  <c r="F1350" i="1" s="1"/>
  <c r="F1351" i="1" a="1"/>
  <c r="F1351" i="1" s="1"/>
  <c r="F1352" i="1" a="1"/>
  <c r="F1352" i="1" s="1"/>
  <c r="F1353" i="1" a="1"/>
  <c r="F1353" i="1" s="1"/>
  <c r="F1354" i="1" a="1"/>
  <c r="F1354" i="1" s="1"/>
  <c r="F1355" i="1" a="1"/>
  <c r="F1355" i="1" s="1"/>
  <c r="F1356" i="1" a="1"/>
  <c r="F1356" i="1" s="1"/>
  <c r="F1357" i="1" a="1"/>
  <c r="F1357" i="1" s="1"/>
  <c r="F1358" i="1" a="1"/>
  <c r="F1358" i="1" s="1"/>
  <c r="F1363" i="1" a="1"/>
  <c r="F1363" i="1" s="1"/>
  <c r="F1364" i="1" a="1"/>
  <c r="F1364" i="1" s="1"/>
  <c r="F1365" i="1" a="1"/>
  <c r="F1365" i="1" s="1"/>
  <c r="F1366" i="1" a="1"/>
  <c r="F1366" i="1" s="1"/>
  <c r="F1367" i="1" a="1"/>
  <c r="F1367" i="1" s="1"/>
  <c r="F1368" i="1" a="1"/>
  <c r="F1368" i="1" s="1"/>
  <c r="F1369" i="1" a="1"/>
  <c r="F1369" i="1" s="1"/>
  <c r="F1370" i="1" a="1"/>
  <c r="F1370" i="1" s="1"/>
  <c r="F1371" i="1" a="1"/>
  <c r="F1371" i="1" s="1"/>
  <c r="F1372" i="1" a="1"/>
  <c r="F1372" i="1" s="1"/>
  <c r="F1377" i="1" a="1"/>
  <c r="F1377" i="1" s="1"/>
  <c r="F1378" i="1" a="1"/>
  <c r="F1378" i="1" s="1"/>
  <c r="F1379" i="1" a="1"/>
  <c r="F1379" i="1" s="1"/>
  <c r="F1380" i="1" a="1"/>
  <c r="F1380" i="1" s="1"/>
  <c r="F1381" i="1" a="1"/>
  <c r="F1381" i="1" s="1"/>
  <c r="F1382" i="1" a="1"/>
  <c r="F1382" i="1" s="1"/>
  <c r="F1383" i="1" a="1"/>
  <c r="F1383" i="1" s="1"/>
  <c r="F1385" i="1" a="1"/>
  <c r="F1385" i="1" s="1"/>
  <c r="F1386" i="1" a="1"/>
  <c r="F1386" i="1" s="1"/>
  <c r="F1388" i="1" a="1"/>
  <c r="F1388" i="1" s="1"/>
  <c r="F1393" i="1" a="1"/>
  <c r="F1393" i="1" s="1"/>
  <c r="F1394" i="1" a="1"/>
  <c r="F1394" i="1" s="1"/>
  <c r="F1395" i="1" a="1"/>
  <c r="F1395" i="1" s="1"/>
  <c r="F1396" i="1" a="1"/>
  <c r="F1396" i="1" s="1"/>
  <c r="F1397" i="1" a="1"/>
  <c r="F1397" i="1" s="1"/>
  <c r="F1398" i="1" a="1"/>
  <c r="F1398" i="1" s="1"/>
  <c r="F1403" i="1" a="1"/>
  <c r="F1403" i="1" s="1"/>
  <c r="F1404" i="1" a="1"/>
  <c r="F1404" i="1" s="1"/>
  <c r="F1405" i="1" a="1"/>
  <c r="F1405" i="1" s="1"/>
  <c r="F1406" i="1" a="1"/>
  <c r="F1406" i="1" s="1"/>
  <c r="F1407" i="1" a="1"/>
  <c r="F1407" i="1" s="1"/>
  <c r="F1408" i="1" a="1"/>
  <c r="F1408" i="1" s="1"/>
  <c r="F1409" i="1" a="1"/>
  <c r="F1409" i="1" s="1"/>
  <c r="F1410" i="1" a="1"/>
  <c r="F1410" i="1" s="1"/>
  <c r="F1415" i="1" a="1"/>
  <c r="F1415" i="1" s="1"/>
  <c r="F1416" i="1" a="1"/>
  <c r="F1416" i="1" s="1"/>
  <c r="F1417" i="1" a="1"/>
  <c r="F1417" i="1" s="1"/>
  <c r="F1418" i="1" a="1"/>
  <c r="F1418" i="1" s="1"/>
  <c r="F1419" i="1" a="1"/>
  <c r="F1419" i="1" s="1"/>
  <c r="F1420" i="1" a="1"/>
  <c r="F1420" i="1" s="1"/>
  <c r="F1421" i="1" a="1"/>
  <c r="F1421" i="1" s="1"/>
  <c r="F1422" i="1" a="1"/>
  <c r="F1422" i="1" s="1"/>
  <c r="F1427" i="1" a="1"/>
  <c r="F1427" i="1" s="1"/>
  <c r="F1428" i="1" a="1"/>
  <c r="F1428" i="1" s="1"/>
  <c r="F1429" i="1" a="1"/>
  <c r="F1429" i="1" s="1"/>
  <c r="F1430" i="1" a="1"/>
  <c r="F1430" i="1" s="1"/>
  <c r="F1431" i="1" a="1"/>
  <c r="F1431" i="1" s="1"/>
  <c r="F1432" i="1" a="1"/>
  <c r="F1432" i="1" s="1"/>
  <c r="F1433" i="1" a="1"/>
  <c r="F1433" i="1" s="1"/>
  <c r="F1434" i="1" a="1"/>
  <c r="F1434" i="1" s="1"/>
  <c r="F1439" i="1" a="1"/>
  <c r="F1439" i="1" s="1"/>
  <c r="F1440" i="1" a="1"/>
  <c r="F1440" i="1" s="1"/>
  <c r="F1441" i="1" a="1"/>
  <c r="F1441" i="1" s="1"/>
  <c r="F1442" i="1" a="1"/>
  <c r="F1442" i="1" s="1"/>
  <c r="F1443" i="1" a="1"/>
  <c r="F1443" i="1" s="1"/>
  <c r="F1444" i="1" a="1"/>
  <c r="F1444" i="1" s="1"/>
  <c r="F1445" i="1" a="1"/>
  <c r="F1445" i="1" s="1"/>
  <c r="F1446" i="1" a="1"/>
  <c r="F1446" i="1" s="1"/>
  <c r="F1451" i="1" a="1"/>
  <c r="F1451" i="1" s="1"/>
  <c r="F1452" i="1" a="1"/>
  <c r="F1452" i="1" s="1"/>
  <c r="F1453" i="1" a="1"/>
  <c r="F1453" i="1" s="1"/>
  <c r="F1454" i="1" a="1"/>
  <c r="F1454" i="1" s="1"/>
  <c r="F1455" i="1" a="1"/>
  <c r="F1455" i="1" s="1"/>
  <c r="F1457" i="1" a="1"/>
  <c r="F1457" i="1" s="1"/>
  <c r="F1459" i="1" a="1"/>
  <c r="F1459" i="1" s="1"/>
  <c r="F1460" i="1" a="1"/>
  <c r="F1460" i="1" s="1"/>
  <c r="F1462" i="1" a="1"/>
  <c r="F1462" i="1" s="1"/>
  <c r="F1467" i="1" a="1"/>
  <c r="F1467" i="1" s="1"/>
  <c r="F1468" i="1" a="1"/>
  <c r="F1468" i="1" s="1"/>
  <c r="F1469" i="1" a="1"/>
  <c r="F1469" i="1" s="1"/>
  <c r="F1471" i="1" a="1"/>
  <c r="F1471" i="1" s="1"/>
  <c r="F1472" i="1" a="1"/>
  <c r="F1472" i="1" s="1"/>
  <c r="F1474" i="1" a="1"/>
  <c r="F1474" i="1" s="1"/>
  <c r="F1479" i="1" a="1"/>
  <c r="F1479" i="1" s="1"/>
  <c r="F1480" i="1" a="1"/>
  <c r="F1480" i="1" s="1"/>
  <c r="F1481" i="1" a="1"/>
  <c r="F1481" i="1" s="1"/>
  <c r="F1482" i="1" a="1"/>
  <c r="F1482" i="1" s="1"/>
  <c r="F1483" i="1" a="1"/>
  <c r="F1483" i="1" s="1"/>
  <c r="F1484" i="1" a="1"/>
  <c r="F1484" i="1" s="1"/>
  <c r="F1486" i="1" a="1"/>
  <c r="F1486" i="1" s="1"/>
  <c r="F1488" i="1" a="1"/>
  <c r="F1488" i="1" s="1"/>
  <c r="F1489" i="1" a="1"/>
  <c r="F1489" i="1" s="1"/>
  <c r="F1491" i="1" a="1"/>
  <c r="F1491" i="1" s="1"/>
  <c r="F1496" i="1" a="1"/>
  <c r="F1496" i="1" s="1"/>
  <c r="F1497" i="1" a="1"/>
  <c r="F1497" i="1" s="1"/>
  <c r="F1498" i="1" a="1"/>
  <c r="F1498" i="1" s="1"/>
  <c r="F1499" i="1" a="1"/>
  <c r="F1499" i="1" s="1"/>
  <c r="F1500" i="1" a="1"/>
  <c r="F1500" i="1" s="1"/>
  <c r="F1501" i="1" a="1"/>
  <c r="F1501" i="1" s="1"/>
  <c r="F1502" i="1" a="1"/>
  <c r="F1502" i="1" s="1"/>
  <c r="F1503" i="1" a="1"/>
  <c r="F1503" i="1" s="1"/>
  <c r="F1504" i="1" a="1"/>
  <c r="F1504" i="1" s="1"/>
  <c r="F1505" i="1" a="1"/>
  <c r="F1505" i="1" s="1"/>
  <c r="F1506" i="1" a="1"/>
  <c r="F1506" i="1" s="1"/>
  <c r="F1507" i="1" a="1"/>
  <c r="F1507" i="1" s="1"/>
  <c r="F1508" i="1" a="1"/>
  <c r="F1508" i="1" s="1"/>
  <c r="F1509" i="1" a="1"/>
  <c r="F1509" i="1" s="1"/>
  <c r="F1510" i="1" a="1"/>
  <c r="F1510" i="1" s="1"/>
  <c r="F1511" i="1" a="1"/>
  <c r="F1511" i="1" s="1"/>
  <c r="F1512" i="1" a="1"/>
  <c r="F1512" i="1" s="1"/>
  <c r="F1513" i="1" a="1"/>
  <c r="F1513" i="1" s="1"/>
  <c r="F1514" i="1" a="1"/>
  <c r="F1514" i="1" s="1"/>
  <c r="F1515" i="1" a="1"/>
  <c r="F1515" i="1" s="1"/>
  <c r="F1519" i="1" a="1"/>
  <c r="F1519" i="1" s="1"/>
  <c r="F1520" i="1" a="1"/>
  <c r="F1520" i="1" s="1"/>
  <c r="F1521" i="1" a="1"/>
  <c r="F1521" i="1" s="1"/>
  <c r="F1522" i="1" a="1"/>
  <c r="F1522" i="1" s="1"/>
  <c r="F1523" i="1" a="1"/>
  <c r="F1523" i="1" s="1"/>
  <c r="F1524" i="1" a="1"/>
  <c r="F1524" i="1" s="1"/>
  <c r="F1525" i="1" a="1"/>
  <c r="F1525" i="1" s="1"/>
  <c r="F1526" i="1" a="1"/>
  <c r="F1526" i="1" s="1"/>
  <c r="F1527" i="1" a="1"/>
  <c r="F1527" i="1" s="1"/>
  <c r="F1528" i="1" a="1"/>
  <c r="F1528" i="1" s="1"/>
  <c r="F1529" i="1" a="1"/>
  <c r="F1529" i="1" s="1"/>
  <c r="F1530" i="1" a="1"/>
  <c r="F1530" i="1" s="1"/>
  <c r="F1531" i="1" a="1"/>
  <c r="F1531" i="1" s="1"/>
  <c r="F1532" i="1" a="1"/>
  <c r="F1532" i="1" s="1"/>
  <c r="F1533" i="1" a="1"/>
  <c r="F1533" i="1" s="1"/>
  <c r="F1534" i="1" a="1"/>
  <c r="F1534" i="1" s="1"/>
  <c r="F1535" i="1" a="1"/>
  <c r="F1535" i="1" s="1"/>
  <c r="F1538" i="1" a="1"/>
  <c r="F1538" i="1" s="1"/>
  <c r="F1539" i="1" a="1"/>
  <c r="F1539" i="1" s="1"/>
  <c r="F1540" i="1" a="1"/>
  <c r="F1540" i="1" s="1"/>
  <c r="F1541" i="1" a="1"/>
  <c r="F1541" i="1" s="1"/>
  <c r="F1542" i="1" a="1"/>
  <c r="F1542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2" i="1" a="1"/>
  <c r="H72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7" i="1" a="1"/>
  <c r="H97" i="1" s="1"/>
  <c r="H98" i="1" a="1"/>
  <c r="H98" i="1" s="1"/>
  <c r="H100" i="1" a="1"/>
  <c r="H100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4" i="1" a="1"/>
  <c r="H124" i="1" s="1"/>
  <c r="H125" i="1" a="1"/>
  <c r="H125" i="1" s="1"/>
  <c r="H126" i="1" a="1"/>
  <c r="H126" i="1" s="1"/>
  <c r="H131" i="1" a="1"/>
  <c r="H131" i="1" s="1"/>
  <c r="H132" i="1" a="1"/>
  <c r="H132" i="1" s="1"/>
  <c r="H133" i="1" a="1"/>
  <c r="H133" i="1" s="1"/>
  <c r="H134" i="1" a="1"/>
  <c r="H134" i="1" s="1"/>
  <c r="H136" i="1" a="1"/>
  <c r="H136" i="1" s="1"/>
  <c r="H137" i="1" a="1"/>
  <c r="H137" i="1" s="1"/>
  <c r="H139" i="1" a="1"/>
  <c r="H139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2" i="1" a="1"/>
  <c r="H152" i="1" s="1"/>
  <c r="H153" i="1" a="1"/>
  <c r="H153" i="1" s="1"/>
  <c r="H155" i="1" a="1"/>
  <c r="H155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7" i="1" a="1"/>
  <c r="H167" i="1" s="1"/>
  <c r="H169" i="1" a="1"/>
  <c r="H169" i="1" s="1"/>
  <c r="H170" i="1" a="1"/>
  <c r="H170" i="1" s="1"/>
  <c r="H172" i="1" a="1"/>
  <c r="H172" i="1" s="1"/>
  <c r="H177" i="1" a="1"/>
  <c r="H177" i="1" s="1"/>
  <c r="H178" i="1" a="1"/>
  <c r="H178" i="1" s="1"/>
  <c r="H217" i="1" a="1"/>
  <c r="H217" i="1" s="1"/>
  <c r="H218" i="1" a="1"/>
  <c r="H218" i="1" s="1"/>
  <c r="H220" i="1" a="1"/>
  <c r="H220" i="1" s="1"/>
  <c r="H221" i="1" a="1"/>
  <c r="H221" i="1" s="1"/>
  <c r="H223" i="1" a="1"/>
  <c r="H223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179" i="1" a="1"/>
  <c r="H179" i="1" s="1"/>
  <c r="H180" i="1" a="1"/>
  <c r="H180" i="1" s="1"/>
  <c r="H181" i="1" a="1"/>
  <c r="H181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34" i="1" a="1"/>
  <c r="H234" i="1" s="1"/>
  <c r="H235" i="1" a="1"/>
  <c r="H235" i="1" s="1"/>
  <c r="H236" i="1" a="1"/>
  <c r="H236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2" i="1" a="1"/>
  <c r="H262" i="1" s="1"/>
  <c r="H263" i="1" a="1"/>
  <c r="H263" i="1" s="1"/>
  <c r="H265" i="1" a="1"/>
  <c r="H265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90" i="1" a="1"/>
  <c r="H290" i="1" s="1"/>
  <c r="H291" i="1" a="1"/>
  <c r="H291" i="1" s="1"/>
  <c r="H292" i="1" a="1"/>
  <c r="H292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5" i="1" a="1"/>
  <c r="H345" i="1" s="1"/>
  <c r="H346" i="1" a="1"/>
  <c r="H346" i="1" s="1"/>
  <c r="H347" i="1" a="1"/>
  <c r="H347" i="1" s="1"/>
  <c r="H348" i="1" a="1"/>
  <c r="H348" i="1" s="1"/>
  <c r="H350" i="1" a="1"/>
  <c r="H350" i="1" s="1"/>
  <c r="H351" i="1" a="1"/>
  <c r="H351" i="1" s="1"/>
  <c r="H353" i="1" a="1"/>
  <c r="H353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31" i="1" a="1"/>
  <c r="H431" i="1" s="1"/>
  <c r="H432" i="1" a="1"/>
  <c r="H432" i="1" s="1"/>
  <c r="H433" i="1" a="1"/>
  <c r="H433" i="1" s="1"/>
  <c r="H435" i="1" a="1"/>
  <c r="H435" i="1" s="1"/>
  <c r="H437" i="1" a="1"/>
  <c r="H437" i="1" s="1"/>
  <c r="H438" i="1" a="1"/>
  <c r="H438" i="1" s="1"/>
  <c r="H440" i="1" a="1"/>
  <c r="H440" i="1" s="1"/>
  <c r="H446" i="1" a="1"/>
  <c r="H446" i="1" s="1"/>
  <c r="H447" i="1" a="1"/>
  <c r="H447" i="1" s="1"/>
  <c r="H448" i="1" a="1"/>
  <c r="H448" i="1" s="1"/>
  <c r="H450" i="1" a="1"/>
  <c r="H450" i="1" s="1"/>
  <c r="H451" i="1" a="1"/>
  <c r="H451" i="1" s="1"/>
  <c r="H453" i="1" a="1"/>
  <c r="H453" i="1" s="1"/>
  <c r="H458" i="1" a="1"/>
  <c r="H458" i="1" s="1"/>
  <c r="H459" i="1" a="1"/>
  <c r="H459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1" i="1" a="1"/>
  <c r="H481" i="1" s="1"/>
  <c r="H482" i="1" a="1"/>
  <c r="H482" i="1" s="1"/>
  <c r="H484" i="1" a="1"/>
  <c r="H484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12" i="1" a="1"/>
  <c r="H512" i="1" s="1"/>
  <c r="H513" i="1" a="1"/>
  <c r="H513" i="1" s="1"/>
  <c r="H514" i="1" a="1"/>
  <c r="H514" i="1" s="1"/>
  <c r="H515" i="1" a="1"/>
  <c r="H515" i="1" s="1"/>
  <c r="H517" i="1" a="1"/>
  <c r="H517" i="1" s="1"/>
  <c r="H518" i="1" a="1"/>
  <c r="H518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3" i="1" a="1"/>
  <c r="H533" i="1" s="1"/>
  <c r="H534" i="1" a="1"/>
  <c r="H534" i="1" s="1"/>
  <c r="H536" i="1" a="1"/>
  <c r="H536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9" i="1" a="1"/>
  <c r="H549" i="1" s="1"/>
  <c r="H550" i="1" a="1"/>
  <c r="H550" i="1" s="1"/>
  <c r="H552" i="1" a="1"/>
  <c r="H552" i="1" s="1"/>
  <c r="H557" i="1" a="1"/>
  <c r="H557" i="1" s="1"/>
  <c r="H558" i="1" a="1"/>
  <c r="H558" i="1" s="1"/>
  <c r="H559" i="1" a="1"/>
  <c r="H559" i="1" s="1"/>
  <c r="H560" i="1" a="1"/>
  <c r="H560" i="1" s="1"/>
  <c r="H562" i="1" a="1"/>
  <c r="H562" i="1" s="1"/>
  <c r="H563" i="1" a="1"/>
  <c r="H563" i="1" s="1"/>
  <c r="H565" i="1" a="1"/>
  <c r="H565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20" i="1" a="1"/>
  <c r="H520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6" i="1" a="1"/>
  <c r="H676" i="1" s="1"/>
  <c r="H677" i="1" a="1"/>
  <c r="H677" i="1" s="1"/>
  <c r="H679" i="1" a="1"/>
  <c r="H679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1" i="1" a="1"/>
  <c r="H691" i="1" s="1"/>
  <c r="H693" i="1" a="1"/>
  <c r="H693" i="1" s="1"/>
  <c r="H694" i="1" a="1"/>
  <c r="H694" i="1" s="1"/>
  <c r="H696" i="1" a="1"/>
  <c r="H696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8" i="1" a="1"/>
  <c r="H718" i="1" s="1"/>
  <c r="H719" i="1" a="1"/>
  <c r="H719" i="1" s="1"/>
  <c r="H721" i="1" a="1"/>
  <c r="H721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3" i="1" a="1"/>
  <c r="H783" i="1" s="1"/>
  <c r="H784" i="1" a="1"/>
  <c r="H784" i="1" s="1"/>
  <c r="H786" i="1" a="1"/>
  <c r="H786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9" i="1" a="1"/>
  <c r="H799" i="1" s="1"/>
  <c r="H800" i="1" a="1"/>
  <c r="H800" i="1" s="1"/>
  <c r="H802" i="1" a="1"/>
  <c r="H802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9" i="1" a="1"/>
  <c r="H829" i="1" s="1"/>
  <c r="H830" i="1" a="1"/>
  <c r="H830" i="1" s="1"/>
  <c r="H832" i="1" a="1"/>
  <c r="H832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6" i="1" a="1"/>
  <c r="H846" i="1" s="1"/>
  <c r="H847" i="1" a="1"/>
  <c r="H847" i="1" s="1"/>
  <c r="H849" i="1" a="1"/>
  <c r="H849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3" i="1" a="1"/>
  <c r="H863" i="1" s="1"/>
  <c r="H864" i="1" a="1"/>
  <c r="H864" i="1" s="1"/>
  <c r="H866" i="1" a="1"/>
  <c r="H866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5" i="1" a="1"/>
  <c r="H905" i="1" s="1"/>
  <c r="H906" i="1" a="1"/>
  <c r="H906" i="1" s="1"/>
  <c r="H908" i="1" a="1"/>
  <c r="H908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1" i="1" a="1"/>
  <c r="H921" i="1" s="1"/>
  <c r="H922" i="1" a="1"/>
  <c r="H922" i="1" s="1"/>
  <c r="H924" i="1" a="1"/>
  <c r="H924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7" i="1" a="1"/>
  <c r="H937" i="1" s="1"/>
  <c r="H938" i="1" a="1"/>
  <c r="H938" i="1" s="1"/>
  <c r="H940" i="1" a="1"/>
  <c r="H940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4" i="1" a="1"/>
  <c r="H964" i="1" s="1"/>
  <c r="H966" i="1" a="1"/>
  <c r="H966" i="1" s="1"/>
  <c r="H967" i="1" a="1"/>
  <c r="H967" i="1" s="1"/>
  <c r="H969" i="1" a="1"/>
  <c r="H969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1" i="1" a="1"/>
  <c r="H991" i="1" s="1"/>
  <c r="H992" i="1" a="1"/>
  <c r="H992" i="1" s="1"/>
  <c r="H994" i="1" a="1"/>
  <c r="H994" i="1" s="1"/>
  <c r="H999" i="1" a="1"/>
  <c r="H999" i="1" s="1"/>
  <c r="H1000" i="1" a="1"/>
  <c r="H1000" i="1" s="1"/>
  <c r="H1001" i="1" a="1"/>
  <c r="H1001" i="1" s="1"/>
  <c r="H1002" i="1" a="1"/>
  <c r="H1002" i="1" s="1"/>
  <c r="H1003" i="1" a="1"/>
  <c r="H1003" i="1" s="1"/>
  <c r="H1004" i="1" a="1"/>
  <c r="H1004" i="1" s="1"/>
  <c r="H1006" i="1" a="1"/>
  <c r="H1006" i="1" s="1"/>
  <c r="H1007" i="1" a="1"/>
  <c r="H1007" i="1" s="1"/>
  <c r="H1009" i="1" a="1"/>
  <c r="H1009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0" i="1" a="1"/>
  <c r="H1020" i="1" s="1"/>
  <c r="H1021" i="1" a="1"/>
  <c r="H1021" i="1" s="1"/>
  <c r="H1022" i="1" a="1"/>
  <c r="H1022" i="1" s="1"/>
  <c r="H1027" i="1" a="1"/>
  <c r="H1027" i="1" s="1"/>
  <c r="H1028" i="1" a="1"/>
  <c r="H1028" i="1" s="1"/>
  <c r="H1029" i="1" a="1"/>
  <c r="H1029" i="1" s="1"/>
  <c r="H1030" i="1" a="1"/>
  <c r="H1030" i="1" s="1"/>
  <c r="H1031" i="1" a="1"/>
  <c r="H1031" i="1" s="1"/>
  <c r="H1032" i="1" a="1"/>
  <c r="H1032" i="1" s="1"/>
  <c r="H1033" i="1" a="1"/>
  <c r="H1033" i="1" s="1"/>
  <c r="H1034" i="1" a="1"/>
  <c r="H1034" i="1" s="1"/>
  <c r="H1035" i="1" a="1"/>
  <c r="H1035" i="1" s="1"/>
  <c r="H1040" i="1" a="1"/>
  <c r="H1040" i="1" s="1"/>
  <c r="H1041" i="1" a="1"/>
  <c r="H1041" i="1" s="1"/>
  <c r="H1042" i="1" a="1"/>
  <c r="H1042" i="1" s="1"/>
  <c r="H1043" i="1" a="1"/>
  <c r="H1043" i="1" s="1"/>
  <c r="H1044" i="1" a="1"/>
  <c r="H1044" i="1" s="1"/>
  <c r="H1045" i="1" a="1"/>
  <c r="H1045" i="1" s="1"/>
  <c r="H1046" i="1" a="1"/>
  <c r="H1046" i="1" s="1"/>
  <c r="H1047" i="1" a="1"/>
  <c r="H1047" i="1" s="1"/>
  <c r="H1048" i="1" a="1"/>
  <c r="H1048" i="1" s="1"/>
  <c r="H1053" i="1" a="1"/>
  <c r="H1053" i="1" s="1"/>
  <c r="H1054" i="1" a="1"/>
  <c r="H1054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2" i="1" a="1"/>
  <c r="H1062" i="1" s="1"/>
  <c r="H1063" i="1" a="1"/>
  <c r="H1063" i="1" s="1"/>
  <c r="H1065" i="1" a="1"/>
  <c r="H1065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6" i="1" a="1"/>
  <c r="H1076" i="1" s="1"/>
  <c r="H1078" i="1" a="1"/>
  <c r="H1078" i="1" s="1"/>
  <c r="H1079" i="1" a="1"/>
  <c r="H1079" i="1" s="1"/>
  <c r="H1081" i="1" a="1"/>
  <c r="H1081" i="1" s="1"/>
  <c r="H1086" i="1" a="1"/>
  <c r="H1086" i="1" s="1"/>
  <c r="H1087" i="1" a="1"/>
  <c r="H1087" i="1" s="1"/>
  <c r="H1088" i="1" a="1"/>
  <c r="H1088" i="1" s="1"/>
  <c r="H1089" i="1" a="1"/>
  <c r="H1089" i="1" s="1"/>
  <c r="H1090" i="1" a="1"/>
  <c r="H1090" i="1" s="1"/>
  <c r="H1091" i="1" a="1"/>
  <c r="H1091" i="1" s="1"/>
  <c r="H1092" i="1" a="1"/>
  <c r="H1092" i="1" s="1"/>
  <c r="H1093" i="1" a="1"/>
  <c r="H1093" i="1" s="1"/>
  <c r="H1098" i="1" a="1"/>
  <c r="H1098" i="1" s="1"/>
  <c r="H1099" i="1" a="1"/>
  <c r="H1099" i="1" s="1"/>
  <c r="H1100" i="1" a="1"/>
  <c r="H1100" i="1" s="1"/>
  <c r="H1101" i="1" a="1"/>
  <c r="H1101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11" i="1" a="1"/>
  <c r="H1111" i="1" s="1"/>
  <c r="H1112" i="1" a="1"/>
  <c r="H1112" i="1" s="1"/>
  <c r="H1113" i="1" a="1"/>
  <c r="H1113" i="1" s="1"/>
  <c r="H1114" i="1" a="1"/>
  <c r="H1114" i="1" s="1"/>
  <c r="H1115" i="1" a="1"/>
  <c r="H1115" i="1" s="1"/>
  <c r="H1116" i="1" a="1"/>
  <c r="H1116" i="1" s="1"/>
  <c r="H1117" i="1" a="1"/>
  <c r="H1117" i="1" s="1"/>
  <c r="H1118" i="1" a="1"/>
  <c r="H1118" i="1" s="1"/>
  <c r="H1119" i="1" a="1"/>
  <c r="H1119" i="1" s="1"/>
  <c r="H1124" i="1" a="1"/>
  <c r="H1124" i="1" s="1"/>
  <c r="H1125" i="1" a="1"/>
  <c r="H1125" i="1" s="1"/>
  <c r="H1126" i="1" a="1"/>
  <c r="H1126" i="1" s="1"/>
  <c r="H1127" i="1" a="1"/>
  <c r="H1127" i="1" s="1"/>
  <c r="H1128" i="1" a="1"/>
  <c r="H1128" i="1" s="1"/>
  <c r="H1129" i="1" a="1"/>
  <c r="H1129" i="1" s="1"/>
  <c r="H1130" i="1" a="1"/>
  <c r="H1130" i="1" s="1"/>
  <c r="H1132" i="1" a="1"/>
  <c r="H1132" i="1" s="1"/>
  <c r="H1133" i="1" a="1"/>
  <c r="H1133" i="1" s="1"/>
  <c r="H1135" i="1" a="1"/>
  <c r="H1135" i="1" s="1"/>
  <c r="H1140" i="1" a="1"/>
  <c r="H1140" i="1" s="1"/>
  <c r="H1141" i="1" a="1"/>
  <c r="H1141" i="1" s="1"/>
  <c r="H1142" i="1" a="1"/>
  <c r="H1142" i="1" s="1"/>
  <c r="H1143" i="1" a="1"/>
  <c r="H1143" i="1" s="1"/>
  <c r="H1144" i="1" a="1"/>
  <c r="H1144" i="1" s="1"/>
  <c r="H1145" i="1" a="1"/>
  <c r="H1145" i="1" s="1"/>
  <c r="H1146" i="1" a="1"/>
  <c r="H1146" i="1" s="1"/>
  <c r="H1148" i="1" a="1"/>
  <c r="H1148" i="1" s="1"/>
  <c r="H1149" i="1" a="1"/>
  <c r="H1149" i="1" s="1"/>
  <c r="H1151" i="1" a="1"/>
  <c r="H1151" i="1" s="1"/>
  <c r="H1156" i="1" a="1"/>
  <c r="H1156" i="1" s="1"/>
  <c r="H1157" i="1" a="1"/>
  <c r="H1157" i="1" s="1"/>
  <c r="H1158" i="1" a="1"/>
  <c r="H1158" i="1" s="1"/>
  <c r="H1159" i="1" a="1"/>
  <c r="H1159" i="1" s="1"/>
  <c r="H1161" i="1" a="1"/>
  <c r="H1161" i="1" s="1"/>
  <c r="H1162" i="1" a="1"/>
  <c r="H1162" i="1" s="1"/>
  <c r="H1164" i="1" a="1"/>
  <c r="H1164" i="1" s="1"/>
  <c r="H1170" i="1" a="1"/>
  <c r="H1170" i="1" s="1"/>
  <c r="H1171" i="1" a="1"/>
  <c r="H1171" i="1" s="1"/>
  <c r="H1172" i="1" a="1"/>
  <c r="H1172" i="1" s="1"/>
  <c r="H1173" i="1" a="1"/>
  <c r="H1173" i="1" s="1"/>
  <c r="H1174" i="1" a="1"/>
  <c r="H1174" i="1" s="1"/>
  <c r="H1175" i="1" a="1"/>
  <c r="H1175" i="1" s="1"/>
  <c r="H1176" i="1" a="1"/>
  <c r="H1176" i="1" s="1"/>
  <c r="H1177" i="1" a="1"/>
  <c r="H1177" i="1" s="1"/>
  <c r="H1182" i="1" a="1"/>
  <c r="H1182" i="1" s="1"/>
  <c r="H1183" i="1" a="1"/>
  <c r="H1183" i="1" s="1"/>
  <c r="H1184" i="1" a="1"/>
  <c r="H1184" i="1" s="1"/>
  <c r="H1185" i="1" a="1"/>
  <c r="H1185" i="1" s="1"/>
  <c r="H1186" i="1" a="1"/>
  <c r="H1186" i="1" s="1"/>
  <c r="H1187" i="1" a="1"/>
  <c r="H1187" i="1" s="1"/>
  <c r="H1188" i="1" a="1"/>
  <c r="H1188" i="1" s="1"/>
  <c r="H1189" i="1" a="1"/>
  <c r="H1189" i="1" s="1"/>
  <c r="H1194" i="1" a="1"/>
  <c r="H1194" i="1" s="1"/>
  <c r="H1195" i="1" a="1"/>
  <c r="H1195" i="1" s="1"/>
  <c r="H1196" i="1" a="1"/>
  <c r="H1196" i="1" s="1"/>
  <c r="H1197" i="1" a="1"/>
  <c r="H1197" i="1" s="1"/>
  <c r="H1198" i="1" a="1"/>
  <c r="H1198" i="1" s="1"/>
  <c r="H1200" i="1" a="1"/>
  <c r="H1200" i="1" s="1"/>
  <c r="H1201" i="1" a="1"/>
  <c r="H1201" i="1" s="1"/>
  <c r="H1202" i="1" a="1"/>
  <c r="H1202" i="1" s="1"/>
  <c r="H1207" i="1" a="1"/>
  <c r="H1207" i="1" s="1"/>
  <c r="H1208" i="1" a="1"/>
  <c r="H1208" i="1" s="1"/>
  <c r="H1209" i="1" a="1"/>
  <c r="H1209" i="1" s="1"/>
  <c r="H1211" i="1" a="1"/>
  <c r="H1211" i="1" s="1"/>
  <c r="H1212" i="1" a="1"/>
  <c r="H1212" i="1" s="1"/>
  <c r="H1214" i="1" a="1"/>
  <c r="H1214" i="1" s="1"/>
  <c r="H1219" i="1" a="1"/>
  <c r="H1219" i="1" s="1"/>
  <c r="H1220" i="1" a="1"/>
  <c r="H1220" i="1" s="1"/>
  <c r="H1221" i="1" a="1"/>
  <c r="H1221" i="1" s="1"/>
  <c r="H1222" i="1" a="1"/>
  <c r="H1222" i="1" s="1"/>
  <c r="H1223" i="1" a="1"/>
  <c r="H1223" i="1" s="1"/>
  <c r="H1224" i="1" a="1"/>
  <c r="H1224" i="1" s="1"/>
  <c r="H1226" i="1" a="1"/>
  <c r="H1226" i="1" s="1"/>
  <c r="H1227" i="1" a="1"/>
  <c r="H1227" i="1" s="1"/>
  <c r="H1229" i="1" a="1"/>
  <c r="H1229" i="1" s="1"/>
  <c r="H1234" i="1" a="1"/>
  <c r="H1234" i="1" s="1"/>
  <c r="H1235" i="1" a="1"/>
  <c r="H1235" i="1" s="1"/>
  <c r="H1236" i="1" a="1"/>
  <c r="H1236" i="1" s="1"/>
  <c r="H1237" i="1" a="1"/>
  <c r="H1237" i="1" s="1"/>
  <c r="H1238" i="1" a="1"/>
  <c r="H1238" i="1" s="1"/>
  <c r="H1239" i="1" a="1"/>
  <c r="H1239" i="1" s="1"/>
  <c r="H1240" i="1" a="1"/>
  <c r="H1240" i="1" s="1"/>
  <c r="H1241" i="1" a="1"/>
  <c r="H1241" i="1" s="1"/>
  <c r="H1242" i="1" a="1"/>
  <c r="H1242" i="1" s="1"/>
  <c r="H1247" i="1" a="1"/>
  <c r="H1247" i="1" s="1"/>
  <c r="H1248" i="1" a="1"/>
  <c r="H1248" i="1" s="1"/>
  <c r="H1249" i="1" a="1"/>
  <c r="H1249" i="1" s="1"/>
  <c r="H1250" i="1" a="1"/>
  <c r="H1250" i="1" s="1"/>
  <c r="H1251" i="1" a="1"/>
  <c r="H1251" i="1" s="1"/>
  <c r="H1252" i="1" a="1"/>
  <c r="H1252" i="1" s="1"/>
  <c r="H1253" i="1" a="1"/>
  <c r="H1253" i="1" s="1"/>
  <c r="H1254" i="1" a="1"/>
  <c r="H1254" i="1" s="1"/>
  <c r="H1255" i="1" a="1"/>
  <c r="H1255" i="1" s="1"/>
  <c r="H1256" i="1" a="1"/>
  <c r="H1256" i="1" s="1"/>
  <c r="H1261" i="1" a="1"/>
  <c r="H1261" i="1" s="1"/>
  <c r="H1262" i="1" a="1"/>
  <c r="H1262" i="1" s="1"/>
  <c r="H1263" i="1" a="1"/>
  <c r="H1263" i="1" s="1"/>
  <c r="H1264" i="1" a="1"/>
  <c r="H1264" i="1" s="1"/>
  <c r="H1265" i="1" a="1"/>
  <c r="H1265" i="1" s="1"/>
  <c r="H1266" i="1" a="1"/>
  <c r="H1266" i="1" s="1"/>
  <c r="H1267" i="1" a="1"/>
  <c r="H1267" i="1" s="1"/>
  <c r="H1268" i="1" a="1"/>
  <c r="H1268" i="1" s="1"/>
  <c r="H1269" i="1" a="1"/>
  <c r="H1269" i="1" s="1"/>
  <c r="H1270" i="1" a="1"/>
  <c r="H1270" i="1" s="1"/>
  <c r="H1275" i="1" a="1"/>
  <c r="H1275" i="1" s="1"/>
  <c r="H1276" i="1" a="1"/>
  <c r="H1276" i="1" s="1"/>
  <c r="H1277" i="1" a="1"/>
  <c r="H1277" i="1" s="1"/>
  <c r="H1278" i="1" a="1"/>
  <c r="H1278" i="1" s="1"/>
  <c r="H1279" i="1" a="1"/>
  <c r="H1279" i="1" s="1"/>
  <c r="H1280" i="1" a="1"/>
  <c r="H1280" i="1" s="1"/>
  <c r="H1281" i="1" a="1"/>
  <c r="H1281" i="1" s="1"/>
  <c r="H1282" i="1" a="1"/>
  <c r="H1282" i="1" s="1"/>
  <c r="H1283" i="1" a="1"/>
  <c r="H1283" i="1" s="1"/>
  <c r="H1284" i="1" a="1"/>
  <c r="H1284" i="1" s="1"/>
  <c r="H1289" i="1" a="1"/>
  <c r="H1289" i="1" s="1"/>
  <c r="H1290" i="1" a="1"/>
  <c r="H1290" i="1" s="1"/>
  <c r="H1291" i="1" a="1"/>
  <c r="H1291" i="1" s="1"/>
  <c r="H1292" i="1" a="1"/>
  <c r="H1292" i="1" s="1"/>
  <c r="H1293" i="1" a="1"/>
  <c r="H1293" i="1" s="1"/>
  <c r="H1294" i="1" a="1"/>
  <c r="H1294" i="1" s="1"/>
  <c r="H1295" i="1" a="1"/>
  <c r="H1295" i="1" s="1"/>
  <c r="H1296" i="1" a="1"/>
  <c r="H1296" i="1" s="1"/>
  <c r="H1298" i="1" a="1"/>
  <c r="H1298" i="1" s="1"/>
  <c r="H1299" i="1" a="1"/>
  <c r="H1299" i="1" s="1"/>
  <c r="H1301" i="1" a="1"/>
  <c r="H1301" i="1" s="1"/>
  <c r="H1306" i="1" a="1"/>
  <c r="H1306" i="1" s="1"/>
  <c r="H1307" i="1" a="1"/>
  <c r="H1307" i="1" s="1"/>
  <c r="H1308" i="1" a="1"/>
  <c r="H1308" i="1" s="1"/>
  <c r="H1309" i="1" a="1"/>
  <c r="H1309" i="1" s="1"/>
  <c r="H1310" i="1" a="1"/>
  <c r="H1310" i="1" s="1"/>
  <c r="H1311" i="1" a="1"/>
  <c r="H1311" i="1" s="1"/>
  <c r="H1312" i="1" a="1"/>
  <c r="H1312" i="1" s="1"/>
  <c r="H1313" i="1" a="1"/>
  <c r="H1313" i="1" s="1"/>
  <c r="H1314" i="1" a="1"/>
  <c r="H1314" i="1" s="1"/>
  <c r="H1315" i="1" a="1"/>
  <c r="H1315" i="1" s="1"/>
  <c r="H1316" i="1" a="1"/>
  <c r="H1316" i="1" s="1"/>
  <c r="H1321" i="1" a="1"/>
  <c r="H1321" i="1" s="1"/>
  <c r="H1322" i="1" a="1"/>
  <c r="H1322" i="1" s="1"/>
  <c r="H1323" i="1" a="1"/>
  <c r="H1323" i="1" s="1"/>
  <c r="H1324" i="1" a="1"/>
  <c r="H1324" i="1" s="1"/>
  <c r="H1325" i="1" a="1"/>
  <c r="H1325" i="1" s="1"/>
  <c r="H1326" i="1" a="1"/>
  <c r="H1326" i="1" s="1"/>
  <c r="H1327" i="1" a="1"/>
  <c r="H1327" i="1" s="1"/>
  <c r="H1328" i="1" a="1"/>
  <c r="H1328" i="1" s="1"/>
  <c r="H1329" i="1" a="1"/>
  <c r="H1329" i="1" s="1"/>
  <c r="H1334" i="1" a="1"/>
  <c r="H1334" i="1" s="1"/>
  <c r="H1335" i="1" a="1"/>
  <c r="H1335" i="1" s="1"/>
  <c r="H1336" i="1" a="1"/>
  <c r="H1336" i="1" s="1"/>
  <c r="H1337" i="1" a="1"/>
  <c r="H1337" i="1" s="1"/>
  <c r="H1338" i="1" a="1"/>
  <c r="H1338" i="1" s="1"/>
  <c r="H1339" i="1" a="1"/>
  <c r="H1339" i="1" s="1"/>
  <c r="H1341" i="1" a="1"/>
  <c r="H1341" i="1" s="1"/>
  <c r="H1342" i="1" a="1"/>
  <c r="H1342" i="1" s="1"/>
  <c r="H1344" i="1" a="1"/>
  <c r="H1344" i="1" s="1"/>
  <c r="H1349" i="1" a="1"/>
  <c r="H1349" i="1" s="1"/>
  <c r="H1350" i="1" a="1"/>
  <c r="H1350" i="1" s="1"/>
  <c r="H1351" i="1" a="1"/>
  <c r="H1351" i="1" s="1"/>
  <c r="H1352" i="1" a="1"/>
  <c r="H1352" i="1" s="1"/>
  <c r="H1353" i="1" a="1"/>
  <c r="H1353" i="1" s="1"/>
  <c r="H1354" i="1" a="1"/>
  <c r="H1354" i="1" s="1"/>
  <c r="H1355" i="1" a="1"/>
  <c r="H1355" i="1" s="1"/>
  <c r="H1356" i="1" a="1"/>
  <c r="H1356" i="1" s="1"/>
  <c r="H1357" i="1" a="1"/>
  <c r="H1357" i="1" s="1"/>
  <c r="H1358" i="1" a="1"/>
  <c r="H1358" i="1" s="1"/>
  <c r="H1363" i="1" a="1"/>
  <c r="H1363" i="1" s="1"/>
  <c r="H1364" i="1" a="1"/>
  <c r="H1364" i="1" s="1"/>
  <c r="H1365" i="1" a="1"/>
  <c r="H1365" i="1" s="1"/>
  <c r="H1366" i="1" a="1"/>
  <c r="H1366" i="1" s="1"/>
  <c r="H1367" i="1" a="1"/>
  <c r="H1367" i="1" s="1"/>
  <c r="H1368" i="1" a="1"/>
  <c r="H1368" i="1" s="1"/>
  <c r="H1369" i="1" a="1"/>
  <c r="H1369" i="1" s="1"/>
  <c r="H1370" i="1" a="1"/>
  <c r="H1370" i="1" s="1"/>
  <c r="H1371" i="1" a="1"/>
  <c r="H1371" i="1" s="1"/>
  <c r="H1372" i="1" a="1"/>
  <c r="H1372" i="1" s="1"/>
  <c r="H1377" i="1" a="1"/>
  <c r="H1377" i="1" s="1"/>
  <c r="H1378" i="1" a="1"/>
  <c r="H1378" i="1" s="1"/>
  <c r="H1379" i="1" a="1"/>
  <c r="H1379" i="1" s="1"/>
  <c r="H1380" i="1" a="1"/>
  <c r="H1380" i="1" s="1"/>
  <c r="H1381" i="1" a="1"/>
  <c r="H1381" i="1" s="1"/>
  <c r="H1382" i="1" a="1"/>
  <c r="H1382" i="1" s="1"/>
  <c r="H1383" i="1" a="1"/>
  <c r="H1383" i="1" s="1"/>
  <c r="H1385" i="1" a="1"/>
  <c r="H1385" i="1" s="1"/>
  <c r="H1386" i="1" a="1"/>
  <c r="H1386" i="1" s="1"/>
  <c r="H1388" i="1" a="1"/>
  <c r="H1388" i="1" s="1"/>
  <c r="H1393" i="1" a="1"/>
  <c r="H1393" i="1" s="1"/>
  <c r="H1394" i="1" a="1"/>
  <c r="H1394" i="1" s="1"/>
  <c r="H1395" i="1" a="1"/>
  <c r="H1395" i="1" s="1"/>
  <c r="H1396" i="1" a="1"/>
  <c r="H1396" i="1" s="1"/>
  <c r="H1397" i="1" a="1"/>
  <c r="H1397" i="1" s="1"/>
  <c r="H1398" i="1" a="1"/>
  <c r="H1398" i="1" s="1"/>
  <c r="H1403" i="1" a="1"/>
  <c r="H1403" i="1" s="1"/>
  <c r="H1404" i="1" a="1"/>
  <c r="H1404" i="1" s="1"/>
  <c r="H1405" i="1" a="1"/>
  <c r="H1405" i="1" s="1"/>
  <c r="H1406" i="1" a="1"/>
  <c r="H1406" i="1" s="1"/>
  <c r="H1407" i="1" a="1"/>
  <c r="H1407" i="1" s="1"/>
  <c r="H1408" i="1" a="1"/>
  <c r="H1408" i="1" s="1"/>
  <c r="H1409" i="1" a="1"/>
  <c r="H1409" i="1" s="1"/>
  <c r="H1410" i="1" a="1"/>
  <c r="H1410" i="1" s="1"/>
  <c r="H1415" i="1" a="1"/>
  <c r="H1415" i="1" s="1"/>
  <c r="H1416" i="1" a="1"/>
  <c r="H1416" i="1" s="1"/>
  <c r="H1417" i="1" a="1"/>
  <c r="H1417" i="1" s="1"/>
  <c r="H1418" i="1" a="1"/>
  <c r="H1418" i="1" s="1"/>
  <c r="H1419" i="1" a="1"/>
  <c r="H1419" i="1" s="1"/>
  <c r="H1420" i="1" a="1"/>
  <c r="H1420" i="1" s="1"/>
  <c r="H1421" i="1" a="1"/>
  <c r="H1421" i="1" s="1"/>
  <c r="H1422" i="1" a="1"/>
  <c r="H1422" i="1" s="1"/>
  <c r="H1427" i="1" a="1"/>
  <c r="H1427" i="1" s="1"/>
  <c r="H1428" i="1" a="1"/>
  <c r="H1428" i="1" s="1"/>
  <c r="H1429" i="1" a="1"/>
  <c r="H1429" i="1" s="1"/>
  <c r="H1430" i="1" a="1"/>
  <c r="H1430" i="1" s="1"/>
  <c r="H1431" i="1" a="1"/>
  <c r="H1431" i="1" s="1"/>
  <c r="H1432" i="1" a="1"/>
  <c r="H1432" i="1" s="1"/>
  <c r="H1433" i="1" a="1"/>
  <c r="H1433" i="1" s="1"/>
  <c r="H1434" i="1" a="1"/>
  <c r="H1434" i="1" s="1"/>
  <c r="H1439" i="1" a="1"/>
  <c r="H1439" i="1" s="1"/>
  <c r="H1440" i="1" a="1"/>
  <c r="H1440" i="1" s="1"/>
  <c r="H1441" i="1" a="1"/>
  <c r="H1441" i="1" s="1"/>
  <c r="H1442" i="1" a="1"/>
  <c r="H1442" i="1" s="1"/>
  <c r="H1443" i="1" a="1"/>
  <c r="H1443" i="1" s="1"/>
  <c r="H1444" i="1" a="1"/>
  <c r="H1444" i="1" s="1"/>
  <c r="H1445" i="1" a="1"/>
  <c r="H1445" i="1" s="1"/>
  <c r="H1446" i="1" a="1"/>
  <c r="H1446" i="1" s="1"/>
  <c r="H1451" i="1" a="1"/>
  <c r="H1451" i="1" s="1"/>
  <c r="H1452" i="1" a="1"/>
  <c r="H1452" i="1" s="1"/>
  <c r="H1453" i="1" a="1"/>
  <c r="H1453" i="1" s="1"/>
  <c r="H1454" i="1" a="1"/>
  <c r="H1454" i="1" s="1"/>
  <c r="H1455" i="1" a="1"/>
  <c r="H1455" i="1" s="1"/>
  <c r="H1457" i="1" a="1"/>
  <c r="H1457" i="1" s="1"/>
  <c r="H1459" i="1" a="1"/>
  <c r="H1459" i="1" s="1"/>
  <c r="H1460" i="1" a="1"/>
  <c r="H1460" i="1" s="1"/>
  <c r="H1462" i="1" a="1"/>
  <c r="H1462" i="1" s="1"/>
  <c r="H1467" i="1" a="1"/>
  <c r="H1467" i="1" s="1"/>
  <c r="H1468" i="1" a="1"/>
  <c r="H1468" i="1" s="1"/>
  <c r="H1469" i="1" a="1"/>
  <c r="H1469" i="1" s="1"/>
  <c r="H1471" i="1" a="1"/>
  <c r="H1471" i="1" s="1"/>
  <c r="H1472" i="1" a="1"/>
  <c r="H1472" i="1" s="1"/>
  <c r="H1474" i="1" a="1"/>
  <c r="H1474" i="1" s="1"/>
  <c r="H1479" i="1" a="1"/>
  <c r="H1479" i="1" s="1"/>
  <c r="H1480" i="1" a="1"/>
  <c r="H1480" i="1" s="1"/>
  <c r="H1481" i="1" a="1"/>
  <c r="H1481" i="1" s="1"/>
  <c r="H1482" i="1" a="1"/>
  <c r="H1482" i="1" s="1"/>
  <c r="H1483" i="1" a="1"/>
  <c r="H1483" i="1" s="1"/>
  <c r="H1484" i="1" a="1"/>
  <c r="H1484" i="1" s="1"/>
  <c r="H1486" i="1" a="1"/>
  <c r="H1486" i="1" s="1"/>
  <c r="H1488" i="1" a="1"/>
  <c r="H1488" i="1" s="1"/>
  <c r="H1489" i="1" a="1"/>
  <c r="H1489" i="1" s="1"/>
  <c r="H1491" i="1" a="1"/>
  <c r="H1491" i="1" s="1"/>
  <c r="H1496" i="1" a="1"/>
  <c r="H1496" i="1" s="1"/>
  <c r="H1497" i="1" a="1"/>
  <c r="H1497" i="1" s="1"/>
  <c r="H1498" i="1" a="1"/>
  <c r="H1498" i="1" s="1"/>
  <c r="H1499" i="1" a="1"/>
  <c r="H1499" i="1" s="1"/>
  <c r="H1500" i="1" a="1"/>
  <c r="H1500" i="1" s="1"/>
  <c r="H1501" i="1" a="1"/>
  <c r="H1501" i="1" s="1"/>
  <c r="H1502" i="1" a="1"/>
  <c r="H1502" i="1" s="1"/>
  <c r="H1503" i="1" a="1"/>
  <c r="H1503" i="1" s="1"/>
  <c r="H1504" i="1" a="1"/>
  <c r="H1504" i="1" s="1"/>
  <c r="H1505" i="1" a="1"/>
  <c r="H1505" i="1" s="1"/>
  <c r="H1506" i="1" a="1"/>
  <c r="H1506" i="1" s="1"/>
  <c r="H1507" i="1" a="1"/>
  <c r="H1507" i="1" s="1"/>
  <c r="H1508" i="1" a="1"/>
  <c r="H1508" i="1" s="1"/>
  <c r="H1509" i="1" a="1"/>
  <c r="H1509" i="1" s="1"/>
  <c r="H1510" i="1" a="1"/>
  <c r="H1510" i="1" s="1"/>
  <c r="H1511" i="1" a="1"/>
  <c r="H1511" i="1" s="1"/>
  <c r="H1512" i="1" a="1"/>
  <c r="H1512" i="1" s="1"/>
  <c r="H1513" i="1" a="1"/>
  <c r="H1513" i="1" s="1"/>
  <c r="H1514" i="1" a="1"/>
  <c r="H1514" i="1" s="1"/>
  <c r="H1515" i="1" a="1"/>
  <c r="H1515" i="1" s="1"/>
  <c r="H1519" i="1" a="1"/>
  <c r="H1519" i="1" s="1"/>
  <c r="H1520" i="1" a="1"/>
  <c r="H1520" i="1" s="1"/>
  <c r="H1521" i="1" a="1"/>
  <c r="H1521" i="1" s="1"/>
  <c r="H1522" i="1" a="1"/>
  <c r="H1522" i="1" s="1"/>
  <c r="H1523" i="1" a="1"/>
  <c r="H1523" i="1" s="1"/>
  <c r="H1524" i="1" a="1"/>
  <c r="H1524" i="1" s="1"/>
  <c r="H1525" i="1" a="1"/>
  <c r="H1525" i="1" s="1"/>
  <c r="H1526" i="1" a="1"/>
  <c r="H1526" i="1" s="1"/>
  <c r="H1527" i="1" a="1"/>
  <c r="H1527" i="1" s="1"/>
  <c r="H1528" i="1" a="1"/>
  <c r="H1528" i="1" s="1"/>
  <c r="H1529" i="1" a="1"/>
  <c r="H1529" i="1" s="1"/>
  <c r="H1530" i="1" a="1"/>
  <c r="H1530" i="1" s="1"/>
  <c r="H1531" i="1" a="1"/>
  <c r="H1531" i="1" s="1"/>
  <c r="H1532" i="1" a="1"/>
  <c r="H1532" i="1" s="1"/>
  <c r="H1533" i="1" a="1"/>
  <c r="H1533" i="1" s="1"/>
  <c r="H1534" i="1" a="1"/>
  <c r="H1534" i="1" s="1"/>
  <c r="H1535" i="1" a="1"/>
  <c r="H1535" i="1" s="1"/>
  <c r="H1538" i="1" a="1"/>
  <c r="H1538" i="1" s="1"/>
  <c r="H1539" i="1" a="1"/>
  <c r="H1539" i="1" s="1"/>
  <c r="H1540" i="1" a="1"/>
  <c r="H1540" i="1" s="1"/>
  <c r="H1541" i="1" a="1"/>
  <c r="H1541" i="1" s="1"/>
  <c r="H1542" i="1" a="1"/>
  <c r="H1542" i="1" s="1"/>
  <c r="H7" i="1" a="1"/>
  <c r="H7" i="1" s="1"/>
  <c r="E1483" i="1" a="1"/>
  <c r="E1483" i="1" s="1"/>
  <c r="E1481" i="1" a="1"/>
  <c r="E1481" i="1" s="1"/>
  <c r="E1484" i="1" a="1"/>
  <c r="E1484" i="1" s="1"/>
  <c r="E1454" i="1" a="1"/>
  <c r="E1454" i="1" s="1"/>
  <c r="E1453" i="1" a="1"/>
  <c r="E1453" i="1" s="1"/>
  <c r="E1442" i="1" a="1"/>
  <c r="E1442" i="1" s="1"/>
  <c r="E1441" i="1" a="1"/>
  <c r="E1441" i="1" s="1"/>
  <c r="E1430" i="1" a="1"/>
  <c r="E1430" i="1" s="1"/>
  <c r="E1429" i="1" a="1"/>
  <c r="E1429" i="1" s="1"/>
  <c r="E1379" i="1" a="1"/>
  <c r="E1379" i="1" s="1"/>
  <c r="E1377" i="1" a="1"/>
  <c r="E1377" i="1" s="1"/>
  <c r="E1380" i="1" a="1"/>
  <c r="E1380" i="1" s="1"/>
  <c r="E1365" i="1" a="1"/>
  <c r="E1365" i="1" s="1"/>
  <c r="E1363" i="1" a="1"/>
  <c r="E1363" i="1" s="1"/>
  <c r="E1366" i="1" a="1"/>
  <c r="E1366" i="1" s="1"/>
  <c r="E1418" i="1" a="1"/>
  <c r="E1418" i="1" s="1"/>
  <c r="E1417" i="1" a="1"/>
  <c r="E1417" i="1" s="1"/>
  <c r="E1406" i="1" a="1"/>
  <c r="E1406" i="1" s="1"/>
  <c r="E1405" i="1" a="1"/>
  <c r="E1405" i="1" s="1"/>
  <c r="E1323" i="1" a="1"/>
  <c r="E1323" i="1" s="1"/>
  <c r="E1321" i="1" a="1"/>
  <c r="E1321" i="1" s="1"/>
  <c r="E1324" i="1" a="1"/>
  <c r="E1324" i="1" s="1"/>
  <c r="E1353" i="1" a="1"/>
  <c r="E1353" i="1" s="1"/>
  <c r="E1351" i="1" a="1"/>
  <c r="E1351" i="1" s="1"/>
  <c r="E1354" i="1" a="1"/>
  <c r="E1354" i="1" s="1"/>
  <c r="E1308" i="1" a="1"/>
  <c r="E1308" i="1" s="1"/>
  <c r="E1306" i="1" a="1"/>
  <c r="E1306" i="1" s="1"/>
  <c r="E1309" i="1" a="1"/>
  <c r="E1309" i="1" s="1"/>
  <c r="E1337" i="1" a="1"/>
  <c r="E1337" i="1" s="1"/>
  <c r="E1336" i="1" a="1"/>
  <c r="E1336" i="1" s="1"/>
  <c r="E1291" i="1" a="1"/>
  <c r="E1291" i="1" s="1"/>
  <c r="E1289" i="1" a="1"/>
  <c r="E1289" i="1" s="1"/>
  <c r="E1292" i="1" a="1"/>
  <c r="E1292" i="1" s="1"/>
  <c r="E1277" i="1" a="1"/>
  <c r="E1277" i="1" s="1"/>
  <c r="E1275" i="1" a="1"/>
  <c r="E1275" i="1" s="1"/>
  <c r="E1278" i="1" a="1"/>
  <c r="E1278" i="1" s="1"/>
  <c r="E1263" i="1" a="1"/>
  <c r="E1263" i="1" s="1"/>
  <c r="E1261" i="1" a="1"/>
  <c r="E1261" i="1" s="1"/>
  <c r="E1264" i="1" a="1"/>
  <c r="E1264" i="1" s="1"/>
  <c r="E1249" i="1" a="1"/>
  <c r="E1249" i="1" s="1"/>
  <c r="E1247" i="1" a="1"/>
  <c r="E1247" i="1" s="1"/>
  <c r="E1250" i="1" a="1"/>
  <c r="E1250" i="1" s="1"/>
  <c r="E1222" i="1" a="1"/>
  <c r="E1222" i="1" s="1"/>
  <c r="E1221" i="1" a="1"/>
  <c r="E1221" i="1" s="1"/>
  <c r="E1237" i="1" a="1"/>
  <c r="E1237" i="1" s="1"/>
  <c r="E1236" i="1" a="1"/>
  <c r="E1236" i="1" s="1"/>
  <c r="E1197" i="1" a="1"/>
  <c r="E1197" i="1" s="1"/>
  <c r="E1196" i="1" a="1"/>
  <c r="E1196" i="1" s="1"/>
  <c r="E1185" i="1" a="1"/>
  <c r="E1185" i="1" s="1"/>
  <c r="E1184" i="1" a="1"/>
  <c r="E1184" i="1" s="1"/>
  <c r="E1173" i="1" a="1"/>
  <c r="E1173" i="1" s="1"/>
  <c r="E1172" i="1" a="1"/>
  <c r="E1172" i="1" s="1"/>
  <c r="E1144" i="1" a="1"/>
  <c r="E1144" i="1" s="1"/>
  <c r="E1142" i="1" a="1"/>
  <c r="E1142" i="1" s="1"/>
  <c r="E1145" i="1" a="1"/>
  <c r="E1145" i="1" s="1"/>
  <c r="E1128" i="1" a="1"/>
  <c r="E1128" i="1" s="1"/>
  <c r="E1126" i="1" a="1"/>
  <c r="E1126" i="1" s="1"/>
  <c r="E1129" i="1" a="1"/>
  <c r="E1129" i="1" s="1"/>
  <c r="E1115" i="1" a="1"/>
  <c r="E1115" i="1" s="1"/>
  <c r="E1113" i="1" a="1"/>
  <c r="E1113" i="1" s="1"/>
  <c r="E1116" i="1" a="1"/>
  <c r="E1116" i="1" s="1"/>
  <c r="E1074" i="1" a="1"/>
  <c r="E1074" i="1" s="1"/>
  <c r="E1073" i="1" a="1"/>
  <c r="E1073" i="1" s="1"/>
  <c r="E1102" i="1" a="1"/>
  <c r="E1102" i="1" s="1"/>
  <c r="E1100" i="1" a="1"/>
  <c r="E1100" i="1" s="1"/>
  <c r="E1103" i="1" a="1"/>
  <c r="E1103" i="1" s="1"/>
  <c r="E1089" i="1" a="1"/>
  <c r="E1089" i="1" s="1"/>
  <c r="E1088" i="1" a="1"/>
  <c r="E1088" i="1" s="1"/>
  <c r="E1031" i="1" a="1"/>
  <c r="E1031" i="1" s="1"/>
  <c r="E1029" i="1" a="1"/>
  <c r="E1029" i="1" s="1"/>
  <c r="E1032" i="1" a="1"/>
  <c r="E1032" i="1" s="1"/>
  <c r="E1018" i="1" a="1"/>
  <c r="E1018" i="1" s="1"/>
  <c r="E1016" i="1" a="1"/>
  <c r="E1016" i="1" s="1"/>
  <c r="E1019" i="1" a="1"/>
  <c r="E1019" i="1" s="1"/>
  <c r="E1002" i="1" a="1"/>
  <c r="E1002" i="1" s="1"/>
  <c r="E1001" i="1" a="1"/>
  <c r="E1001" i="1" s="1"/>
  <c r="E1057" i="1" a="1"/>
  <c r="E1057" i="1" s="1"/>
  <c r="E1055" i="1" a="1"/>
  <c r="E1055" i="1" s="1"/>
  <c r="E1058" i="1" a="1"/>
  <c r="E1058" i="1" s="1"/>
  <c r="E1044" i="1" a="1"/>
  <c r="E1044" i="1" s="1"/>
  <c r="E1042" i="1" a="1"/>
  <c r="E1042" i="1" s="1"/>
  <c r="E1045" i="1" a="1"/>
  <c r="E1045" i="1" s="1"/>
  <c r="E961" i="1" a="1"/>
  <c r="E961" i="1" s="1"/>
  <c r="E960" i="1" a="1"/>
  <c r="E960" i="1" s="1"/>
  <c r="E987" i="1" a="1"/>
  <c r="E987" i="1" s="1"/>
  <c r="E985" i="1" a="1"/>
  <c r="E985" i="1" s="1"/>
  <c r="E988" i="1" a="1"/>
  <c r="E988" i="1" s="1"/>
  <c r="E949" i="1" a="1"/>
  <c r="E949" i="1" s="1"/>
  <c r="E947" i="1" a="1"/>
  <c r="E947" i="1" s="1"/>
  <c r="E950" i="1" a="1"/>
  <c r="E950" i="1" s="1"/>
  <c r="E917" i="1" a="1"/>
  <c r="E917" i="1" s="1"/>
  <c r="E916" i="1" a="1"/>
  <c r="E916" i="1" s="1"/>
  <c r="E933" i="1" a="1"/>
  <c r="E933" i="1" s="1"/>
  <c r="E932" i="1" a="1"/>
  <c r="E932" i="1" s="1"/>
  <c r="E885" i="1" a="1"/>
  <c r="E885" i="1" s="1"/>
  <c r="E886" i="1" a="1"/>
  <c r="E886" i="1" s="1"/>
  <c r="E884" i="1" a="1"/>
  <c r="E884" i="1" s="1"/>
  <c r="E857" i="1" a="1"/>
  <c r="E857" i="1" s="1"/>
  <c r="E855" i="1" a="1"/>
  <c r="E855" i="1" s="1"/>
  <c r="E858" i="1" a="1"/>
  <c r="E858" i="1" s="1"/>
  <c r="E874" i="1" a="1"/>
  <c r="E874" i="1" s="1"/>
  <c r="E873" i="1" a="1"/>
  <c r="E873" i="1" s="1"/>
  <c r="E901" i="1" a="1"/>
  <c r="E901" i="1" s="1"/>
  <c r="E899" i="1" a="1"/>
  <c r="E899" i="1" s="1"/>
  <c r="E902" i="1" a="1"/>
  <c r="E902" i="1" s="1"/>
  <c r="E823" i="1" a="1"/>
  <c r="E823" i="1" s="1"/>
  <c r="E821" i="1" a="1"/>
  <c r="E821" i="1" s="1"/>
  <c r="E824" i="1" a="1"/>
  <c r="E824" i="1" s="1"/>
  <c r="E811" i="1" a="1"/>
  <c r="E811" i="1" s="1"/>
  <c r="E809" i="1" a="1"/>
  <c r="E809" i="1" s="1"/>
  <c r="E812" i="1" a="1"/>
  <c r="E812" i="1" s="1"/>
  <c r="E841" i="1" a="1"/>
  <c r="E841" i="1" s="1"/>
  <c r="E839" i="1" a="1"/>
  <c r="E839" i="1" s="1"/>
  <c r="E842" i="1" a="1"/>
  <c r="E842" i="1" s="1"/>
  <c r="E779" i="1" a="1"/>
  <c r="E779" i="1" s="1"/>
  <c r="E777" i="1" a="1"/>
  <c r="E777" i="1" s="1"/>
  <c r="E780" i="1" a="1"/>
  <c r="E780" i="1" s="1"/>
  <c r="E773" i="1" a="1"/>
  <c r="E773" i="1" s="1"/>
  <c r="E771" i="1" a="1"/>
  <c r="E771" i="1" s="1"/>
  <c r="E774" i="1" a="1"/>
  <c r="E774" i="1" s="1"/>
  <c r="E795" i="1" a="1"/>
  <c r="E795" i="1" s="1"/>
  <c r="E793" i="1" a="1"/>
  <c r="E793" i="1" s="1"/>
  <c r="E796" i="1" a="1"/>
  <c r="E796" i="1" s="1"/>
  <c r="E761" i="1" a="1"/>
  <c r="E761" i="1" s="1"/>
  <c r="E759" i="1" a="1"/>
  <c r="E759" i="1" s="1"/>
  <c r="E762" i="1" a="1"/>
  <c r="E762" i="1" s="1"/>
  <c r="E748" i="1" a="1"/>
  <c r="E748" i="1" s="1"/>
  <c r="E746" i="1" a="1"/>
  <c r="E746" i="1" s="1"/>
  <c r="E749" i="1" a="1"/>
  <c r="E749" i="1" s="1"/>
  <c r="E742" i="1" a="1"/>
  <c r="E742" i="1" s="1"/>
  <c r="E740" i="1" a="1"/>
  <c r="E740" i="1" s="1"/>
  <c r="E743" i="1" a="1"/>
  <c r="E743" i="1" s="1"/>
  <c r="E714" i="1" a="1"/>
  <c r="E714" i="1" s="1"/>
  <c r="E712" i="1" a="1"/>
  <c r="E712" i="1" s="1"/>
  <c r="E715" i="1" a="1"/>
  <c r="E715" i="1" s="1"/>
  <c r="E730" i="1" a="1"/>
  <c r="E730" i="1" s="1"/>
  <c r="E728" i="1" a="1"/>
  <c r="E728" i="1" s="1"/>
  <c r="E731" i="1" a="1"/>
  <c r="E731" i="1" s="1"/>
  <c r="E688" i="1" a="1"/>
  <c r="E688" i="1" s="1"/>
  <c r="E686" i="1" a="1"/>
  <c r="E686" i="1" s="1"/>
  <c r="E689" i="1" a="1"/>
  <c r="E689" i="1" s="1"/>
  <c r="E229" i="1" a="1"/>
  <c r="E229" i="1" s="1"/>
  <c r="E228" i="1" a="1"/>
  <c r="E228" i="1" s="1"/>
  <c r="E669" i="1" a="1"/>
  <c r="E669" i="1" s="1"/>
  <c r="E671" i="1" a="1"/>
  <c r="E671" i="1" s="1"/>
  <c r="E670" i="1" a="1"/>
  <c r="E670" i="1" s="1"/>
  <c r="E673" i="1" a="1"/>
  <c r="E673" i="1" s="1"/>
  <c r="E672" i="1" a="1"/>
  <c r="E672" i="1" s="1"/>
  <c r="E667" i="1" a="1"/>
  <c r="E667" i="1" s="1"/>
  <c r="E665" i="1" a="1"/>
  <c r="E665" i="1" s="1"/>
  <c r="E668" i="1" a="1"/>
  <c r="E668" i="1" s="1"/>
  <c r="E654" i="1" a="1"/>
  <c r="E654" i="1" s="1"/>
  <c r="E652" i="1" a="1"/>
  <c r="E652" i="1" s="1"/>
  <c r="E655" i="1" a="1"/>
  <c r="E655" i="1" s="1"/>
  <c r="E629" i="1" a="1"/>
  <c r="E629" i="1" s="1"/>
  <c r="E627" i="1" a="1"/>
  <c r="E627" i="1" s="1"/>
  <c r="E630" i="1" a="1"/>
  <c r="E630" i="1" s="1"/>
  <c r="E641" i="1" a="1"/>
  <c r="E641" i="1" s="1"/>
  <c r="E640" i="1" a="1"/>
  <c r="E640" i="1" s="1"/>
  <c r="E596" i="1" a="1"/>
  <c r="E596" i="1" s="1"/>
  <c r="E594" i="1" a="1"/>
  <c r="E594" i="1" s="1"/>
  <c r="E597" i="1" a="1"/>
  <c r="E597" i="1" s="1"/>
  <c r="E573" i="1" a="1"/>
  <c r="E573" i="1" s="1"/>
  <c r="E572" i="1" a="1"/>
  <c r="E572" i="1" s="1"/>
  <c r="E545" i="1" a="1"/>
  <c r="E545" i="1" s="1"/>
  <c r="E543" i="1" a="1"/>
  <c r="E543" i="1" s="1"/>
  <c r="E546" i="1" a="1"/>
  <c r="E546" i="1" s="1"/>
  <c r="E529" i="1" a="1"/>
  <c r="E529" i="1" s="1"/>
  <c r="E527" i="1" a="1"/>
  <c r="E527" i="1" s="1"/>
  <c r="E530" i="1" a="1"/>
  <c r="E530" i="1" s="1"/>
  <c r="E476" i="1" a="1"/>
  <c r="E476" i="1" s="1"/>
  <c r="E475" i="1" a="1"/>
  <c r="E475" i="1" s="1"/>
  <c r="E493" i="1" a="1"/>
  <c r="E493" i="1" s="1"/>
  <c r="E492" i="1" a="1"/>
  <c r="E492" i="1" s="1"/>
  <c r="E422" i="1" a="1"/>
  <c r="E422" i="1" s="1"/>
  <c r="E421" i="1" a="1"/>
  <c r="E421" i="1" s="1"/>
  <c r="E410" i="1" a="1"/>
  <c r="E410" i="1" s="1"/>
  <c r="E408" i="1" a="1"/>
  <c r="E408" i="1" s="1"/>
  <c r="E411" i="1" a="1"/>
  <c r="E411" i="1" s="1"/>
  <c r="E397" i="1" a="1"/>
  <c r="E397" i="1" s="1"/>
  <c r="E396" i="1" a="1"/>
  <c r="E396" i="1" s="1"/>
  <c r="E385" i="1" a="1"/>
  <c r="E385" i="1" s="1"/>
  <c r="E384" i="1" a="1"/>
  <c r="E384" i="1" s="1"/>
  <c r="E373" i="1" a="1"/>
  <c r="E373" i="1" s="1"/>
  <c r="E372" i="1" a="1"/>
  <c r="E372" i="1" s="1"/>
  <c r="E361" i="1" a="1"/>
  <c r="E361" i="1" s="1"/>
  <c r="E360" i="1" a="1"/>
  <c r="E360" i="1" s="1"/>
  <c r="E336" i="1" a="1"/>
  <c r="E336" i="1" s="1"/>
  <c r="E334" i="1" a="1"/>
  <c r="E334" i="1" s="1"/>
  <c r="E337" i="1" a="1"/>
  <c r="E337" i="1" s="1"/>
  <c r="E323" i="1" a="1"/>
  <c r="E323" i="1" s="1"/>
  <c r="E321" i="1" a="1"/>
  <c r="E321" i="1" s="1"/>
  <c r="E324" i="1" a="1"/>
  <c r="E324" i="1" s="1"/>
  <c r="E310" i="1" a="1"/>
  <c r="E310" i="1" s="1"/>
  <c r="E308" i="1" a="1"/>
  <c r="E308" i="1" s="1"/>
  <c r="E311" i="1" a="1"/>
  <c r="E311" i="1" s="1"/>
  <c r="E287" i="1" a="1"/>
  <c r="E287" i="1" s="1"/>
  <c r="E285" i="1" a="1"/>
  <c r="E285" i="1" s="1"/>
  <c r="E288" i="1" a="1"/>
  <c r="E288" i="1" s="1"/>
  <c r="E274" i="1" a="1"/>
  <c r="E274" i="1" s="1"/>
  <c r="E272" i="1" a="1"/>
  <c r="E272" i="1" s="1"/>
  <c r="E275" i="1" a="1"/>
  <c r="E275" i="1" s="1"/>
  <c r="E258" i="1" a="1"/>
  <c r="E258" i="1" s="1"/>
  <c r="E256" i="1" a="1"/>
  <c r="E256" i="1" s="1"/>
  <c r="E259" i="1" a="1"/>
  <c r="E259" i="1" s="1"/>
  <c r="E245" i="1" a="1"/>
  <c r="E245" i="1" s="1"/>
  <c r="E243" i="1" a="1"/>
  <c r="E243" i="1" s="1"/>
  <c r="E246" i="1" a="1"/>
  <c r="E246" i="1" s="1"/>
  <c r="E215" i="1" a="1"/>
  <c r="E215" i="1" s="1"/>
  <c r="E213" i="1" a="1"/>
  <c r="E213" i="1" s="1"/>
  <c r="E216" i="1" a="1"/>
  <c r="E216" i="1" s="1"/>
  <c r="E201" i="1" a="1"/>
  <c r="E201" i="1" s="1"/>
  <c r="E203" i="1" a="1"/>
  <c r="E203" i="1" s="1"/>
  <c r="E188" i="1" a="1"/>
  <c r="E188" i="1" s="1"/>
  <c r="E191" i="1" a="1"/>
  <c r="E191" i="1" s="1"/>
  <c r="E189" i="1" a="1"/>
  <c r="E189" i="1" s="1"/>
  <c r="E230" i="1" a="1"/>
  <c r="E230" i="1" s="1"/>
  <c r="E162" i="1" a="1"/>
  <c r="E162" i="1" s="1"/>
  <c r="E165" i="1" a="1"/>
  <c r="E165" i="1" s="1"/>
  <c r="E163" i="1" a="1"/>
  <c r="E163" i="1" s="1"/>
  <c r="E147" i="1" a="1"/>
  <c r="E147" i="1" s="1"/>
  <c r="E149" i="1" a="1"/>
  <c r="E149" i="1" s="1"/>
  <c r="E107" i="1" a="1"/>
  <c r="E107" i="1" s="1"/>
  <c r="E109" i="1" a="1"/>
  <c r="E109" i="1" s="1"/>
  <c r="E119" i="1" a="1"/>
  <c r="E119" i="1" s="1"/>
  <c r="E122" i="1" a="1"/>
  <c r="E122" i="1" s="1"/>
  <c r="E120" i="1" a="1"/>
  <c r="E120" i="1" s="1"/>
  <c r="E91" i="1" a="1"/>
  <c r="E91" i="1" s="1"/>
  <c r="E94" i="1" a="1"/>
  <c r="E94" i="1" s="1"/>
  <c r="E92" i="1" a="1"/>
  <c r="E92" i="1" s="1"/>
  <c r="E79" i="1" a="1"/>
  <c r="E79" i="1" s="1"/>
  <c r="E81" i="1" a="1"/>
  <c r="E81" i="1" s="1"/>
  <c r="AA25" i="20"/>
  <c r="AG39" i="22"/>
  <c r="F5" i="23"/>
  <c r="C5" i="23"/>
  <c r="E3" i="23"/>
  <c r="AA51" i="20" l="1"/>
  <c r="AA46" i="20"/>
  <c r="U5" i="20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F29" i="22"/>
  <c r="F30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507" i="1" a="1"/>
  <c r="E1507" i="1" s="1"/>
  <c r="U1" i="1" a="1"/>
  <c r="U1" i="1" s="1"/>
  <c r="T1" i="12" s="1"/>
  <c r="F8" i="7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1370" i="1" a="1"/>
  <c r="E1370" i="1" s="1"/>
  <c r="E1356" i="1" a="1"/>
  <c r="E1356" i="1" s="1"/>
  <c r="E1314" i="1" a="1"/>
  <c r="E1314" i="1" s="1"/>
  <c r="E1282" i="1" a="1"/>
  <c r="E1282" i="1" s="1"/>
  <c r="E1268" i="1" a="1"/>
  <c r="E1268" i="1" s="1"/>
  <c r="E1254" i="1" a="1"/>
  <c r="E1254" i="1" s="1"/>
  <c r="E1240" i="1" a="1"/>
  <c r="E1240" i="1" s="1"/>
  <c r="E877" i="1" a="1"/>
  <c r="E877" i="1" s="1"/>
  <c r="E844" i="1" a="1"/>
  <c r="E844" i="1" s="1"/>
  <c r="E814" i="1" a="1"/>
  <c r="E814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218" i="1" a="1"/>
  <c r="E218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2" i="1" a="1"/>
  <c r="E72" i="1" s="1"/>
  <c r="E77" i="1" a="1"/>
  <c r="E77" i="1" s="1"/>
  <c r="E78" i="1" a="1"/>
  <c r="E78" i="1" s="1"/>
  <c r="E80" i="1" a="1"/>
  <c r="E80" i="1" s="1"/>
  <c r="E82" i="1" a="1"/>
  <c r="E82" i="1" s="1"/>
  <c r="E83" i="1" a="1"/>
  <c r="E83" i="1" s="1"/>
  <c r="E84" i="1" a="1"/>
  <c r="E84" i="1" s="1"/>
  <c r="E89" i="1" a="1"/>
  <c r="E89" i="1" s="1"/>
  <c r="E90" i="1" a="1"/>
  <c r="E90" i="1" s="1"/>
  <c r="E93" i="1" a="1"/>
  <c r="E93" i="1" s="1"/>
  <c r="E95" i="1" a="1"/>
  <c r="E95" i="1" s="1"/>
  <c r="E97" i="1" a="1"/>
  <c r="E97" i="1" s="1"/>
  <c r="E98" i="1" a="1"/>
  <c r="E98" i="1" s="1"/>
  <c r="E100" i="1" a="1"/>
  <c r="E100" i="1" s="1"/>
  <c r="E105" i="1" a="1"/>
  <c r="E105" i="1" s="1"/>
  <c r="E106" i="1" a="1"/>
  <c r="E106" i="1" s="1"/>
  <c r="E108" i="1" a="1"/>
  <c r="E108" i="1" s="1"/>
  <c r="E110" i="1" a="1"/>
  <c r="E110" i="1" s="1"/>
  <c r="E111" i="1" a="1"/>
  <c r="E111" i="1" s="1"/>
  <c r="E112" i="1" a="1"/>
  <c r="E112" i="1" s="1"/>
  <c r="E117" i="1" a="1"/>
  <c r="E117" i="1" s="1"/>
  <c r="E118" i="1" a="1"/>
  <c r="E118" i="1" s="1"/>
  <c r="E121" i="1" a="1"/>
  <c r="E121" i="1" s="1"/>
  <c r="E124" i="1" a="1"/>
  <c r="E124" i="1" s="1"/>
  <c r="E125" i="1" a="1"/>
  <c r="E125" i="1" s="1"/>
  <c r="E126" i="1" a="1"/>
  <c r="E126" i="1" s="1"/>
  <c r="E131" i="1" a="1"/>
  <c r="E131" i="1" s="1"/>
  <c r="E132" i="1" a="1"/>
  <c r="E132" i="1" s="1"/>
  <c r="E133" i="1" a="1"/>
  <c r="E133" i="1" s="1"/>
  <c r="E136" i="1" a="1"/>
  <c r="E136" i="1" s="1"/>
  <c r="E137" i="1" a="1"/>
  <c r="E137" i="1" s="1"/>
  <c r="E139" i="1" a="1"/>
  <c r="E139" i="1" s="1"/>
  <c r="E145" i="1" a="1"/>
  <c r="E145" i="1" s="1"/>
  <c r="E146" i="1" a="1"/>
  <c r="E146" i="1" s="1"/>
  <c r="E144" i="1" a="1"/>
  <c r="E144" i="1" s="1"/>
  <c r="E134" i="1" a="1"/>
  <c r="E134" i="1" s="1"/>
  <c r="E148" i="1" a="1"/>
  <c r="E148" i="1" s="1"/>
  <c r="E150" i="1" a="1"/>
  <c r="E150" i="1" s="1"/>
  <c r="E152" i="1" a="1"/>
  <c r="E152" i="1" s="1"/>
  <c r="E153" i="1" a="1"/>
  <c r="E153" i="1" s="1"/>
  <c r="E155" i="1" a="1"/>
  <c r="E155" i="1" s="1"/>
  <c r="E160" i="1" a="1"/>
  <c r="E160" i="1" s="1"/>
  <c r="E161" i="1" a="1"/>
  <c r="E161" i="1" s="1"/>
  <c r="E164" i="1" a="1"/>
  <c r="E164" i="1" s="1"/>
  <c r="E167" i="1" a="1"/>
  <c r="E167" i="1" s="1"/>
  <c r="E169" i="1" a="1"/>
  <c r="E169" i="1" s="1"/>
  <c r="E170" i="1" a="1"/>
  <c r="E170" i="1" s="1"/>
  <c r="E172" i="1" a="1"/>
  <c r="E172" i="1" s="1"/>
  <c r="E177" i="1" a="1"/>
  <c r="E177" i="1" s="1"/>
  <c r="E178" i="1" a="1"/>
  <c r="E178" i="1" s="1"/>
  <c r="E217" i="1" a="1"/>
  <c r="E217" i="1" s="1"/>
  <c r="E220" i="1" a="1"/>
  <c r="E220" i="1" s="1"/>
  <c r="E221" i="1" a="1"/>
  <c r="E221" i="1" s="1"/>
  <c r="E223" i="1" a="1"/>
  <c r="E223" i="1" s="1"/>
  <c r="E232" i="1" a="1"/>
  <c r="E232" i="1" s="1"/>
  <c r="E233" i="1" a="1"/>
  <c r="E233" i="1" s="1"/>
  <c r="E231" i="1" a="1"/>
  <c r="E231" i="1" s="1"/>
  <c r="E179" i="1" a="1"/>
  <c r="E179" i="1" s="1"/>
  <c r="E180" i="1" a="1"/>
  <c r="E180" i="1" s="1"/>
  <c r="E181" i="1" a="1"/>
  <c r="E181" i="1" s="1"/>
  <c r="E186" i="1" a="1"/>
  <c r="E186" i="1" s="1"/>
  <c r="E187" i="1" a="1"/>
  <c r="E187" i="1" s="1"/>
  <c r="E190" i="1" a="1"/>
  <c r="E190" i="1" s="1"/>
  <c r="E192" i="1" a="1"/>
  <c r="E192" i="1" s="1"/>
  <c r="E193" i="1" a="1"/>
  <c r="E193" i="1" s="1"/>
  <c r="E194" i="1" a="1"/>
  <c r="E194" i="1" s="1"/>
  <c r="E199" i="1" a="1"/>
  <c r="E199" i="1" s="1"/>
  <c r="E200" i="1" a="1"/>
  <c r="E200" i="1" s="1"/>
  <c r="E202" i="1" a="1"/>
  <c r="E202" i="1" s="1"/>
  <c r="E204" i="1" a="1"/>
  <c r="E204" i="1" s="1"/>
  <c r="E205" i="1" a="1"/>
  <c r="E205" i="1" s="1"/>
  <c r="E206" i="1" a="1"/>
  <c r="E206" i="1" s="1"/>
  <c r="E211" i="1" a="1"/>
  <c r="E211" i="1" s="1"/>
  <c r="E212" i="1" a="1"/>
  <c r="E212" i="1" s="1"/>
  <c r="E214" i="1" a="1"/>
  <c r="E214" i="1" s="1"/>
  <c r="E234" i="1" a="1"/>
  <c r="E234" i="1" s="1"/>
  <c r="E235" i="1" a="1"/>
  <c r="E235" i="1" s="1"/>
  <c r="E236" i="1" a="1"/>
  <c r="E236" i="1" s="1"/>
  <c r="E241" i="1" a="1"/>
  <c r="E241" i="1" s="1"/>
  <c r="E242" i="1" a="1"/>
  <c r="E242" i="1" s="1"/>
  <c r="E244" i="1" a="1"/>
  <c r="E244" i="1" s="1"/>
  <c r="E247" i="1" a="1"/>
  <c r="E247" i="1" s="1"/>
  <c r="E248" i="1" a="1"/>
  <c r="E248" i="1" s="1"/>
  <c r="E249" i="1" a="1"/>
  <c r="E249" i="1" s="1"/>
  <c r="E254" i="1" a="1"/>
  <c r="E254" i="1" s="1"/>
  <c r="E255" i="1" a="1"/>
  <c r="E255" i="1" s="1"/>
  <c r="E257" i="1" a="1"/>
  <c r="E257" i="1" s="1"/>
  <c r="E260" i="1" a="1"/>
  <c r="E260" i="1" s="1"/>
  <c r="E262" i="1" a="1"/>
  <c r="E262" i="1" s="1"/>
  <c r="E263" i="1" a="1"/>
  <c r="E263" i="1" s="1"/>
  <c r="E265" i="1" a="1"/>
  <c r="E265" i="1" s="1"/>
  <c r="E270" i="1" a="1"/>
  <c r="E270" i="1" s="1"/>
  <c r="E271" i="1" a="1"/>
  <c r="E271" i="1" s="1"/>
  <c r="E273" i="1" a="1"/>
  <c r="E273" i="1" s="1"/>
  <c r="E276" i="1" a="1"/>
  <c r="E276" i="1" s="1"/>
  <c r="E277" i="1" a="1"/>
  <c r="E277" i="1" s="1"/>
  <c r="E278" i="1" a="1"/>
  <c r="E278" i="1" s="1"/>
  <c r="E283" i="1" a="1"/>
  <c r="E283" i="1" s="1"/>
  <c r="E284" i="1" a="1"/>
  <c r="E284" i="1" s="1"/>
  <c r="E286" i="1" a="1"/>
  <c r="E286" i="1" s="1"/>
  <c r="E290" i="1" a="1"/>
  <c r="E290" i="1" s="1"/>
  <c r="E291" i="1" a="1"/>
  <c r="E291" i="1" s="1"/>
  <c r="E292" i="1" a="1"/>
  <c r="E292" i="1" s="1"/>
  <c r="E297" i="1" a="1"/>
  <c r="E297" i="1" s="1"/>
  <c r="E298" i="1" a="1"/>
  <c r="E298" i="1" s="1"/>
  <c r="E299" i="1" a="1"/>
  <c r="E299" i="1" s="1"/>
  <c r="E300" i="1" a="1"/>
  <c r="E300" i="1" s="1"/>
  <c r="E301" i="1" a="1"/>
  <c r="E301" i="1" s="1"/>
  <c r="E306" i="1" a="1"/>
  <c r="E306" i="1" s="1"/>
  <c r="E307" i="1" a="1"/>
  <c r="E307" i="1" s="1"/>
  <c r="E309" i="1" a="1"/>
  <c r="E309" i="1" s="1"/>
  <c r="E312" i="1" a="1"/>
  <c r="E312" i="1" s="1"/>
  <c r="E313" i="1" a="1"/>
  <c r="E313" i="1" s="1"/>
  <c r="E314" i="1" a="1"/>
  <c r="E314" i="1" s="1"/>
  <c r="E319" i="1" a="1"/>
  <c r="E319" i="1" s="1"/>
  <c r="E320" i="1" a="1"/>
  <c r="E320" i="1" s="1"/>
  <c r="E322" i="1" a="1"/>
  <c r="E322" i="1" s="1"/>
  <c r="E325" i="1" a="1"/>
  <c r="E325" i="1" s="1"/>
  <c r="E326" i="1" a="1"/>
  <c r="E326" i="1" s="1"/>
  <c r="E327" i="1" a="1"/>
  <c r="E327" i="1" s="1"/>
  <c r="E332" i="1" a="1"/>
  <c r="E332" i="1" s="1"/>
  <c r="E333" i="1" a="1"/>
  <c r="E333" i="1" s="1"/>
  <c r="E335" i="1" a="1"/>
  <c r="E335" i="1" s="1"/>
  <c r="E338" i="1" a="1"/>
  <c r="E338" i="1" s="1"/>
  <c r="E339" i="1" a="1"/>
  <c r="E339" i="1" s="1"/>
  <c r="E340" i="1" a="1"/>
  <c r="E340" i="1" s="1"/>
  <c r="E345" i="1" a="1"/>
  <c r="E345" i="1" s="1"/>
  <c r="E346" i="1" a="1"/>
  <c r="E346" i="1" s="1"/>
  <c r="E347" i="1" a="1"/>
  <c r="E347" i="1" s="1"/>
  <c r="E348" i="1" a="1"/>
  <c r="E348" i="1" s="1"/>
  <c r="E350" i="1" a="1"/>
  <c r="E350" i="1" s="1"/>
  <c r="E351" i="1" a="1"/>
  <c r="E351" i="1" s="1"/>
  <c r="E353" i="1" a="1"/>
  <c r="E353" i="1" s="1"/>
  <c r="E358" i="1" a="1"/>
  <c r="E358" i="1" s="1"/>
  <c r="E359" i="1" a="1"/>
  <c r="E359" i="1" s="1"/>
  <c r="E362" i="1" a="1"/>
  <c r="E362" i="1" s="1"/>
  <c r="E363" i="1" a="1"/>
  <c r="E363" i="1" s="1"/>
  <c r="E364" i="1" a="1"/>
  <c r="E364" i="1" s="1"/>
  <c r="E365" i="1" a="1"/>
  <c r="E365" i="1" s="1"/>
  <c r="E370" i="1" a="1"/>
  <c r="E370" i="1" s="1"/>
  <c r="E371" i="1" a="1"/>
  <c r="E371" i="1" s="1"/>
  <c r="E374" i="1" a="1"/>
  <c r="E374" i="1" s="1"/>
  <c r="E375" i="1" a="1"/>
  <c r="E375" i="1" s="1"/>
  <c r="E376" i="1" a="1"/>
  <c r="E376" i="1" s="1"/>
  <c r="E377" i="1" a="1"/>
  <c r="E377" i="1" s="1"/>
  <c r="E382" i="1" a="1"/>
  <c r="E382" i="1" s="1"/>
  <c r="E383" i="1" a="1"/>
  <c r="E383" i="1" s="1"/>
  <c r="E386" i="1" a="1"/>
  <c r="E386" i="1" s="1"/>
  <c r="E387" i="1" a="1"/>
  <c r="E387" i="1" s="1"/>
  <c r="E388" i="1" a="1"/>
  <c r="E388" i="1" s="1"/>
  <c r="E389" i="1" a="1"/>
  <c r="E389" i="1" s="1"/>
  <c r="E394" i="1" a="1"/>
  <c r="E394" i="1" s="1"/>
  <c r="E395" i="1" a="1"/>
  <c r="E395" i="1" s="1"/>
  <c r="E398" i="1" a="1"/>
  <c r="E398" i="1" s="1"/>
  <c r="E435" i="1" a="1"/>
  <c r="E435" i="1" s="1"/>
  <c r="E437" i="1" a="1"/>
  <c r="E437" i="1" s="1"/>
  <c r="E438" i="1" a="1"/>
  <c r="E438" i="1" s="1"/>
  <c r="E440" i="1" a="1"/>
  <c r="E440" i="1" s="1"/>
  <c r="E446" i="1" a="1"/>
  <c r="E446" i="1" s="1"/>
  <c r="E447" i="1" a="1"/>
  <c r="E447" i="1" s="1"/>
  <c r="E399" i="1" a="1"/>
  <c r="E399" i="1" s="1"/>
  <c r="E400" i="1" a="1"/>
  <c r="E400" i="1" s="1"/>
  <c r="E401" i="1" a="1"/>
  <c r="E401" i="1" s="1"/>
  <c r="E406" i="1" a="1"/>
  <c r="E406" i="1" s="1"/>
  <c r="E407" i="1" a="1"/>
  <c r="E407" i="1" s="1"/>
  <c r="E409" i="1" a="1"/>
  <c r="E409" i="1" s="1"/>
  <c r="E412" i="1" a="1"/>
  <c r="E412" i="1" s="1"/>
  <c r="E413" i="1" a="1"/>
  <c r="E413" i="1" s="1"/>
  <c r="E414" i="1" a="1"/>
  <c r="E414" i="1" s="1"/>
  <c r="E419" i="1" a="1"/>
  <c r="E419" i="1" s="1"/>
  <c r="E420" i="1" a="1"/>
  <c r="E420" i="1" s="1"/>
  <c r="E423" i="1" a="1"/>
  <c r="E423" i="1" s="1"/>
  <c r="E424" i="1" a="1"/>
  <c r="E424" i="1" s="1"/>
  <c r="E425" i="1" a="1"/>
  <c r="E425" i="1" s="1"/>
  <c r="E426" i="1" a="1"/>
  <c r="E426" i="1" s="1"/>
  <c r="E431" i="1" a="1"/>
  <c r="E431" i="1" s="1"/>
  <c r="E432" i="1" a="1"/>
  <c r="E432" i="1" s="1"/>
  <c r="E433" i="1" a="1"/>
  <c r="E433" i="1" s="1"/>
  <c r="E478" i="1" a="1"/>
  <c r="E478" i="1" s="1"/>
  <c r="E481" i="1" a="1"/>
  <c r="E481" i="1" s="1"/>
  <c r="E482" i="1" a="1"/>
  <c r="E482" i="1" s="1"/>
  <c r="E484" i="1" a="1"/>
  <c r="E484" i="1" s="1"/>
  <c r="E490" i="1" a="1"/>
  <c r="E490" i="1" s="1"/>
  <c r="E491" i="1" a="1"/>
  <c r="E491" i="1" s="1"/>
  <c r="E489" i="1" a="1"/>
  <c r="E489" i="1" s="1"/>
  <c r="E479" i="1" a="1"/>
  <c r="E479" i="1" s="1"/>
  <c r="E494" i="1" a="1"/>
  <c r="E494" i="1" s="1"/>
  <c r="E448" i="1" a="1"/>
  <c r="E448" i="1" s="1"/>
  <c r="E450" i="1" a="1"/>
  <c r="E450" i="1" s="1"/>
  <c r="E451" i="1" a="1"/>
  <c r="E451" i="1" s="1"/>
  <c r="E453" i="1" a="1"/>
  <c r="E453" i="1" s="1"/>
  <c r="E458" i="1" a="1"/>
  <c r="E458" i="1" s="1"/>
  <c r="E459" i="1" a="1"/>
  <c r="E459" i="1" s="1"/>
  <c r="E463" i="1" a="1"/>
  <c r="E463" i="1" s="1"/>
  <c r="E464" i="1" a="1"/>
  <c r="E464" i="1" s="1"/>
  <c r="E466" i="1" a="1"/>
  <c r="E466" i="1" s="1"/>
  <c r="E467" i="1" a="1"/>
  <c r="E467" i="1" s="1"/>
  <c r="E473" i="1" a="1"/>
  <c r="E473" i="1" s="1"/>
  <c r="E474" i="1" a="1"/>
  <c r="E474" i="1" s="1"/>
  <c r="E472" i="1" a="1"/>
  <c r="E472" i="1" s="1"/>
  <c r="E465" i="1" a="1"/>
  <c r="E465" i="1" s="1"/>
  <c r="E477" i="1" a="1"/>
  <c r="E477" i="1" s="1"/>
  <c r="E495" i="1" a="1"/>
  <c r="E495" i="1" s="1"/>
  <c r="E496" i="1" a="1"/>
  <c r="E496" i="1" s="1"/>
  <c r="E497" i="1" a="1"/>
  <c r="E497" i="1" s="1"/>
  <c r="E502" i="1" a="1"/>
  <c r="E502" i="1" s="1"/>
  <c r="E503" i="1" a="1"/>
  <c r="E503" i="1" s="1"/>
  <c r="E504" i="1" a="1"/>
  <c r="E504" i="1" s="1"/>
  <c r="E515" i="1" a="1"/>
  <c r="E515" i="1" s="1"/>
  <c r="E517" i="1" a="1"/>
  <c r="E517" i="1" s="1"/>
  <c r="E518" i="1" a="1"/>
  <c r="E518" i="1" s="1"/>
  <c r="E525" i="1" a="1"/>
  <c r="E525" i="1" s="1"/>
  <c r="E526" i="1" a="1"/>
  <c r="E526" i="1" s="1"/>
  <c r="E528" i="1" a="1"/>
  <c r="E528" i="1" s="1"/>
  <c r="E505" i="1" a="1"/>
  <c r="E505" i="1" s="1"/>
  <c r="E506" i="1" a="1"/>
  <c r="E506" i="1" s="1"/>
  <c r="E507" i="1" a="1"/>
  <c r="E507" i="1" s="1"/>
  <c r="E512" i="1" a="1"/>
  <c r="E512" i="1" s="1"/>
  <c r="E513" i="1" a="1"/>
  <c r="E513" i="1" s="1"/>
  <c r="E514" i="1" a="1"/>
  <c r="E514" i="1" s="1"/>
  <c r="E531" i="1" a="1"/>
  <c r="E531" i="1" s="1"/>
  <c r="E533" i="1" a="1"/>
  <c r="E533" i="1" s="1"/>
  <c r="E534" i="1" a="1"/>
  <c r="E534" i="1" s="1"/>
  <c r="E536" i="1" a="1"/>
  <c r="E536" i="1" s="1"/>
  <c r="E541" i="1" a="1"/>
  <c r="E541" i="1" s="1"/>
  <c r="E542" i="1" a="1"/>
  <c r="E542" i="1" s="1"/>
  <c r="E544" i="1" a="1"/>
  <c r="E544" i="1" s="1"/>
  <c r="E575" i="1" a="1"/>
  <c r="E575" i="1" s="1"/>
  <c r="E576" i="1" a="1"/>
  <c r="E576" i="1" s="1"/>
  <c r="E577" i="1" a="1"/>
  <c r="E577" i="1" s="1"/>
  <c r="E520" i="1" a="1"/>
  <c r="E520" i="1" s="1"/>
  <c r="E582" i="1" a="1"/>
  <c r="E582" i="1" s="1"/>
  <c r="E583" i="1" a="1"/>
  <c r="E583" i="1" s="1"/>
  <c r="E584" i="1" a="1"/>
  <c r="E584" i="1" s="1"/>
  <c r="E547" i="1" a="1"/>
  <c r="E547" i="1" s="1"/>
  <c r="E549" i="1" a="1"/>
  <c r="E549" i="1" s="1"/>
  <c r="E550" i="1" a="1"/>
  <c r="E550" i="1" s="1"/>
  <c r="E552" i="1" a="1"/>
  <c r="E552" i="1" s="1"/>
  <c r="E557" i="1" a="1"/>
  <c r="E557" i="1" s="1"/>
  <c r="E558" i="1" a="1"/>
  <c r="E558" i="1" s="1"/>
  <c r="E559" i="1" a="1"/>
  <c r="E559" i="1" s="1"/>
  <c r="E560" i="1" a="1"/>
  <c r="E560" i="1" s="1"/>
  <c r="E562" i="1" a="1"/>
  <c r="E562" i="1" s="1"/>
  <c r="E563" i="1" a="1"/>
  <c r="E563" i="1" s="1"/>
  <c r="E565" i="1" a="1"/>
  <c r="E565" i="1" s="1"/>
  <c r="E570" i="1" a="1"/>
  <c r="E570" i="1" s="1"/>
  <c r="E571" i="1" a="1"/>
  <c r="E571" i="1" s="1"/>
  <c r="E574" i="1" a="1"/>
  <c r="E574" i="1" s="1"/>
  <c r="E585" i="1" a="1"/>
  <c r="E585" i="1" s="1"/>
  <c r="E586" i="1" a="1"/>
  <c r="E586" i="1" s="1"/>
  <c r="E587" i="1" a="1"/>
  <c r="E587" i="1" s="1"/>
  <c r="E592" i="1" a="1"/>
  <c r="E592" i="1" s="1"/>
  <c r="E593" i="1" a="1"/>
  <c r="E593" i="1" s="1"/>
  <c r="E595" i="1" a="1"/>
  <c r="E595" i="1" s="1"/>
  <c r="E598" i="1" a="1"/>
  <c r="E598" i="1" s="1"/>
  <c r="E599" i="1" a="1"/>
  <c r="E599" i="1" s="1"/>
  <c r="E600" i="1" a="1"/>
  <c r="E600" i="1" s="1"/>
  <c r="E605" i="1" a="1"/>
  <c r="E605" i="1" s="1"/>
  <c r="E606" i="1" a="1"/>
  <c r="E606" i="1" s="1"/>
  <c r="E607" i="1" a="1"/>
  <c r="E607" i="1" s="1"/>
  <c r="E631" i="1" a="1"/>
  <c r="E631" i="1" s="1"/>
  <c r="E632" i="1" a="1"/>
  <c r="E632" i="1" s="1"/>
  <c r="E633" i="1" a="1"/>
  <c r="E633" i="1" s="1"/>
  <c r="E638" i="1" a="1"/>
  <c r="E638" i="1" s="1"/>
  <c r="E639" i="1" a="1"/>
  <c r="E639" i="1" s="1"/>
  <c r="E642" i="1" a="1"/>
  <c r="E642" i="1" s="1"/>
  <c r="E608" i="1" a="1"/>
  <c r="E608" i="1" s="1"/>
  <c r="E609" i="1" a="1"/>
  <c r="E609" i="1" s="1"/>
  <c r="E610" i="1" a="1"/>
  <c r="E610" i="1" s="1"/>
  <c r="E615" i="1" a="1"/>
  <c r="E615" i="1" s="1"/>
  <c r="E616" i="1" a="1"/>
  <c r="E616" i="1" s="1"/>
  <c r="E617" i="1" a="1"/>
  <c r="E617" i="1" s="1"/>
  <c r="E618" i="1" a="1"/>
  <c r="E618" i="1" s="1"/>
  <c r="E619" i="1" a="1"/>
  <c r="E619" i="1" s="1"/>
  <c r="E620" i="1" a="1"/>
  <c r="E620" i="1" s="1"/>
  <c r="E625" i="1" a="1"/>
  <c r="E625" i="1" s="1"/>
  <c r="E626" i="1" a="1"/>
  <c r="E626" i="1" s="1"/>
  <c r="E628" i="1" a="1"/>
  <c r="E628" i="1" s="1"/>
  <c r="E643" i="1" a="1"/>
  <c r="E643" i="1" s="1"/>
  <c r="E644" i="1" a="1"/>
  <c r="E644" i="1" s="1"/>
  <c r="E645" i="1" a="1"/>
  <c r="E645" i="1" s="1"/>
  <c r="E650" i="1" a="1"/>
  <c r="E650" i="1" s="1"/>
  <c r="E651" i="1" a="1"/>
  <c r="E651" i="1" s="1"/>
  <c r="E653" i="1" a="1"/>
  <c r="E653" i="1" s="1"/>
  <c r="E656" i="1" a="1"/>
  <c r="E656" i="1" s="1"/>
  <c r="E657" i="1" a="1"/>
  <c r="E657" i="1" s="1"/>
  <c r="E658" i="1" a="1"/>
  <c r="E658" i="1" s="1"/>
  <c r="E663" i="1" a="1"/>
  <c r="E663" i="1" s="1"/>
  <c r="E664" i="1" a="1"/>
  <c r="E664" i="1" s="1"/>
  <c r="E666" i="1" a="1"/>
  <c r="E666" i="1" s="1"/>
  <c r="E674" i="1" a="1"/>
  <c r="E674" i="1" s="1"/>
  <c r="E676" i="1" a="1"/>
  <c r="E676" i="1" s="1"/>
  <c r="E677" i="1" a="1"/>
  <c r="E677" i="1" s="1"/>
  <c r="E679" i="1" a="1"/>
  <c r="E679" i="1" s="1"/>
  <c r="E684" i="1" a="1"/>
  <c r="E684" i="1" s="1"/>
  <c r="E685" i="1" a="1"/>
  <c r="E685" i="1" s="1"/>
  <c r="E687" i="1" a="1"/>
  <c r="E687" i="1" s="1"/>
  <c r="E691" i="1" a="1"/>
  <c r="E691" i="1" s="1"/>
  <c r="E693" i="1" a="1"/>
  <c r="E693" i="1" s="1"/>
  <c r="E694" i="1" a="1"/>
  <c r="E694" i="1" s="1"/>
  <c r="E696" i="1" a="1"/>
  <c r="E696" i="1" s="1"/>
  <c r="E701" i="1" a="1"/>
  <c r="E701" i="1" s="1"/>
  <c r="E702" i="1" a="1"/>
  <c r="E702" i="1" s="1"/>
  <c r="E716" i="1" a="1"/>
  <c r="E716" i="1" s="1"/>
  <c r="E718" i="1" a="1"/>
  <c r="E718" i="1" s="1"/>
  <c r="E719" i="1" a="1"/>
  <c r="E719" i="1" s="1"/>
  <c r="E721" i="1" a="1"/>
  <c r="E721" i="1" s="1"/>
  <c r="E726" i="1" a="1"/>
  <c r="E726" i="1" s="1"/>
  <c r="E727" i="1" a="1"/>
  <c r="E727" i="1" s="1"/>
  <c r="E729" i="1" a="1"/>
  <c r="E729" i="1" s="1"/>
  <c r="E703" i="1" a="1"/>
  <c r="E703" i="1" s="1"/>
  <c r="E704" i="1" a="1"/>
  <c r="E704" i="1" s="1"/>
  <c r="E705" i="1" a="1"/>
  <c r="E705" i="1" s="1"/>
  <c r="E710" i="1" a="1"/>
  <c r="E710" i="1" s="1"/>
  <c r="E711" i="1" a="1"/>
  <c r="E711" i="1" s="1"/>
  <c r="E713" i="1" a="1"/>
  <c r="E713" i="1" s="1"/>
  <c r="E732" i="1" a="1"/>
  <c r="E732" i="1" s="1"/>
  <c r="E734" i="1" a="1"/>
  <c r="E734" i="1" s="1"/>
  <c r="E735" i="1" a="1"/>
  <c r="E735" i="1" s="1"/>
  <c r="E744" i="1" a="1"/>
  <c r="E744" i="1" s="1"/>
  <c r="E745" i="1" a="1"/>
  <c r="E745" i="1" s="1"/>
  <c r="E741" i="1" a="1"/>
  <c r="E741" i="1" s="1"/>
  <c r="E733" i="1" a="1"/>
  <c r="E733" i="1" s="1"/>
  <c r="E747" i="1" a="1"/>
  <c r="E747" i="1" s="1"/>
  <c r="E750" i="1" a="1"/>
  <c r="E750" i="1" s="1"/>
  <c r="E751" i="1" a="1"/>
  <c r="E751" i="1" s="1"/>
  <c r="E752" i="1" a="1"/>
  <c r="E752" i="1" s="1"/>
  <c r="E757" i="1" a="1"/>
  <c r="E757" i="1" s="1"/>
  <c r="E758" i="1" a="1"/>
  <c r="E758" i="1" s="1"/>
  <c r="E760" i="1" a="1"/>
  <c r="E760" i="1" s="1"/>
  <c r="E781" i="1" a="1"/>
  <c r="E781" i="1" s="1"/>
  <c r="E783" i="1" a="1"/>
  <c r="E783" i="1" s="1"/>
  <c r="E784" i="1" a="1"/>
  <c r="E784" i="1" s="1"/>
  <c r="E786" i="1" a="1"/>
  <c r="E786" i="1" s="1"/>
  <c r="E791" i="1" a="1"/>
  <c r="E791" i="1" s="1"/>
  <c r="E792" i="1" a="1"/>
  <c r="E792" i="1" s="1"/>
  <c r="E794" i="1" a="1"/>
  <c r="E794" i="1" s="1"/>
  <c r="E763" i="1" a="1"/>
  <c r="E763" i="1" s="1"/>
  <c r="E765" i="1" a="1"/>
  <c r="E765" i="1" s="1"/>
  <c r="E766" i="1" a="1"/>
  <c r="E766" i="1" s="1"/>
  <c r="E775" i="1" a="1"/>
  <c r="E775" i="1" s="1"/>
  <c r="E776" i="1" a="1"/>
  <c r="E776" i="1" s="1"/>
  <c r="E772" i="1" a="1"/>
  <c r="E772" i="1" s="1"/>
  <c r="E764" i="1" a="1"/>
  <c r="E764" i="1" s="1"/>
  <c r="E778" i="1" a="1"/>
  <c r="E778" i="1" s="1"/>
  <c r="E827" i="1" a="1"/>
  <c r="E827" i="1" s="1"/>
  <c r="E829" i="1" a="1"/>
  <c r="E829" i="1" s="1"/>
  <c r="E830" i="1" a="1"/>
  <c r="E830" i="1" s="1"/>
  <c r="E832" i="1" a="1"/>
  <c r="E832" i="1" s="1"/>
  <c r="E837" i="1" a="1"/>
  <c r="E837" i="1" s="1"/>
  <c r="E838" i="1" a="1"/>
  <c r="E838" i="1" s="1"/>
  <c r="E840" i="1" a="1"/>
  <c r="E840" i="1" s="1"/>
  <c r="E797" i="1" a="1"/>
  <c r="E797" i="1" s="1"/>
  <c r="E799" i="1" a="1"/>
  <c r="E799" i="1" s="1"/>
  <c r="E800" i="1" a="1"/>
  <c r="E800" i="1" s="1"/>
  <c r="E802" i="1" a="1"/>
  <c r="E802" i="1" s="1"/>
  <c r="E807" i="1" a="1"/>
  <c r="E807" i="1" s="1"/>
  <c r="E808" i="1" a="1"/>
  <c r="E808" i="1" s="1"/>
  <c r="E810" i="1" a="1"/>
  <c r="E810" i="1" s="1"/>
  <c r="E813" i="1" a="1"/>
  <c r="E813" i="1" s="1"/>
  <c r="E815" i="1" a="1"/>
  <c r="E815" i="1" s="1"/>
  <c r="E816" i="1" a="1"/>
  <c r="E816" i="1" s="1"/>
  <c r="E825" i="1" a="1"/>
  <c r="E825" i="1" s="1"/>
  <c r="E826" i="1" a="1"/>
  <c r="E826" i="1" s="1"/>
  <c r="E822" i="1" a="1"/>
  <c r="E822" i="1" s="1"/>
  <c r="E890" i="1" a="1"/>
  <c r="E890" i="1" s="1"/>
  <c r="E891" i="1" a="1"/>
  <c r="E891" i="1" s="1"/>
  <c r="E892" i="1" a="1"/>
  <c r="E892" i="1" s="1"/>
  <c r="E897" i="1" a="1"/>
  <c r="E897" i="1" s="1"/>
  <c r="E898" i="1" a="1"/>
  <c r="E898" i="1" s="1"/>
  <c r="E900" i="1" a="1"/>
  <c r="E900" i="1" s="1"/>
  <c r="E843" i="1" a="1"/>
  <c r="E843" i="1" s="1"/>
  <c r="E846" i="1" a="1"/>
  <c r="E846" i="1" s="1"/>
  <c r="E847" i="1" a="1"/>
  <c r="E847" i="1" s="1"/>
  <c r="E849" i="1" a="1"/>
  <c r="E849" i="1" s="1"/>
  <c r="E859" i="1" a="1"/>
  <c r="E859" i="1" s="1"/>
  <c r="E860" i="1" a="1"/>
  <c r="E860" i="1" s="1"/>
  <c r="E856" i="1" a="1"/>
  <c r="E856" i="1" s="1"/>
  <c r="E861" i="1" a="1"/>
  <c r="E861" i="1" s="1"/>
  <c r="E863" i="1" a="1"/>
  <c r="E863" i="1" s="1"/>
  <c r="E864" i="1" a="1"/>
  <c r="E864" i="1" s="1"/>
  <c r="E866" i="1" a="1"/>
  <c r="E866" i="1" s="1"/>
  <c r="E871" i="1" a="1"/>
  <c r="E871" i="1" s="1"/>
  <c r="E872" i="1" a="1"/>
  <c r="E872" i="1" s="1"/>
  <c r="E875" i="1" a="1"/>
  <c r="E875" i="1" s="1"/>
  <c r="E876" i="1" a="1"/>
  <c r="E876" i="1" s="1"/>
  <c r="E878" i="1" a="1"/>
  <c r="E878" i="1" s="1"/>
  <c r="E879" i="1" a="1"/>
  <c r="E879" i="1" s="1"/>
  <c r="E888" i="1" a="1"/>
  <c r="E888" i="1" s="1"/>
  <c r="E889" i="1" a="1"/>
  <c r="E889" i="1" s="1"/>
  <c r="E887" i="1" a="1"/>
  <c r="E887" i="1" s="1"/>
  <c r="E919" i="1" a="1"/>
  <c r="E919" i="1" s="1"/>
  <c r="E921" i="1" a="1"/>
  <c r="E921" i="1" s="1"/>
  <c r="E922" i="1" a="1"/>
  <c r="E922" i="1" s="1"/>
  <c r="E924" i="1" a="1"/>
  <c r="E924" i="1" s="1"/>
  <c r="E930" i="1" a="1"/>
  <c r="E930" i="1" s="1"/>
  <c r="E931" i="1" a="1"/>
  <c r="E931" i="1" s="1"/>
  <c r="E934" i="1" a="1"/>
  <c r="E934" i="1" s="1"/>
  <c r="E903" i="1" a="1"/>
  <c r="E903" i="1" s="1"/>
  <c r="E905" i="1" a="1"/>
  <c r="E905" i="1" s="1"/>
  <c r="E906" i="1" a="1"/>
  <c r="E906" i="1" s="1"/>
  <c r="E908" i="1" a="1"/>
  <c r="E908" i="1" s="1"/>
  <c r="E914" i="1" a="1"/>
  <c r="E914" i="1" s="1"/>
  <c r="E915" i="1" a="1"/>
  <c r="E915" i="1" s="1"/>
  <c r="E918" i="1" a="1"/>
  <c r="E918" i="1" s="1"/>
  <c r="E935" i="1" a="1"/>
  <c r="E935" i="1" s="1"/>
  <c r="E937" i="1" a="1"/>
  <c r="E937" i="1" s="1"/>
  <c r="E938" i="1" a="1"/>
  <c r="E938" i="1" s="1"/>
  <c r="E940" i="1" a="1"/>
  <c r="E940" i="1" s="1"/>
  <c r="E945" i="1" a="1"/>
  <c r="E945" i="1" s="1"/>
  <c r="E946" i="1" a="1"/>
  <c r="E946" i="1" s="1"/>
  <c r="E948" i="1" a="1"/>
  <c r="E948" i="1" s="1"/>
  <c r="E964" i="1" a="1"/>
  <c r="E964" i="1" s="1"/>
  <c r="E966" i="1" a="1"/>
  <c r="E966" i="1" s="1"/>
  <c r="E967" i="1" a="1"/>
  <c r="E967" i="1" s="1"/>
  <c r="E969" i="1" a="1"/>
  <c r="E969" i="1" s="1"/>
  <c r="E974" i="1" a="1"/>
  <c r="E974" i="1" s="1"/>
  <c r="E975" i="1" a="1"/>
  <c r="E975" i="1" s="1"/>
  <c r="E976" i="1" a="1"/>
  <c r="E976" i="1" s="1"/>
  <c r="E977" i="1" a="1"/>
  <c r="E977" i="1" s="1"/>
  <c r="E978" i="1" a="1"/>
  <c r="E978" i="1" s="1"/>
  <c r="E983" i="1" a="1"/>
  <c r="E983" i="1" s="1"/>
  <c r="E984" i="1" a="1"/>
  <c r="E984" i="1" s="1"/>
  <c r="E986" i="1" a="1"/>
  <c r="E986" i="1" s="1"/>
  <c r="E951" i="1" a="1"/>
  <c r="E951" i="1" s="1"/>
  <c r="E952" i="1" a="1"/>
  <c r="E952" i="1" s="1"/>
  <c r="E953" i="1" a="1"/>
  <c r="E953" i="1" s="1"/>
  <c r="E958" i="1" a="1"/>
  <c r="E958" i="1" s="1"/>
  <c r="E959" i="1" a="1"/>
  <c r="E959" i="1" s="1"/>
  <c r="E962" i="1" a="1"/>
  <c r="E962" i="1" s="1"/>
  <c r="E1033" i="1" a="1"/>
  <c r="E1033" i="1" s="1"/>
  <c r="E1034" i="1" a="1"/>
  <c r="E1034" i="1" s="1"/>
  <c r="E1035" i="1" a="1"/>
  <c r="E1035" i="1" s="1"/>
  <c r="E1040" i="1" a="1"/>
  <c r="E1040" i="1" s="1"/>
  <c r="E1041" i="1" a="1"/>
  <c r="E1041" i="1" s="1"/>
  <c r="E1043" i="1" a="1"/>
  <c r="E1043" i="1" s="1"/>
  <c r="E1046" i="1" a="1"/>
  <c r="E1046" i="1" s="1"/>
  <c r="E1047" i="1" a="1"/>
  <c r="E1047" i="1" s="1"/>
  <c r="E1048" i="1" a="1"/>
  <c r="E1048" i="1" s="1"/>
  <c r="E1053" i="1" a="1"/>
  <c r="E1053" i="1" s="1"/>
  <c r="E1054" i="1" a="1"/>
  <c r="E1054" i="1" s="1"/>
  <c r="E1056" i="1" a="1"/>
  <c r="E1056" i="1" s="1"/>
  <c r="E989" i="1" a="1"/>
  <c r="E989" i="1" s="1"/>
  <c r="E991" i="1" a="1"/>
  <c r="E991" i="1" s="1"/>
  <c r="E992" i="1" a="1"/>
  <c r="E992" i="1" s="1"/>
  <c r="E994" i="1" a="1"/>
  <c r="E994" i="1" s="1"/>
  <c r="E999" i="1" a="1"/>
  <c r="E999" i="1" s="1"/>
  <c r="E1000" i="1" a="1"/>
  <c r="E1000" i="1" s="1"/>
  <c r="E1003" i="1" a="1"/>
  <c r="E1003" i="1" s="1"/>
  <c r="E1004" i="1" a="1"/>
  <c r="E1004" i="1" s="1"/>
  <c r="E1006" i="1" a="1"/>
  <c r="E1006" i="1" s="1"/>
  <c r="E1007" i="1" a="1"/>
  <c r="E1007" i="1" s="1"/>
  <c r="E1009" i="1" a="1"/>
  <c r="E1009" i="1" s="1"/>
  <c r="E1014" i="1" a="1"/>
  <c r="E1014" i="1" s="1"/>
  <c r="E1015" i="1" a="1"/>
  <c r="E1015" i="1" s="1"/>
  <c r="E1017" i="1" a="1"/>
  <c r="E1017" i="1" s="1"/>
  <c r="E1020" i="1" a="1"/>
  <c r="E1020" i="1" s="1"/>
  <c r="E1021" i="1" a="1"/>
  <c r="E1021" i="1" s="1"/>
  <c r="E1022" i="1" a="1"/>
  <c r="E1022" i="1" s="1"/>
  <c r="E1027" i="1" a="1"/>
  <c r="E1027" i="1" s="1"/>
  <c r="E1028" i="1" a="1"/>
  <c r="E1028" i="1" s="1"/>
  <c r="E1030" i="1" a="1"/>
  <c r="E1030" i="1" s="1"/>
  <c r="E1076" i="1" a="1"/>
  <c r="E1076" i="1" s="1"/>
  <c r="E1078" i="1" a="1"/>
  <c r="E1078" i="1" s="1"/>
  <c r="E1079" i="1" a="1"/>
  <c r="E1079" i="1" s="1"/>
  <c r="E1081" i="1" a="1"/>
  <c r="E1081" i="1" s="1"/>
  <c r="E1086" i="1" a="1"/>
  <c r="E1086" i="1" s="1"/>
  <c r="E1087" i="1" a="1"/>
  <c r="E1087" i="1" s="1"/>
  <c r="E1090" i="1" a="1"/>
  <c r="E1090" i="1" s="1"/>
  <c r="E1091" i="1" a="1"/>
  <c r="E1091" i="1" s="1"/>
  <c r="E1092" i="1" a="1"/>
  <c r="E1092" i="1" s="1"/>
  <c r="E1093" i="1" a="1"/>
  <c r="E1093" i="1" s="1"/>
  <c r="E1098" i="1" a="1"/>
  <c r="E1098" i="1" s="1"/>
  <c r="E1099" i="1" a="1"/>
  <c r="E1099" i="1" s="1"/>
  <c r="E1101" i="1" a="1"/>
  <c r="E1101" i="1" s="1"/>
  <c r="E1059" i="1" a="1"/>
  <c r="E1059" i="1" s="1"/>
  <c r="E1062" i="1" a="1"/>
  <c r="E1062" i="1" s="1"/>
  <c r="E1063" i="1" a="1"/>
  <c r="E1063" i="1" s="1"/>
  <c r="E1065" i="1" a="1"/>
  <c r="E1065" i="1" s="1"/>
  <c r="E1071" i="1" a="1"/>
  <c r="E1071" i="1" s="1"/>
  <c r="E1072" i="1" a="1"/>
  <c r="E1072" i="1" s="1"/>
  <c r="E1070" i="1" a="1"/>
  <c r="E1070" i="1" s="1"/>
  <c r="E1060" i="1" a="1"/>
  <c r="E1060" i="1" s="1"/>
  <c r="E1075" i="1" a="1"/>
  <c r="E1075" i="1" s="1"/>
  <c r="E1104" i="1" a="1"/>
  <c r="E1104" i="1" s="1"/>
  <c r="E1105" i="1" a="1"/>
  <c r="E1105" i="1" s="1"/>
  <c r="E1106" i="1" a="1"/>
  <c r="E1106" i="1" s="1"/>
  <c r="E1111" i="1" a="1"/>
  <c r="E1111" i="1" s="1"/>
  <c r="E1112" i="1" a="1"/>
  <c r="E1112" i="1" s="1"/>
  <c r="E1114" i="1" a="1"/>
  <c r="E1114" i="1" s="1"/>
  <c r="E1117" i="1" a="1"/>
  <c r="E1117" i="1" s="1"/>
  <c r="E1118" i="1" a="1"/>
  <c r="E1118" i="1" s="1"/>
  <c r="E1119" i="1" a="1"/>
  <c r="E1119" i="1" s="1"/>
  <c r="E1124" i="1" a="1"/>
  <c r="E1124" i="1" s="1"/>
  <c r="E1125" i="1" a="1"/>
  <c r="E1125" i="1" s="1"/>
  <c r="E1127" i="1" a="1"/>
  <c r="E1127" i="1" s="1"/>
  <c r="E1130" i="1" a="1"/>
  <c r="E1130" i="1" s="1"/>
  <c r="E1132" i="1" a="1"/>
  <c r="E1132" i="1" s="1"/>
  <c r="E1133" i="1" a="1"/>
  <c r="E1133" i="1" s="1"/>
  <c r="E1135" i="1" a="1"/>
  <c r="E1135" i="1" s="1"/>
  <c r="E1140" i="1" a="1"/>
  <c r="E1140" i="1" s="1"/>
  <c r="E1141" i="1" a="1"/>
  <c r="E1141" i="1" s="1"/>
  <c r="E1143" i="1" a="1"/>
  <c r="E1143" i="1" s="1"/>
  <c r="E1146" i="1" a="1"/>
  <c r="E1146" i="1" s="1"/>
  <c r="E1148" i="1" a="1"/>
  <c r="E1148" i="1" s="1"/>
  <c r="E1149" i="1" a="1"/>
  <c r="E1149" i="1" s="1"/>
  <c r="E1151" i="1" a="1"/>
  <c r="E1151" i="1" s="1"/>
  <c r="E1156" i="1" a="1"/>
  <c r="E1156" i="1" s="1"/>
  <c r="E1157" i="1" a="1"/>
  <c r="E1157" i="1" s="1"/>
  <c r="E1158" i="1" a="1"/>
  <c r="E1158" i="1" s="1"/>
  <c r="E1159" i="1" a="1"/>
  <c r="E1159" i="1" s="1"/>
  <c r="E1161" i="1" a="1"/>
  <c r="E1161" i="1" s="1"/>
  <c r="E1162" i="1" a="1"/>
  <c r="E1162" i="1" s="1"/>
  <c r="E1164" i="1" a="1"/>
  <c r="E1164" i="1" s="1"/>
  <c r="E1170" i="1" a="1"/>
  <c r="E1170" i="1" s="1"/>
  <c r="E1171" i="1" a="1"/>
  <c r="E1171" i="1" s="1"/>
  <c r="E1174" i="1" a="1"/>
  <c r="E1174" i="1" s="1"/>
  <c r="E1175" i="1" a="1"/>
  <c r="E1175" i="1" s="1"/>
  <c r="E1176" i="1" a="1"/>
  <c r="E1176" i="1" s="1"/>
  <c r="E1177" i="1" a="1"/>
  <c r="E1177" i="1" s="1"/>
  <c r="E1182" i="1" a="1"/>
  <c r="E1182" i="1" s="1"/>
  <c r="E1183" i="1" a="1"/>
  <c r="E1183" i="1" s="1"/>
  <c r="E1186" i="1" a="1"/>
  <c r="E1186" i="1" s="1"/>
  <c r="E1187" i="1" a="1"/>
  <c r="E1187" i="1" s="1"/>
  <c r="E1188" i="1" a="1"/>
  <c r="E1188" i="1" s="1"/>
  <c r="E1189" i="1" a="1"/>
  <c r="E1189" i="1" s="1"/>
  <c r="E1194" i="1" a="1"/>
  <c r="E1194" i="1" s="1"/>
  <c r="E1195" i="1" a="1"/>
  <c r="E1195" i="1" s="1"/>
  <c r="E1198" i="1" a="1"/>
  <c r="E1198" i="1" s="1"/>
  <c r="E1201" i="1" a="1"/>
  <c r="E1201" i="1" s="1"/>
  <c r="E1200" i="1" a="1"/>
  <c r="E1200" i="1" s="1"/>
  <c r="E1202" i="1" a="1"/>
  <c r="E1202" i="1" s="1"/>
  <c r="E1207" i="1" a="1"/>
  <c r="E1207" i="1" s="1"/>
  <c r="E1208" i="1" a="1"/>
  <c r="E1208" i="1" s="1"/>
  <c r="E1224" i="1" a="1"/>
  <c r="E1224" i="1" s="1"/>
  <c r="E1226" i="1" a="1"/>
  <c r="E1226" i="1" s="1"/>
  <c r="E1227" i="1" a="1"/>
  <c r="E1227" i="1" s="1"/>
  <c r="E1229" i="1" a="1"/>
  <c r="E1229" i="1" s="1"/>
  <c r="E1234" i="1" a="1"/>
  <c r="E1234" i="1" s="1"/>
  <c r="E1235" i="1" a="1"/>
  <c r="E1235" i="1" s="1"/>
  <c r="E1238" i="1" a="1"/>
  <c r="E1238" i="1" s="1"/>
  <c r="E1209" i="1" a="1"/>
  <c r="E1209" i="1" s="1"/>
  <c r="E1211" i="1" a="1"/>
  <c r="E1211" i="1" s="1"/>
  <c r="E1212" i="1" a="1"/>
  <c r="E1212" i="1" s="1"/>
  <c r="E1214" i="1" a="1"/>
  <c r="E1214" i="1" s="1"/>
  <c r="E1219" i="1" a="1"/>
  <c r="E1219" i="1" s="1"/>
  <c r="E1220" i="1" a="1"/>
  <c r="E1220" i="1" s="1"/>
  <c r="E1223" i="1" a="1"/>
  <c r="E1223" i="1" s="1"/>
  <c r="E1239" i="1" a="1"/>
  <c r="E1239" i="1" s="1"/>
  <c r="E1241" i="1" a="1"/>
  <c r="E1241" i="1" s="1"/>
  <c r="E1242" i="1" a="1"/>
  <c r="E1242" i="1" s="1"/>
  <c r="E1251" i="1" a="1"/>
  <c r="E1251" i="1" s="1"/>
  <c r="E1252" i="1" a="1"/>
  <c r="E1252" i="1" s="1"/>
  <c r="E1248" i="1" a="1"/>
  <c r="E1248" i="1" s="1"/>
  <c r="E1253" i="1" a="1"/>
  <c r="E1253" i="1" s="1"/>
  <c r="E1255" i="1" a="1"/>
  <c r="E1255" i="1" s="1"/>
  <c r="E1256" i="1" a="1"/>
  <c r="E1256" i="1" s="1"/>
  <c r="E1265" i="1" a="1"/>
  <c r="E1265" i="1" s="1"/>
  <c r="E1266" i="1" a="1"/>
  <c r="E1266" i="1" s="1"/>
  <c r="E1262" i="1" a="1"/>
  <c r="E1262" i="1" s="1"/>
  <c r="E1267" i="1" a="1"/>
  <c r="E1267" i="1" s="1"/>
  <c r="E1269" i="1" a="1"/>
  <c r="E1269" i="1" s="1"/>
  <c r="E1270" i="1" a="1"/>
  <c r="E1270" i="1" s="1"/>
  <c r="E1279" i="1" a="1"/>
  <c r="E1279" i="1" s="1"/>
  <c r="E1280" i="1" a="1"/>
  <c r="E1280" i="1" s="1"/>
  <c r="E1276" i="1" a="1"/>
  <c r="E1276" i="1" s="1"/>
  <c r="E1281" i="1" a="1"/>
  <c r="E1281" i="1" s="1"/>
  <c r="E1283" i="1" a="1"/>
  <c r="E1283" i="1" s="1"/>
  <c r="E1284" i="1" a="1"/>
  <c r="E1284" i="1" s="1"/>
  <c r="E1293" i="1" a="1"/>
  <c r="E1293" i="1" s="1"/>
  <c r="E1294" i="1" a="1"/>
  <c r="E1294" i="1" s="1"/>
  <c r="E1290" i="1" a="1"/>
  <c r="E1290" i="1" s="1"/>
  <c r="E1327" i="1" a="1"/>
  <c r="E1327" i="1" s="1"/>
  <c r="E1328" i="1" a="1"/>
  <c r="E1328" i="1" s="1"/>
  <c r="E1329" i="1" a="1"/>
  <c r="E1329" i="1" s="1"/>
  <c r="E1334" i="1" a="1"/>
  <c r="E1334" i="1" s="1"/>
  <c r="E1335" i="1" a="1"/>
  <c r="E1335" i="1" s="1"/>
  <c r="E1338" i="1" a="1"/>
  <c r="E1338" i="1" s="1"/>
  <c r="E1295" i="1" a="1"/>
  <c r="E1295" i="1" s="1"/>
  <c r="E1298" i="1" a="1"/>
  <c r="E1298" i="1" s="1"/>
  <c r="E1299" i="1" a="1"/>
  <c r="E1299" i="1" s="1"/>
  <c r="E1301" i="1" a="1"/>
  <c r="E1301" i="1" s="1"/>
  <c r="E1310" i="1" a="1"/>
  <c r="E1310" i="1" s="1"/>
  <c r="E1311" i="1" a="1"/>
  <c r="E1311" i="1" s="1"/>
  <c r="E1307" i="1" a="1"/>
  <c r="E1307" i="1" s="1"/>
  <c r="E1296" i="1" a="1"/>
  <c r="E1296" i="1" s="1"/>
  <c r="E1312" i="1" a="1"/>
  <c r="E1312" i="1" s="1"/>
  <c r="E1313" i="1" a="1"/>
  <c r="E1313" i="1" s="1"/>
  <c r="E1315" i="1" a="1"/>
  <c r="E1315" i="1" s="1"/>
  <c r="E1316" i="1" a="1"/>
  <c r="E1316" i="1" s="1"/>
  <c r="E1325" i="1" a="1"/>
  <c r="E1325" i="1" s="1"/>
  <c r="E1326" i="1" a="1"/>
  <c r="E1326" i="1" s="1"/>
  <c r="E1322" i="1" a="1"/>
  <c r="E1322" i="1" s="1"/>
  <c r="E1339" i="1" a="1"/>
  <c r="E1339" i="1" s="1"/>
  <c r="E1341" i="1" a="1"/>
  <c r="E1341" i="1" s="1"/>
  <c r="E1342" i="1" a="1"/>
  <c r="E1342" i="1" s="1"/>
  <c r="E1344" i="1" a="1"/>
  <c r="E1344" i="1" s="1"/>
  <c r="E1349" i="1" a="1"/>
  <c r="E1349" i="1" s="1"/>
  <c r="E1350" i="1" a="1"/>
  <c r="E1350" i="1" s="1"/>
  <c r="E1352" i="1" a="1"/>
  <c r="E1352" i="1" s="1"/>
  <c r="E1383" i="1" a="1"/>
  <c r="E1383" i="1" s="1"/>
  <c r="E1385" i="1" a="1"/>
  <c r="E1385" i="1" s="1"/>
  <c r="E1386" i="1" a="1"/>
  <c r="E1386" i="1" s="1"/>
  <c r="E1388" i="1" a="1"/>
  <c r="E1388" i="1" s="1"/>
  <c r="E1393" i="1" a="1"/>
  <c r="E1393" i="1" s="1"/>
  <c r="E1394" i="1" a="1"/>
  <c r="E1394" i="1" s="1"/>
  <c r="E1395" i="1" a="1"/>
  <c r="E1395" i="1" s="1"/>
  <c r="E1396" i="1" a="1"/>
  <c r="E1396" i="1" s="1"/>
  <c r="E1397" i="1" a="1"/>
  <c r="E1397" i="1" s="1"/>
  <c r="E1398" i="1" a="1"/>
  <c r="E1398" i="1" s="1"/>
  <c r="E1403" i="1" a="1"/>
  <c r="E1403" i="1" s="1"/>
  <c r="E1404" i="1" a="1"/>
  <c r="E1404" i="1" s="1"/>
  <c r="E1407" i="1" a="1"/>
  <c r="E1407" i="1" s="1"/>
  <c r="E1408" i="1" a="1"/>
  <c r="E1408" i="1" s="1"/>
  <c r="E1409" i="1" a="1"/>
  <c r="E1409" i="1" s="1"/>
  <c r="E1410" i="1" a="1"/>
  <c r="E1410" i="1" s="1"/>
  <c r="E1415" i="1" a="1"/>
  <c r="E1415" i="1" s="1"/>
  <c r="E1416" i="1" a="1"/>
  <c r="E1416" i="1" s="1"/>
  <c r="E1419" i="1" a="1"/>
  <c r="E1419" i="1" s="1"/>
  <c r="E1355" i="1" a="1"/>
  <c r="E1355" i="1" s="1"/>
  <c r="E1357" i="1" a="1"/>
  <c r="E1357" i="1" s="1"/>
  <c r="E1358" i="1" a="1"/>
  <c r="E1358" i="1" s="1"/>
  <c r="E1367" i="1" a="1"/>
  <c r="E1367" i="1" s="1"/>
  <c r="E1368" i="1" a="1"/>
  <c r="E1368" i="1" s="1"/>
  <c r="E1364" i="1" a="1"/>
  <c r="E1364" i="1" s="1"/>
  <c r="E1369" i="1" a="1"/>
  <c r="E1369" i="1" s="1"/>
  <c r="E1371" i="1" a="1"/>
  <c r="E1371" i="1" s="1"/>
  <c r="E1372" i="1" a="1"/>
  <c r="E1372" i="1" s="1"/>
  <c r="E1381" i="1" a="1"/>
  <c r="E1381" i="1" s="1"/>
  <c r="E1382" i="1" a="1"/>
  <c r="E1382" i="1" s="1"/>
  <c r="E1378" i="1" a="1"/>
  <c r="E1378" i="1" s="1"/>
  <c r="E1420" i="1" a="1"/>
  <c r="E1420" i="1" s="1"/>
  <c r="E1421" i="1" a="1"/>
  <c r="E1421" i="1" s="1"/>
  <c r="E1422" i="1" a="1"/>
  <c r="E1422" i="1" s="1"/>
  <c r="E1427" i="1" a="1"/>
  <c r="E1427" i="1" s="1"/>
  <c r="E1428" i="1" a="1"/>
  <c r="E1428" i="1" s="1"/>
  <c r="E1431" i="1" a="1"/>
  <c r="E1431" i="1" s="1"/>
  <c r="E1432" i="1" a="1"/>
  <c r="E1432" i="1" s="1"/>
  <c r="E1433" i="1" a="1"/>
  <c r="E1433" i="1" s="1"/>
  <c r="E1434" i="1" a="1"/>
  <c r="E1434" i="1" s="1"/>
  <c r="E1439" i="1" a="1"/>
  <c r="E1439" i="1" s="1"/>
  <c r="E1440" i="1" a="1"/>
  <c r="E1440" i="1" s="1"/>
  <c r="E1443" i="1" a="1"/>
  <c r="E1443" i="1" s="1"/>
  <c r="E1444" i="1" a="1"/>
  <c r="E1444" i="1" s="1"/>
  <c r="E1445" i="1" a="1"/>
  <c r="E1445" i="1" s="1"/>
  <c r="E1446" i="1" a="1"/>
  <c r="E1446" i="1" s="1"/>
  <c r="E1451" i="1" a="1"/>
  <c r="E1451" i="1" s="1"/>
  <c r="E1452" i="1" a="1"/>
  <c r="E1452" i="1" s="1"/>
  <c r="E1455" i="1" a="1"/>
  <c r="E1455" i="1" s="1"/>
  <c r="E1486" i="1" a="1"/>
  <c r="E1486" i="1" s="1"/>
  <c r="E1488" i="1" a="1"/>
  <c r="E1488" i="1" s="1"/>
  <c r="E1489" i="1" a="1"/>
  <c r="E1489" i="1" s="1"/>
  <c r="E1491" i="1" a="1"/>
  <c r="E1491" i="1" s="1"/>
  <c r="E1496" i="1" a="1"/>
  <c r="E1496" i="1" s="1"/>
  <c r="E1497" i="1" a="1"/>
  <c r="E1497" i="1" s="1"/>
  <c r="E1457" i="1" a="1"/>
  <c r="E1457" i="1" s="1"/>
  <c r="E1459" i="1" a="1"/>
  <c r="E1459" i="1" s="1"/>
  <c r="E1460" i="1" a="1"/>
  <c r="E1460" i="1" s="1"/>
  <c r="E1462" i="1" a="1"/>
  <c r="E1462" i="1" s="1"/>
  <c r="E1467" i="1" a="1"/>
  <c r="E1467" i="1" s="1"/>
  <c r="E1468" i="1" a="1"/>
  <c r="E1468" i="1" s="1"/>
  <c r="E1469" i="1" a="1"/>
  <c r="E1469" i="1" s="1"/>
  <c r="E1471" i="1" a="1"/>
  <c r="E1471" i="1" s="1"/>
  <c r="E1472" i="1" a="1"/>
  <c r="E1472" i="1" s="1"/>
  <c r="E1474" i="1" a="1"/>
  <c r="E1474" i="1" s="1"/>
  <c r="E1479" i="1" a="1"/>
  <c r="E1479" i="1" s="1"/>
  <c r="E1480" i="1" a="1"/>
  <c r="E1480" i="1" s="1"/>
  <c r="E1482" i="1" a="1"/>
  <c r="E1482" i="1" s="1"/>
  <c r="E1498" i="1" a="1"/>
  <c r="E1498" i="1" s="1"/>
  <c r="E1499" i="1" a="1"/>
  <c r="E1499" i="1" s="1"/>
  <c r="E1500" i="1" a="1"/>
  <c r="E1500" i="1" s="1"/>
  <c r="E1501" i="1" a="1"/>
  <c r="E1501" i="1" s="1"/>
  <c r="E1502" i="1" a="1"/>
  <c r="E1502" i="1" s="1"/>
  <c r="E1503" i="1" a="1"/>
  <c r="E1503" i="1" s="1"/>
  <c r="E1504" i="1" a="1"/>
  <c r="E1504" i="1" s="1"/>
  <c r="E1505" i="1" a="1"/>
  <c r="E1505" i="1" s="1"/>
  <c r="E1506" i="1" a="1"/>
  <c r="E1506" i="1" s="1"/>
  <c r="E1508" i="1" a="1"/>
  <c r="E1508" i="1" s="1"/>
  <c r="E1509" i="1" a="1"/>
  <c r="E1509" i="1" s="1"/>
  <c r="E1510" i="1" a="1"/>
  <c r="E1510" i="1" s="1"/>
  <c r="E1511" i="1" a="1"/>
  <c r="E1511" i="1" s="1"/>
  <c r="E1512" i="1" a="1"/>
  <c r="E1512" i="1" s="1"/>
  <c r="E1514" i="1" a="1"/>
  <c r="E1514" i="1" s="1"/>
  <c r="E1515" i="1" a="1"/>
  <c r="E1515" i="1" s="1"/>
  <c r="E1519" i="1" a="1"/>
  <c r="E1519" i="1" s="1"/>
  <c r="E1524" i="1" a="1"/>
  <c r="E1524" i="1" s="1"/>
  <c r="E1525" i="1" a="1"/>
  <c r="E1525" i="1" s="1"/>
  <c r="E1526" i="1" a="1"/>
  <c r="E1526" i="1" s="1"/>
  <c r="E1520" i="1" a="1"/>
  <c r="E1520" i="1" s="1"/>
  <c r="E1521" i="1" a="1"/>
  <c r="E1521" i="1" s="1"/>
  <c r="E1522" i="1" a="1"/>
  <c r="E1522" i="1" s="1"/>
  <c r="E1523" i="1" a="1"/>
  <c r="E1523" i="1" s="1"/>
  <c r="E1513" i="1" a="1"/>
  <c r="E1513" i="1" s="1"/>
  <c r="E1529" i="1" a="1"/>
  <c r="E1529" i="1" s="1"/>
  <c r="E1530" i="1" a="1"/>
  <c r="E1530" i="1" s="1"/>
  <c r="E1531" i="1" a="1"/>
  <c r="E1531" i="1" s="1"/>
  <c r="E1532" i="1" a="1"/>
  <c r="E1532" i="1" s="1"/>
  <c r="E1528" i="1" a="1"/>
  <c r="E1528" i="1" s="1"/>
  <c r="E1527" i="1" a="1"/>
  <c r="E1527" i="1" s="1"/>
  <c r="E1533" i="1" a="1"/>
  <c r="E1533" i="1" s="1"/>
  <c r="E1534" i="1" a="1"/>
  <c r="E1534" i="1" s="1"/>
  <c r="E1535" i="1" a="1"/>
  <c r="E1535" i="1" s="1"/>
  <c r="E1538" i="1" a="1"/>
  <c r="E1538" i="1" s="1"/>
  <c r="E1539" i="1" a="1"/>
  <c r="E1539" i="1" s="1"/>
  <c r="E1540" i="1" a="1"/>
  <c r="E1540" i="1" s="1"/>
  <c r="E1541" i="1" a="1"/>
  <c r="E1541" i="1" s="1"/>
  <c r="E1542" i="1" a="1"/>
  <c r="E1542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527" i="1"/>
  <c r="K131" i="17" s="1"/>
  <c r="Q1528" i="1"/>
  <c r="J131" i="17" s="1"/>
  <c r="F5" i="14"/>
  <c r="C5" i="14"/>
  <c r="G17" i="9" l="1" a="1"/>
  <c r="G17" i="9" s="1"/>
  <c r="S17" i="9" a="1"/>
  <c r="S17" i="9" s="1"/>
  <c r="S19" i="9" a="1"/>
  <c r="S19" i="9" s="1"/>
  <c r="AC20" i="9" a="1"/>
  <c r="AC20" i="9" s="1"/>
  <c r="Y21" i="9" a="1"/>
  <c r="Y21" i="9" s="1"/>
  <c r="W20" i="9" a="1"/>
  <c r="W20" i="9" s="1"/>
  <c r="K18" i="9" a="1"/>
  <c r="K18" i="9" s="1"/>
  <c r="U19" i="9" a="1"/>
  <c r="U19" i="9" s="1"/>
  <c r="S20" i="9" a="1"/>
  <c r="S20" i="9" s="1"/>
  <c r="Q20" i="9" a="1"/>
  <c r="Q20" i="9" s="1"/>
  <c r="E18" i="9" a="1"/>
  <c r="E18" i="9" s="1"/>
  <c r="O19" i="9" a="1"/>
  <c r="O19" i="9" s="1"/>
  <c r="M20" i="9" a="1"/>
  <c r="M20" i="9" s="1"/>
  <c r="AC21" i="9" a="1"/>
  <c r="AC21" i="9" s="1"/>
  <c r="AA21" i="9" a="1"/>
  <c r="AA21" i="9" s="1"/>
  <c r="W21" i="9" a="1"/>
  <c r="W21" i="9" s="1"/>
  <c r="U21" i="9" a="1"/>
  <c r="U21" i="9" s="1"/>
  <c r="S21" i="9" a="1"/>
  <c r="S21" i="9" s="1"/>
  <c r="Q21" i="9" a="1"/>
  <c r="Q21" i="9" s="1"/>
  <c r="O21" i="9" a="1"/>
  <c r="O21" i="9" s="1"/>
  <c r="E21" i="9" a="1"/>
  <c r="E21" i="9" s="1"/>
  <c r="K20" i="9" a="1"/>
  <c r="K20" i="9" s="1"/>
  <c r="AC17" i="9" a="1"/>
  <c r="AC17" i="9" s="1"/>
  <c r="I19" i="9" a="1"/>
  <c r="I19" i="9" s="1"/>
  <c r="G20" i="9" a="1"/>
  <c r="G20" i="9" s="1"/>
  <c r="M21" i="9" a="1"/>
  <c r="M21" i="9" s="1"/>
  <c r="K21" i="9" a="1"/>
  <c r="K21" i="9" s="1"/>
  <c r="E20" i="9" a="1"/>
  <c r="E20" i="9" s="1"/>
  <c r="W17" i="9" a="1"/>
  <c r="W17" i="9" s="1"/>
  <c r="AA18" i="9" a="1"/>
  <c r="AA18" i="9" s="1"/>
  <c r="Y19" i="9" a="1"/>
  <c r="Y19" i="9" s="1"/>
  <c r="S24" i="9" a="1"/>
  <c r="S24" i="9" s="1"/>
  <c r="Q17" i="9" a="1"/>
  <c r="Q17" i="9" s="1"/>
  <c r="U18" i="9" a="1"/>
  <c r="U18" i="9" s="1"/>
  <c r="G21" i="9" a="1"/>
  <c r="G21" i="9" s="1"/>
  <c r="I21" i="9" a="1"/>
  <c r="I21" i="9" s="1"/>
  <c r="G24" i="9" a="1"/>
  <c r="G24" i="9" s="1"/>
  <c r="E19" i="9" a="1"/>
  <c r="E19" i="9" s="1"/>
  <c r="AC19" i="9" a="1"/>
  <c r="AC19" i="9" s="1"/>
  <c r="K17" i="9" a="1"/>
  <c r="K17" i="9" s="1"/>
  <c r="O18" i="9" a="1"/>
  <c r="O18" i="9" s="1"/>
  <c r="M19" i="9" a="1"/>
  <c r="M19" i="9" s="1"/>
  <c r="W19" i="9" a="1"/>
  <c r="W19" i="9" s="1"/>
  <c r="E17" i="9" a="1"/>
  <c r="E17" i="9" s="1"/>
  <c r="I18" i="9" a="1"/>
  <c r="I18" i="9" s="1"/>
  <c r="G19" i="9" a="1"/>
  <c r="G19" i="9" s="1"/>
  <c r="Q19" i="9" a="1"/>
  <c r="Q19" i="9" s="1"/>
  <c r="AA20" i="9" a="1"/>
  <c r="AA20" i="9" s="1"/>
  <c r="AA17" i="9" a="1"/>
  <c r="AA17" i="9" s="1"/>
  <c r="Y18" i="9" a="1"/>
  <c r="Y18" i="9" s="1"/>
  <c r="K19" i="9" a="1"/>
  <c r="K19" i="9" s="1"/>
  <c r="U20" i="9" a="1"/>
  <c r="U20" i="9" s="1"/>
  <c r="U17" i="9" a="1"/>
  <c r="U17" i="9" s="1"/>
  <c r="S18" i="9" a="1"/>
  <c r="S18" i="9" s="1"/>
  <c r="M17" i="9" a="1"/>
  <c r="M17" i="9" s="1"/>
  <c r="AC18" i="9" a="1"/>
  <c r="AC18" i="9" s="1"/>
  <c r="O20" i="9" a="1"/>
  <c r="O20" i="9" s="1"/>
  <c r="O17" i="9" a="1"/>
  <c r="O17" i="9" s="1"/>
  <c r="M18" i="9" a="1"/>
  <c r="M18" i="9" s="1"/>
  <c r="W18" i="9" a="1"/>
  <c r="W18" i="9" s="1"/>
  <c r="I20" i="9" a="1"/>
  <c r="I20" i="9" s="1"/>
  <c r="I17" i="9" a="1"/>
  <c r="I17" i="9" s="1"/>
  <c r="G18" i="9" a="1"/>
  <c r="G18" i="9" s="1"/>
  <c r="Q18" i="9" a="1"/>
  <c r="Q18" i="9" s="1"/>
  <c r="AA19" i="9" a="1"/>
  <c r="AA19" i="9" s="1"/>
  <c r="Y20" i="9" a="1"/>
  <c r="Y20" i="9" s="1"/>
  <c r="Y17" i="9" a="1"/>
  <c r="Y17" i="9" s="1"/>
  <c r="AC24" i="9" a="1"/>
  <c r="AC24" i="9" s="1"/>
  <c r="AA24" i="9" a="1"/>
  <c r="AA24" i="9" s="1"/>
  <c r="Y24" i="9" a="1"/>
  <c r="Y24" i="9" s="1"/>
  <c r="W24" i="9" a="1"/>
  <c r="W24" i="9" s="1"/>
  <c r="U24" i="9" a="1"/>
  <c r="U24" i="9" s="1"/>
  <c r="Q24" i="9" a="1"/>
  <c r="Q24" i="9" s="1"/>
  <c r="O24" i="9" a="1"/>
  <c r="O24" i="9" s="1"/>
  <c r="M24" i="9" a="1"/>
  <c r="M24" i="9" s="1"/>
  <c r="K24" i="9" a="1"/>
  <c r="K24" i="9" s="1"/>
  <c r="I24" i="9" a="1"/>
  <c r="I24" i="9" s="1"/>
  <c r="E24" i="9" a="1"/>
  <c r="E24" i="9" s="1"/>
  <c r="AC25" i="9"/>
  <c r="Y25" i="9"/>
  <c r="W25" i="9"/>
  <c r="U25" i="9"/>
  <c r="S25" i="9"/>
  <c r="Q25" i="9"/>
  <c r="O25" i="9"/>
  <c r="M25" i="9"/>
  <c r="K25" i="9"/>
  <c r="I25" i="9"/>
  <c r="AA25" i="9"/>
  <c r="G25" i="9"/>
  <c r="E25" i="9"/>
  <c r="U26" i="9" a="1"/>
  <c r="U26" i="9" s="1"/>
  <c r="S26" i="9" a="1"/>
  <c r="S26" i="9" s="1"/>
  <c r="I26" i="9" a="1"/>
  <c r="I26" i="9" s="1"/>
  <c r="AC26" i="9" a="1"/>
  <c r="AC26" i="9" s="1"/>
  <c r="AA26" i="9" a="1"/>
  <c r="AA26" i="9" s="1"/>
  <c r="Y26" i="9" a="1"/>
  <c r="Y26" i="9" s="1"/>
  <c r="W26" i="9" a="1"/>
  <c r="W26" i="9" s="1"/>
  <c r="Q26" i="9" a="1"/>
  <c r="Q26" i="9" s="1"/>
  <c r="O26" i="9" a="1"/>
  <c r="O26" i="9" s="1"/>
  <c r="M26" i="9" a="1"/>
  <c r="M26" i="9" s="1"/>
  <c r="K26" i="9" a="1"/>
  <c r="K26" i="9" s="1"/>
  <c r="G26" i="9" a="1"/>
  <c r="G26" i="9" s="1"/>
  <c r="E26" i="9" a="1"/>
  <c r="E26" i="9" s="1"/>
  <c r="B2" i="20"/>
  <c r="V5" i="20"/>
  <c r="V3" i="20"/>
  <c r="V4" i="20"/>
  <c r="F56" i="7"/>
  <c r="F55" i="7"/>
  <c r="F42" i="7"/>
  <c r="F44" i="7"/>
  <c r="F43" i="7"/>
  <c r="F37" i="7"/>
  <c r="F38" i="7"/>
  <c r="F36" i="7"/>
  <c r="F63" i="7"/>
  <c r="F91" i="10" s="1"/>
  <c r="F62" i="7"/>
  <c r="F90" i="10" s="1"/>
  <c r="F61" i="7"/>
  <c r="F57" i="7"/>
  <c r="H7" i="7"/>
  <c r="H30" i="22" s="1"/>
  <c r="R70" i="11"/>
  <c r="T76" i="11"/>
  <c r="V72" i="11"/>
  <c r="X103" i="11"/>
  <c r="V34" i="11"/>
  <c r="T17" i="11"/>
  <c r="R109" i="11"/>
  <c r="T113" i="11"/>
  <c r="V117" i="11"/>
  <c r="X119" i="11"/>
  <c r="X34" i="11"/>
  <c r="V17" i="11"/>
  <c r="T70" i="11"/>
  <c r="V76" i="11"/>
  <c r="X72" i="11"/>
  <c r="R119" i="11"/>
  <c r="X17" i="11"/>
  <c r="T34" i="11"/>
  <c r="R17" i="11"/>
  <c r="R76" i="11"/>
  <c r="T72" i="11"/>
  <c r="V103" i="11"/>
  <c r="X105" i="11"/>
  <c r="R103" i="11"/>
  <c r="T105" i="11"/>
  <c r="V107" i="11"/>
  <c r="X109" i="11"/>
  <c r="R105" i="11"/>
  <c r="T107" i="11"/>
  <c r="V109" i="11"/>
  <c r="X113" i="11"/>
  <c r="V119" i="11"/>
  <c r="AG30" i="22"/>
  <c r="F7" i="22"/>
  <c r="R34" i="11"/>
  <c r="R72" i="11"/>
  <c r="T103" i="11"/>
  <c r="V105" i="11"/>
  <c r="X107" i="11"/>
  <c r="R107" i="11"/>
  <c r="T109" i="11"/>
  <c r="V113" i="11"/>
  <c r="X117" i="11"/>
  <c r="V130" i="11"/>
  <c r="V93" i="11"/>
  <c r="V65" i="11"/>
  <c r="V39" i="11"/>
  <c r="V23" i="11"/>
  <c r="V131" i="11"/>
  <c r="V129" i="11"/>
  <c r="V126" i="11"/>
  <c r="V123" i="11"/>
  <c r="V120" i="11"/>
  <c r="V115" i="11"/>
  <c r="V112" i="11"/>
  <c r="V106" i="11"/>
  <c r="V101" i="11"/>
  <c r="V98" i="11"/>
  <c r="V95" i="11"/>
  <c r="V92" i="11"/>
  <c r="V90" i="11"/>
  <c r="V86" i="11"/>
  <c r="V83" i="11"/>
  <c r="V80" i="11"/>
  <c r="V77" i="11"/>
  <c r="V73" i="11"/>
  <c r="V68" i="11"/>
  <c r="V66" i="11"/>
  <c r="V62" i="11"/>
  <c r="V59" i="11"/>
  <c r="V56" i="11"/>
  <c r="V53" i="11"/>
  <c r="V50" i="11"/>
  <c r="V47" i="11"/>
  <c r="V44" i="11"/>
  <c r="V40" i="11"/>
  <c r="V38" i="11"/>
  <c r="V35" i="11"/>
  <c r="V31" i="11"/>
  <c r="V28" i="11"/>
  <c r="V25" i="11"/>
  <c r="V22" i="11"/>
  <c r="V19" i="11"/>
  <c r="V15" i="11"/>
  <c r="V12" i="11"/>
  <c r="V9" i="11"/>
  <c r="R125" i="11"/>
  <c r="R104" i="11"/>
  <c r="R88" i="11"/>
  <c r="R71" i="11"/>
  <c r="R58" i="11"/>
  <c r="R42" i="11"/>
  <c r="R30" i="11"/>
  <c r="R18" i="11"/>
  <c r="V116" i="11"/>
  <c r="V87" i="11"/>
  <c r="V61" i="11"/>
  <c r="V32" i="11"/>
  <c r="T131" i="11"/>
  <c r="T129" i="11"/>
  <c r="T126" i="11"/>
  <c r="T123" i="11"/>
  <c r="T120" i="11"/>
  <c r="T115" i="11"/>
  <c r="T112" i="11"/>
  <c r="T106" i="11"/>
  <c r="T101" i="11"/>
  <c r="T98" i="11"/>
  <c r="T95" i="11"/>
  <c r="T92" i="11"/>
  <c r="T90" i="11"/>
  <c r="T86" i="11"/>
  <c r="T83" i="11"/>
  <c r="T80" i="11"/>
  <c r="T77" i="11"/>
  <c r="T73" i="11"/>
  <c r="T68" i="11"/>
  <c r="T66" i="11"/>
  <c r="T62" i="11"/>
  <c r="T59" i="11"/>
  <c r="T56" i="11"/>
  <c r="T53" i="11"/>
  <c r="T50" i="11"/>
  <c r="T47" i="11"/>
  <c r="T44" i="11"/>
  <c r="T40" i="11"/>
  <c r="T38" i="11"/>
  <c r="T35" i="11"/>
  <c r="T31" i="11"/>
  <c r="T28" i="11"/>
  <c r="T25" i="11"/>
  <c r="T22" i="11"/>
  <c r="T19" i="11"/>
  <c r="T15" i="11"/>
  <c r="T12" i="11"/>
  <c r="T9" i="11"/>
  <c r="R128" i="11"/>
  <c r="R97" i="11"/>
  <c r="R82" i="11"/>
  <c r="R52" i="11"/>
  <c r="R24" i="11"/>
  <c r="V99" i="11"/>
  <c r="V51" i="11"/>
  <c r="V29" i="11"/>
  <c r="R131" i="11"/>
  <c r="R129" i="11"/>
  <c r="R126" i="11"/>
  <c r="R123" i="11"/>
  <c r="R120" i="11"/>
  <c r="R115" i="11"/>
  <c r="R112" i="11"/>
  <c r="R106" i="11"/>
  <c r="R101" i="11"/>
  <c r="R98" i="11"/>
  <c r="R95" i="11"/>
  <c r="R92" i="11"/>
  <c r="R90" i="11"/>
  <c r="R86" i="11"/>
  <c r="R83" i="11"/>
  <c r="R80" i="11"/>
  <c r="R77" i="11"/>
  <c r="R73" i="11"/>
  <c r="R68" i="11"/>
  <c r="R66" i="11"/>
  <c r="R62" i="11"/>
  <c r="R59" i="11"/>
  <c r="R56" i="11"/>
  <c r="R53" i="11"/>
  <c r="R50" i="11"/>
  <c r="R47" i="11"/>
  <c r="R44" i="11"/>
  <c r="R40" i="11"/>
  <c r="R38" i="11"/>
  <c r="R35" i="11"/>
  <c r="R31" i="11"/>
  <c r="R28" i="11"/>
  <c r="R25" i="11"/>
  <c r="R22" i="11"/>
  <c r="R19" i="11"/>
  <c r="R15" i="11"/>
  <c r="R12" i="11"/>
  <c r="R9" i="11"/>
  <c r="V102" i="11"/>
  <c r="V74" i="11"/>
  <c r="V43" i="11"/>
  <c r="V26" i="11"/>
  <c r="R8" i="11"/>
  <c r="X132" i="11"/>
  <c r="X128" i="11"/>
  <c r="X125" i="11"/>
  <c r="X122" i="11"/>
  <c r="X118" i="11"/>
  <c r="X114" i="11"/>
  <c r="X110" i="11"/>
  <c r="X104" i="11"/>
  <c r="X100" i="11"/>
  <c r="X97" i="11"/>
  <c r="X94" i="11"/>
  <c r="X91" i="11"/>
  <c r="X88" i="11"/>
  <c r="X85" i="11"/>
  <c r="X82" i="11"/>
  <c r="X79" i="11"/>
  <c r="X75" i="11"/>
  <c r="X71" i="11"/>
  <c r="X67" i="11"/>
  <c r="X64" i="11"/>
  <c r="X60" i="11"/>
  <c r="X58" i="11"/>
  <c r="X55" i="11"/>
  <c r="X52" i="11"/>
  <c r="X49" i="11"/>
  <c r="X46" i="11"/>
  <c r="X42" i="11"/>
  <c r="X41" i="11"/>
  <c r="X37" i="11"/>
  <c r="X33" i="11"/>
  <c r="X30" i="11"/>
  <c r="X27" i="11"/>
  <c r="X24" i="11"/>
  <c r="X21" i="11"/>
  <c r="X18" i="11"/>
  <c r="X13" i="11"/>
  <c r="X11" i="11"/>
  <c r="V124" i="11"/>
  <c r="V84" i="11"/>
  <c r="V57" i="11"/>
  <c r="V10" i="11"/>
  <c r="T8" i="11"/>
  <c r="V132" i="11"/>
  <c r="V128" i="11"/>
  <c r="V125" i="11"/>
  <c r="V122" i="11"/>
  <c r="V118" i="11"/>
  <c r="V114" i="11"/>
  <c r="V110" i="11"/>
  <c r="V104" i="11"/>
  <c r="V100" i="11"/>
  <c r="V97" i="11"/>
  <c r="V94" i="11"/>
  <c r="V91" i="11"/>
  <c r="V88" i="11"/>
  <c r="V85" i="11"/>
  <c r="V82" i="11"/>
  <c r="V79" i="11"/>
  <c r="V75" i="11"/>
  <c r="V71" i="11"/>
  <c r="V67" i="11"/>
  <c r="V64" i="11"/>
  <c r="V60" i="11"/>
  <c r="V58" i="11"/>
  <c r="V55" i="11"/>
  <c r="V52" i="11"/>
  <c r="V49" i="11"/>
  <c r="V46" i="11"/>
  <c r="V42" i="11"/>
  <c r="V41" i="11"/>
  <c r="V37" i="11"/>
  <c r="V33" i="11"/>
  <c r="V30" i="11"/>
  <c r="V27" i="11"/>
  <c r="V24" i="11"/>
  <c r="V21" i="11"/>
  <c r="V18" i="11"/>
  <c r="V13" i="11"/>
  <c r="V11" i="11"/>
  <c r="V121" i="11"/>
  <c r="V78" i="11"/>
  <c r="V45" i="11"/>
  <c r="V16" i="11"/>
  <c r="V8" i="11"/>
  <c r="T132" i="11"/>
  <c r="T128" i="11"/>
  <c r="T125" i="11"/>
  <c r="T122" i="11"/>
  <c r="T118" i="11"/>
  <c r="T114" i="11"/>
  <c r="T110" i="11"/>
  <c r="T104" i="11"/>
  <c r="T100" i="11"/>
  <c r="T97" i="11"/>
  <c r="T94" i="11"/>
  <c r="T91" i="11"/>
  <c r="T88" i="11"/>
  <c r="T85" i="11"/>
  <c r="T82" i="11"/>
  <c r="T79" i="11"/>
  <c r="T75" i="11"/>
  <c r="T71" i="11"/>
  <c r="T67" i="11"/>
  <c r="T64" i="11"/>
  <c r="T60" i="11"/>
  <c r="T58" i="11"/>
  <c r="T55" i="11"/>
  <c r="T52" i="11"/>
  <c r="T49" i="11"/>
  <c r="T46" i="11"/>
  <c r="T42" i="11"/>
  <c r="T41" i="11"/>
  <c r="T37" i="11"/>
  <c r="T33" i="11"/>
  <c r="T30" i="11"/>
  <c r="T27" i="11"/>
  <c r="T24" i="11"/>
  <c r="T21" i="11"/>
  <c r="T18" i="11"/>
  <c r="T13" i="11"/>
  <c r="T11" i="11"/>
  <c r="R118" i="11"/>
  <c r="R91" i="11"/>
  <c r="X133" i="11"/>
  <c r="X130" i="11"/>
  <c r="X127" i="11"/>
  <c r="X124" i="11"/>
  <c r="X121" i="11"/>
  <c r="X116" i="11"/>
  <c r="X111" i="11"/>
  <c r="X108" i="11"/>
  <c r="X102" i="11"/>
  <c r="X99" i="11"/>
  <c r="X96" i="11"/>
  <c r="X93" i="11"/>
  <c r="X89" i="11"/>
  <c r="X87" i="11"/>
  <c r="X84" i="11"/>
  <c r="X81" i="11"/>
  <c r="X78" i="11"/>
  <c r="X74" i="11"/>
  <c r="X69" i="11"/>
  <c r="X65" i="11"/>
  <c r="X63" i="11"/>
  <c r="X61" i="11"/>
  <c r="X57" i="11"/>
  <c r="X54" i="11"/>
  <c r="X51" i="11"/>
  <c r="X48" i="11"/>
  <c r="X45" i="11"/>
  <c r="X43" i="11"/>
  <c r="X39" i="11"/>
  <c r="X36" i="11"/>
  <c r="X32" i="11"/>
  <c r="X29" i="11"/>
  <c r="X26" i="11"/>
  <c r="X23" i="11"/>
  <c r="X20" i="11"/>
  <c r="X16" i="11"/>
  <c r="X14" i="11"/>
  <c r="X10" i="11"/>
  <c r="R113" i="11"/>
  <c r="T117" i="11"/>
  <c r="R122" i="11"/>
  <c r="R100" i="11"/>
  <c r="R79" i="11"/>
  <c r="R64" i="11"/>
  <c r="R49" i="11"/>
  <c r="R37" i="11"/>
  <c r="R21" i="11"/>
  <c r="V96" i="11"/>
  <c r="R117" i="11"/>
  <c r="T119" i="11"/>
  <c r="X8" i="11"/>
  <c r="R114" i="11"/>
  <c r="R94" i="11"/>
  <c r="R75" i="11"/>
  <c r="R60" i="11"/>
  <c r="R46" i="11"/>
  <c r="R33" i="11"/>
  <c r="R13" i="11"/>
  <c r="V111" i="11"/>
  <c r="V69" i="11"/>
  <c r="V48" i="11"/>
  <c r="V20" i="11"/>
  <c r="T133" i="11"/>
  <c r="T130" i="11"/>
  <c r="T127" i="11"/>
  <c r="T124" i="11"/>
  <c r="T121" i="11"/>
  <c r="T116" i="11"/>
  <c r="T111" i="11"/>
  <c r="T108" i="11"/>
  <c r="T102" i="11"/>
  <c r="T99" i="11"/>
  <c r="T96" i="11"/>
  <c r="T93" i="11"/>
  <c r="T89" i="11"/>
  <c r="T87" i="11"/>
  <c r="T84" i="11"/>
  <c r="T81" i="11"/>
  <c r="T78" i="11"/>
  <c r="T74" i="11"/>
  <c r="T69" i="11"/>
  <c r="T65" i="11"/>
  <c r="T63" i="11"/>
  <c r="T61" i="11"/>
  <c r="T57" i="11"/>
  <c r="T54" i="11"/>
  <c r="T51" i="11"/>
  <c r="T48" i="11"/>
  <c r="T45" i="11"/>
  <c r="T43" i="11"/>
  <c r="T39" i="11"/>
  <c r="T36" i="11"/>
  <c r="T32" i="11"/>
  <c r="T29" i="11"/>
  <c r="T26" i="11"/>
  <c r="T23" i="11"/>
  <c r="T20" i="11"/>
  <c r="T16" i="11"/>
  <c r="T14" i="11"/>
  <c r="T10" i="11"/>
  <c r="X70" i="11"/>
  <c r="R132" i="11"/>
  <c r="R110" i="11"/>
  <c r="R85" i="11"/>
  <c r="R67" i="11"/>
  <c r="R55" i="11"/>
  <c r="R41" i="11"/>
  <c r="R27" i="11"/>
  <c r="R11" i="11"/>
  <c r="V133" i="11"/>
  <c r="V108" i="11"/>
  <c r="V81" i="11"/>
  <c r="V54" i="11"/>
  <c r="V14" i="11"/>
  <c r="R133" i="11"/>
  <c r="R130" i="11"/>
  <c r="R127" i="11"/>
  <c r="R124" i="11"/>
  <c r="R121" i="11"/>
  <c r="R116" i="11"/>
  <c r="R111" i="11"/>
  <c r="R108" i="11"/>
  <c r="R102" i="11"/>
  <c r="R99" i="11"/>
  <c r="R96" i="11"/>
  <c r="R93" i="11"/>
  <c r="R89" i="11"/>
  <c r="R87" i="11"/>
  <c r="R84" i="11"/>
  <c r="R81" i="11"/>
  <c r="R78" i="11"/>
  <c r="R74" i="11"/>
  <c r="R69" i="11"/>
  <c r="R65" i="11"/>
  <c r="R63" i="11"/>
  <c r="R61" i="11"/>
  <c r="R57" i="11"/>
  <c r="R54" i="11"/>
  <c r="R51" i="11"/>
  <c r="R48" i="11"/>
  <c r="R45" i="11"/>
  <c r="R43" i="11"/>
  <c r="R39" i="11"/>
  <c r="R36" i="11"/>
  <c r="R32" i="11"/>
  <c r="R29" i="11"/>
  <c r="R26" i="11"/>
  <c r="R23" i="11"/>
  <c r="R20" i="11"/>
  <c r="R16" i="11"/>
  <c r="R14" i="11"/>
  <c r="R10" i="11"/>
  <c r="V70" i="11"/>
  <c r="X76" i="11"/>
  <c r="V127" i="11"/>
  <c r="V89" i="11"/>
  <c r="V63" i="11"/>
  <c r="V36" i="11"/>
  <c r="X131" i="11"/>
  <c r="X129" i="11"/>
  <c r="X126" i="11"/>
  <c r="X123" i="11"/>
  <c r="X120" i="11"/>
  <c r="X115" i="11"/>
  <c r="X112" i="11"/>
  <c r="X106" i="11"/>
  <c r="X101" i="11"/>
  <c r="X98" i="11"/>
  <c r="X95" i="11"/>
  <c r="X92" i="11"/>
  <c r="X90" i="11"/>
  <c r="X86" i="11"/>
  <c r="X83" i="11"/>
  <c r="X80" i="11"/>
  <c r="X77" i="11"/>
  <c r="X73" i="11"/>
  <c r="X68" i="11"/>
  <c r="X66" i="11"/>
  <c r="X62" i="11"/>
  <c r="X59" i="11"/>
  <c r="X56" i="11"/>
  <c r="X53" i="11"/>
  <c r="X50" i="11"/>
  <c r="X47" i="11"/>
  <c r="X44" i="11"/>
  <c r="X40" i="11"/>
  <c r="X38" i="11"/>
  <c r="X35" i="11"/>
  <c r="X31" i="11"/>
  <c r="X28" i="11"/>
  <c r="X25" i="11"/>
  <c r="X22" i="11"/>
  <c r="X19" i="11"/>
  <c r="X15" i="11"/>
  <c r="X12" i="11"/>
  <c r="X9" i="11"/>
  <c r="U6" i="20"/>
  <c r="V6" i="20" s="1"/>
  <c r="AB26" i="20"/>
  <c r="AC26" i="20" s="1"/>
  <c r="H29" i="22"/>
  <c r="AB25" i="20"/>
  <c r="C2" i="7"/>
  <c r="AG8" i="7"/>
  <c r="AG8" i="10" s="1"/>
  <c r="AG7" i="7"/>
  <c r="AF7" i="9" s="1"/>
  <c r="AD29" i="22"/>
  <c r="F31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1" i="6"/>
  <c r="H22" i="6"/>
  <c r="H19" i="6"/>
  <c r="H47" i="6"/>
  <c r="H50" i="6"/>
  <c r="H28" i="6"/>
  <c r="H36" i="6"/>
  <c r="H30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3" i="6"/>
  <c r="H10" i="6"/>
  <c r="H32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Z55" i="20" s="1" a="1"/>
  <c r="Z55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2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3" i="6"/>
  <c r="I35" i="6"/>
  <c r="I39" i="6"/>
  <c r="I46" i="6"/>
  <c r="I44" i="6"/>
  <c r="I40" i="6"/>
  <c r="I30" i="6"/>
  <c r="I31" i="6"/>
  <c r="I45" i="6"/>
  <c r="I21" i="6"/>
  <c r="I14" i="6"/>
  <c r="H43" i="6"/>
  <c r="I43" i="6"/>
  <c r="L132" i="17"/>
  <c r="K5" i="17"/>
  <c r="L109" i="11"/>
  <c r="L119" i="11"/>
  <c r="Q119" i="11"/>
  <c r="L117" i="11"/>
  <c r="Q117" i="11"/>
  <c r="Q113" i="11"/>
  <c r="L113" i="11"/>
  <c r="Q109" i="11"/>
  <c r="Q107" i="11"/>
  <c r="L107" i="11"/>
  <c r="L105" i="11"/>
  <c r="Q105" i="11"/>
  <c r="Q103" i="11"/>
  <c r="L103" i="11"/>
  <c r="Q72" i="11"/>
  <c r="L72" i="11"/>
  <c r="Q70" i="11"/>
  <c r="Q76" i="11"/>
  <c r="L76" i="11"/>
  <c r="L70" i="11"/>
  <c r="J5" i="17"/>
  <c r="Q17" i="11"/>
  <c r="L17" i="11"/>
  <c r="L34" i="11"/>
  <c r="Q34" i="11"/>
  <c r="P1" i="17"/>
  <c r="AG1" i="11"/>
  <c r="P1" i="18"/>
  <c r="R1" i="6"/>
  <c r="AD6" i="10"/>
  <c r="F24" i="7"/>
  <c r="F17" i="7"/>
  <c r="F19" i="7"/>
  <c r="F18" i="7"/>
  <c r="F23" i="7"/>
  <c r="F25" i="7"/>
  <c r="I5" i="17"/>
  <c r="N3" i="6"/>
  <c r="C6" i="6"/>
  <c r="AF25" i="9" l="1"/>
  <c r="AF26" i="9"/>
  <c r="AA55" i="20"/>
  <c r="AB55" i="20"/>
  <c r="AC55" i="20"/>
  <c r="Z46" i="20" a="1"/>
  <c r="Z46" i="20" s="1"/>
  <c r="Z47" i="20" a="1"/>
  <c r="Z47" i="20" s="1"/>
  <c r="Z48" i="20" a="1"/>
  <c r="Z48" i="20" s="1"/>
  <c r="Z49" i="20" a="1"/>
  <c r="Z49" i="20" s="1"/>
  <c r="Z50" i="20" a="1"/>
  <c r="Z50" i="20" s="1"/>
  <c r="Z51" i="20" a="1"/>
  <c r="Z51" i="20" s="1"/>
  <c r="Z52" i="20" a="1"/>
  <c r="Z52" i="20" s="1"/>
  <c r="Z53" i="20" a="1"/>
  <c r="Z53" i="20" s="1"/>
  <c r="Z54" i="20" a="1"/>
  <c r="Z54" i="20" s="1"/>
  <c r="AF54" i="20" s="1"/>
  <c r="F64" i="7"/>
  <c r="F26" i="7"/>
  <c r="F39" i="7"/>
  <c r="F40" i="7" s="1"/>
  <c r="F58" i="7"/>
  <c r="F59" i="7" s="1"/>
  <c r="F20" i="7"/>
  <c r="F45" i="7"/>
  <c r="F46" i="7" s="1"/>
  <c r="F89" i="10"/>
  <c r="H8" i="7"/>
  <c r="H57" i="7" s="1"/>
  <c r="F79" i="10"/>
  <c r="F85" i="10"/>
  <c r="F84" i="10"/>
  <c r="F83" i="10"/>
  <c r="F77" i="10"/>
  <c r="F78" i="10"/>
  <c r="AG7" i="22"/>
  <c r="F8" i="22"/>
  <c r="H7" i="22" s="1"/>
  <c r="U7" i="20"/>
  <c r="V7" i="20" s="1"/>
  <c r="AC25" i="20"/>
  <c r="AF8" i="9"/>
  <c r="AG7" i="10"/>
  <c r="J6" i="10"/>
  <c r="I6" i="9"/>
  <c r="L6" i="7"/>
  <c r="L29" i="22" s="1"/>
  <c r="AD49" i="22"/>
  <c r="H49" i="22"/>
  <c r="F43" i="22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AD36" i="22" l="1"/>
  <c r="AD35" i="22"/>
  <c r="AD34" i="22"/>
  <c r="AD33" i="22"/>
  <c r="AD37" i="22" s="1"/>
  <c r="AA54" i="20"/>
  <c r="AC54" i="20"/>
  <c r="AB54" i="20"/>
  <c r="H36" i="22"/>
  <c r="H35" i="22"/>
  <c r="H34" i="22"/>
  <c r="H33" i="22"/>
  <c r="AA53" i="20"/>
  <c r="AC53" i="20"/>
  <c r="AB53" i="20"/>
  <c r="AA52" i="20"/>
  <c r="AC52" i="20"/>
  <c r="AB52" i="20"/>
  <c r="AB51" i="20"/>
  <c r="AC51" i="20"/>
  <c r="AA50" i="20"/>
  <c r="AB50" i="20"/>
  <c r="AC50" i="20"/>
  <c r="AA49" i="20"/>
  <c r="AB49" i="20"/>
  <c r="AC49" i="20"/>
  <c r="AA48" i="20"/>
  <c r="AB48" i="20"/>
  <c r="AC48" i="20"/>
  <c r="AA47" i="20"/>
  <c r="AB47" i="20"/>
  <c r="AC47" i="20"/>
  <c r="AB46" i="20"/>
  <c r="AC46" i="20"/>
  <c r="H56" i="7"/>
  <c r="H43" i="7"/>
  <c r="H63" i="7"/>
  <c r="H44" i="7"/>
  <c r="H55" i="7"/>
  <c r="H36" i="7"/>
  <c r="H37" i="7"/>
  <c r="H38" i="7"/>
  <c r="H61" i="7"/>
  <c r="H42" i="7"/>
  <c r="H62" i="7"/>
  <c r="F92" i="10"/>
  <c r="F93" i="10" s="1"/>
  <c r="J7" i="7"/>
  <c r="H31" i="22"/>
  <c r="H8" i="22"/>
  <c r="H16" i="22" s="1"/>
  <c r="F86" i="10"/>
  <c r="F87" i="10" s="1"/>
  <c r="F80" i="10"/>
  <c r="F81" i="10" s="1"/>
  <c r="F24" i="22"/>
  <c r="F18" i="22"/>
  <c r="F17" i="22"/>
  <c r="F16" i="22"/>
  <c r="F23" i="22"/>
  <c r="F22" i="22"/>
  <c r="U8" i="20"/>
  <c r="V8" i="20" s="1"/>
  <c r="AF52" i="20"/>
  <c r="AF51" i="20"/>
  <c r="AF48" i="20"/>
  <c r="AF50" i="20"/>
  <c r="AF46" i="20"/>
  <c r="AF49" i="20"/>
  <c r="AF47" i="20"/>
  <c r="AF55" i="20"/>
  <c r="AF53" i="20"/>
  <c r="L6" i="10"/>
  <c r="K6" i="9"/>
  <c r="N6" i="7"/>
  <c r="N29" i="22" s="1"/>
  <c r="J49" i="22"/>
  <c r="H43" i="22"/>
  <c r="F49" i="22"/>
  <c r="AD43" i="22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H39" i="7" l="1"/>
  <c r="H40" i="7" s="1"/>
  <c r="H58" i="7"/>
  <c r="H59" i="7" s="1"/>
  <c r="F36" i="22"/>
  <c r="F35" i="22"/>
  <c r="F34" i="22"/>
  <c r="F33" i="22"/>
  <c r="F37" i="22" s="1"/>
  <c r="J33" i="22"/>
  <c r="J36" i="22"/>
  <c r="J35" i="22"/>
  <c r="J34" i="22"/>
  <c r="H37" i="22"/>
  <c r="H45" i="7"/>
  <c r="H64" i="7"/>
  <c r="J8" i="7"/>
  <c r="J36" i="7" s="1"/>
  <c r="J30" i="22"/>
  <c r="H23" i="22"/>
  <c r="H17" i="22"/>
  <c r="H22" i="22"/>
  <c r="J7" i="22"/>
  <c r="J8" i="22" s="1"/>
  <c r="H18" i="22"/>
  <c r="F25" i="22"/>
  <c r="F26" i="22" s="1"/>
  <c r="F10" i="22" s="1"/>
  <c r="H24" i="22"/>
  <c r="F19" i="22"/>
  <c r="U9" i="20"/>
  <c r="V9" i="20" s="1"/>
  <c r="AE47" i="20"/>
  <c r="AE48" i="20"/>
  <c r="AE49" i="20"/>
  <c r="AE51" i="20"/>
  <c r="AE52" i="20"/>
  <c r="AE46" i="20"/>
  <c r="AE54" i="20"/>
  <c r="AE55" i="20"/>
  <c r="AE53" i="20"/>
  <c r="AE50" i="20"/>
  <c r="N6" i="10"/>
  <c r="M6" i="9"/>
  <c r="P6" i="7"/>
  <c r="P29" i="22" s="1"/>
  <c r="J43" i="22"/>
  <c r="L43" i="22"/>
  <c r="L49" i="22"/>
  <c r="Q3" i="1"/>
  <c r="Q43" i="11"/>
  <c r="Q88" i="11"/>
  <c r="Q124" i="11"/>
  <c r="Q32" i="11"/>
  <c r="Q58" i="11"/>
  <c r="Q85" i="11"/>
  <c r="Q92" i="11"/>
  <c r="Q129" i="11"/>
  <c r="Q44" i="11"/>
  <c r="Q89" i="11"/>
  <c r="Q104" i="11"/>
  <c r="Q83" i="11"/>
  <c r="Q106" i="11"/>
  <c r="Q114" i="11"/>
  <c r="Q81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Q48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N5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E44" i="9" l="1"/>
  <c r="E43" i="9"/>
  <c r="J37" i="22"/>
  <c r="L36" i="22"/>
  <c r="L35" i="22"/>
  <c r="L34" i="22"/>
  <c r="L33" i="22"/>
  <c r="L37" i="22" s="1"/>
  <c r="J55" i="7"/>
  <c r="J62" i="7"/>
  <c r="J57" i="7"/>
  <c r="J61" i="7"/>
  <c r="J43" i="7"/>
  <c r="J38" i="7"/>
  <c r="J37" i="7"/>
  <c r="J56" i="7"/>
  <c r="J63" i="7"/>
  <c r="J42" i="7"/>
  <c r="J44" i="7"/>
  <c r="H46" i="7"/>
  <c r="L7" i="7"/>
  <c r="J31" i="22"/>
  <c r="H25" i="22"/>
  <c r="H26" i="22" s="1"/>
  <c r="H12" i="22" s="1"/>
  <c r="H19" i="22"/>
  <c r="H20" i="22" s="1"/>
  <c r="F13" i="22"/>
  <c r="F12" i="22"/>
  <c r="F11" i="22"/>
  <c r="F20" i="22"/>
  <c r="U10" i="20"/>
  <c r="V10" i="20" s="1"/>
  <c r="J17" i="22"/>
  <c r="J22" i="22"/>
  <c r="J16" i="22"/>
  <c r="J24" i="22"/>
  <c r="J23" i="22"/>
  <c r="L7" i="22"/>
  <c r="J18" i="22"/>
  <c r="P6" i="10"/>
  <c r="O6" i="9"/>
  <c r="R6" i="7"/>
  <c r="R29" i="22" s="1"/>
  <c r="N43" i="22"/>
  <c r="L124" i="11"/>
  <c r="L45" i="11"/>
  <c r="L24" i="11"/>
  <c r="L122" i="11"/>
  <c r="L86" i="11"/>
  <c r="L28" i="11"/>
  <c r="L50" i="11"/>
  <c r="L40" i="11"/>
  <c r="L82" i="11"/>
  <c r="L25" i="11"/>
  <c r="L30" i="11"/>
  <c r="L73" i="11"/>
  <c r="L78" i="11"/>
  <c r="L43" i="11"/>
  <c r="L115" i="11"/>
  <c r="L14" i="11"/>
  <c r="L114" i="11"/>
  <c r="L131" i="11"/>
  <c r="L93" i="11"/>
  <c r="L37" i="11"/>
  <c r="L116" i="11"/>
  <c r="L94" i="11"/>
  <c r="L8" i="11"/>
  <c r="L118" i="11"/>
  <c r="L71" i="11"/>
  <c r="L48" i="11"/>
  <c r="L88" i="11"/>
  <c r="L13" i="11"/>
  <c r="L42" i="11"/>
  <c r="L98" i="11"/>
  <c r="L84" i="11"/>
  <c r="L96" i="11"/>
  <c r="L77" i="11"/>
  <c r="L18" i="11"/>
  <c r="L69" i="11"/>
  <c r="L9" i="11"/>
  <c r="L90" i="11"/>
  <c r="L108" i="11"/>
  <c r="L59" i="11"/>
  <c r="L127" i="11"/>
  <c r="L132" i="11"/>
  <c r="L67" i="11"/>
  <c r="L20" i="11"/>
  <c r="L128" i="11"/>
  <c r="L104" i="11"/>
  <c r="L97" i="11"/>
  <c r="L106" i="11"/>
  <c r="L133" i="11"/>
  <c r="L92" i="11"/>
  <c r="L68" i="11"/>
  <c r="L31" i="11"/>
  <c r="L75" i="11"/>
  <c r="L55" i="11"/>
  <c r="L49" i="11"/>
  <c r="L125" i="11"/>
  <c r="L60" i="11"/>
  <c r="L65" i="11"/>
  <c r="L12" i="11"/>
  <c r="L26" i="11"/>
  <c r="L111" i="11"/>
  <c r="L87" i="11"/>
  <c r="L39" i="11"/>
  <c r="L46" i="11"/>
  <c r="L83" i="11"/>
  <c r="L19" i="11"/>
  <c r="L15" i="11"/>
  <c r="L35" i="11"/>
  <c r="L74" i="11"/>
  <c r="L101" i="11"/>
  <c r="L100" i="11"/>
  <c r="L47" i="11"/>
  <c r="L51" i="11"/>
  <c r="L41" i="11"/>
  <c r="L10" i="11"/>
  <c r="L29" i="11"/>
  <c r="F65" i="7"/>
  <c r="L64" i="11"/>
  <c r="L112" i="11"/>
  <c r="L58" i="11"/>
  <c r="H5" i="11"/>
  <c r="R5" i="11" s="1"/>
  <c r="L110" i="11"/>
  <c r="L23" i="11"/>
  <c r="L21" i="11"/>
  <c r="L126" i="11"/>
  <c r="L27" i="11"/>
  <c r="L85" i="11"/>
  <c r="L123" i="11"/>
  <c r="L130" i="11"/>
  <c r="I5" i="11"/>
  <c r="T5" i="11" s="1"/>
  <c r="L129" i="11"/>
  <c r="L80" i="11"/>
  <c r="L52" i="11"/>
  <c r="L57" i="11"/>
  <c r="L36" i="11"/>
  <c r="L102" i="11"/>
  <c r="L81" i="11"/>
  <c r="L95" i="11"/>
  <c r="L99" i="11"/>
  <c r="L121" i="11"/>
  <c r="L66" i="11"/>
  <c r="L62" i="11"/>
  <c r="L89" i="11"/>
  <c r="L44" i="11"/>
  <c r="L91" i="11"/>
  <c r="L16" i="11"/>
  <c r="J5" i="11"/>
  <c r="V5" i="11" s="1"/>
  <c r="L56" i="11"/>
  <c r="L22" i="11"/>
  <c r="L33" i="11"/>
  <c r="L38" i="11"/>
  <c r="L63" i="11"/>
  <c r="L120" i="11"/>
  <c r="L53" i="11"/>
  <c r="L61" i="11"/>
  <c r="L79" i="11"/>
  <c r="L54" i="11"/>
  <c r="L11" i="11"/>
  <c r="L32" i="11"/>
  <c r="K5" i="11"/>
  <c r="X5" i="11" s="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J58" i="7" l="1"/>
  <c r="J59" i="7" s="1"/>
  <c r="J64" i="7"/>
  <c r="E35" i="9"/>
  <c r="E34" i="9"/>
  <c r="J39" i="7"/>
  <c r="J40" i="7" s="1"/>
  <c r="J45" i="7"/>
  <c r="J46" i="7" s="1"/>
  <c r="F30" i="7"/>
  <c r="F51" i="7"/>
  <c r="F49" i="7"/>
  <c r="F52" i="7"/>
  <c r="F31" i="7"/>
  <c r="F50" i="7"/>
  <c r="F33" i="7"/>
  <c r="F32" i="7"/>
  <c r="L8" i="7"/>
  <c r="L44" i="7" s="1"/>
  <c r="L30" i="22"/>
  <c r="H10" i="22"/>
  <c r="H11" i="22"/>
  <c r="H13" i="22"/>
  <c r="F14" i="22"/>
  <c r="F13" i="7"/>
  <c r="F12" i="7"/>
  <c r="F11" i="7"/>
  <c r="F14" i="7"/>
  <c r="Z61" i="11"/>
  <c r="Z80" i="11"/>
  <c r="Z58" i="11"/>
  <c r="Z51" i="11"/>
  <c r="Z19" i="11"/>
  <c r="Z55" i="11"/>
  <c r="Z20" i="11"/>
  <c r="Z18" i="11"/>
  <c r="Z118" i="11"/>
  <c r="Z73" i="11"/>
  <c r="Z45" i="11"/>
  <c r="Z124" i="11"/>
  <c r="Z129" i="11"/>
  <c r="Z30" i="11"/>
  <c r="Z120" i="11"/>
  <c r="Z91" i="11"/>
  <c r="Z100" i="11"/>
  <c r="Z46" i="11"/>
  <c r="Z31" i="11"/>
  <c r="Z96" i="11"/>
  <c r="Z94" i="11"/>
  <c r="Z25" i="11"/>
  <c r="Z16" i="11"/>
  <c r="Z75" i="11"/>
  <c r="Z101" i="11"/>
  <c r="Z116" i="11"/>
  <c r="Z123" i="11"/>
  <c r="Z87" i="11"/>
  <c r="Z92" i="11"/>
  <c r="Z98" i="11"/>
  <c r="Z37" i="11"/>
  <c r="Z40" i="11"/>
  <c r="Z53" i="11"/>
  <c r="Z47" i="11"/>
  <c r="Z121" i="11"/>
  <c r="Z132" i="11"/>
  <c r="Z99" i="11"/>
  <c r="Z95" i="11"/>
  <c r="Z85" i="11"/>
  <c r="Z74" i="11"/>
  <c r="Z111" i="11"/>
  <c r="Z133" i="11"/>
  <c r="Z127" i="11"/>
  <c r="Z42" i="11"/>
  <c r="Z93" i="11"/>
  <c r="Z83" i="11"/>
  <c r="Z130" i="11"/>
  <c r="Z84" i="11"/>
  <c r="Z33" i="11"/>
  <c r="Z81" i="11"/>
  <c r="Z27" i="11"/>
  <c r="Z26" i="11"/>
  <c r="Z106" i="11"/>
  <c r="Z59" i="11"/>
  <c r="Z13" i="11"/>
  <c r="Z131" i="11"/>
  <c r="Z112" i="11"/>
  <c r="Z63" i="11"/>
  <c r="Z68" i="11"/>
  <c r="Z22" i="11"/>
  <c r="Z35" i="11"/>
  <c r="Z108" i="11"/>
  <c r="Z114" i="11"/>
  <c r="Z56" i="11"/>
  <c r="Z102" i="11"/>
  <c r="Z21" i="11"/>
  <c r="Z29" i="11"/>
  <c r="Z65" i="11"/>
  <c r="Z97" i="11"/>
  <c r="Z90" i="11"/>
  <c r="Z14" i="11"/>
  <c r="Z28" i="11"/>
  <c r="Z67" i="11"/>
  <c r="Z39" i="11"/>
  <c r="Z82" i="11"/>
  <c r="Z44" i="11"/>
  <c r="Z126" i="11"/>
  <c r="Z12" i="11"/>
  <c r="Z88" i="11"/>
  <c r="Z50" i="11"/>
  <c r="Z32" i="11"/>
  <c r="Z11" i="11"/>
  <c r="Z36" i="11"/>
  <c r="Z23" i="11"/>
  <c r="Z15" i="11"/>
  <c r="Z60" i="11"/>
  <c r="Z104" i="11"/>
  <c r="Z9" i="11"/>
  <c r="Z48" i="11"/>
  <c r="Z115" i="11"/>
  <c r="Z86" i="11"/>
  <c r="Z8" i="11"/>
  <c r="Z128" i="11"/>
  <c r="Z43" i="11"/>
  <c r="Z122" i="11"/>
  <c r="Z66" i="11"/>
  <c r="Z77" i="11"/>
  <c r="Z64" i="11"/>
  <c r="Z54" i="11"/>
  <c r="Z89" i="11"/>
  <c r="Z57" i="11"/>
  <c r="Z110" i="11"/>
  <c r="Z10" i="11"/>
  <c r="Z125" i="11"/>
  <c r="Z79" i="11"/>
  <c r="Z62" i="11"/>
  <c r="Z52" i="11"/>
  <c r="Z41" i="11"/>
  <c r="Z49" i="11"/>
  <c r="Z69" i="11"/>
  <c r="Z71" i="11"/>
  <c r="Z78" i="11"/>
  <c r="Z24" i="11"/>
  <c r="U11" i="20"/>
  <c r="V11" i="20" s="1"/>
  <c r="J25" i="22"/>
  <c r="J26" i="22" s="1"/>
  <c r="J11" i="22" s="1"/>
  <c r="J19" i="22"/>
  <c r="L8" i="22"/>
  <c r="R6" i="10"/>
  <c r="Q6" i="9"/>
  <c r="T6" i="7"/>
  <c r="T29" i="22" s="1"/>
  <c r="N49" i="22"/>
  <c r="P49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N2" i="6"/>
  <c r="N1" i="6"/>
  <c r="P33" i="22" l="1"/>
  <c r="P36" i="22"/>
  <c r="P35" i="22"/>
  <c r="P34" i="22"/>
  <c r="P37" i="22" s="1"/>
  <c r="N36" i="22"/>
  <c r="N35" i="22"/>
  <c r="N34" i="22"/>
  <c r="N33" i="22"/>
  <c r="Z71" i="20" a="1"/>
  <c r="Z71" i="20" s="1"/>
  <c r="AL71" i="20" s="1"/>
  <c r="Z70" i="20" a="1"/>
  <c r="Z70" i="20" s="1"/>
  <c r="AL70" i="20" s="1"/>
  <c r="Z69" i="20" a="1"/>
  <c r="Z69" i="20" s="1"/>
  <c r="AL69" i="20" s="1"/>
  <c r="Z68" i="20" a="1"/>
  <c r="Z68" i="20" s="1"/>
  <c r="AL68" i="20" s="1"/>
  <c r="Z67" i="20" a="1"/>
  <c r="Z67" i="20" s="1"/>
  <c r="AL67" i="20" s="1"/>
  <c r="Z66" i="20" a="1"/>
  <c r="Z66" i="20" s="1"/>
  <c r="AL66" i="20" s="1"/>
  <c r="Z65" i="20" a="1"/>
  <c r="Z65" i="20" s="1"/>
  <c r="AL65" i="20" s="1"/>
  <c r="Z64" i="20" a="1"/>
  <c r="Z64" i="20" s="1"/>
  <c r="AL64" i="20" s="1"/>
  <c r="Z63" i="20" a="1"/>
  <c r="Z63" i="20" s="1"/>
  <c r="AL63" i="20" s="1"/>
  <c r="Z72" i="20" a="1"/>
  <c r="Z72" i="20" s="1"/>
  <c r="AL72" i="20" s="1"/>
  <c r="L43" i="7"/>
  <c r="L57" i="7"/>
  <c r="L55" i="7"/>
  <c r="L63" i="7"/>
  <c r="L61" i="7"/>
  <c r="L36" i="7"/>
  <c r="L37" i="7"/>
  <c r="L38" i="7"/>
  <c r="L56" i="7"/>
  <c r="L62" i="7"/>
  <c r="L42" i="7"/>
  <c r="L45" i="7" s="1"/>
  <c r="N7" i="7"/>
  <c r="L31" i="22"/>
  <c r="F53" i="7"/>
  <c r="F34" i="7"/>
  <c r="H14" i="22"/>
  <c r="F15" i="7"/>
  <c r="J20" i="22"/>
  <c r="J13" i="22"/>
  <c r="J10" i="22"/>
  <c r="J12" i="22"/>
  <c r="U12" i="20"/>
  <c r="V12" i="20" s="1"/>
  <c r="L24" i="22"/>
  <c r="L23" i="22"/>
  <c r="N7" i="22"/>
  <c r="L22" i="22"/>
  <c r="L18" i="22"/>
  <c r="L16" i="22"/>
  <c r="L17" i="22"/>
  <c r="T6" i="10"/>
  <c r="S6" i="9"/>
  <c r="V6" i="7"/>
  <c r="V29" i="22" s="1"/>
  <c r="R49" i="22"/>
  <c r="P43" i="22"/>
  <c r="E13" i="9" a="1"/>
  <c r="E13" i="9" s="1"/>
  <c r="F73" i="10"/>
  <c r="F65" i="10"/>
  <c r="E27" i="9"/>
  <c r="F59" i="10"/>
  <c r="F62" i="10"/>
  <c r="F60" i="10"/>
  <c r="F61" i="10"/>
  <c r="F71" i="10"/>
  <c r="F67" i="10"/>
  <c r="F66" i="10"/>
  <c r="F72" i="10"/>
  <c r="E28" i="9" a="1"/>
  <c r="E28" i="9" s="1"/>
  <c r="E29" i="9" a="1"/>
  <c r="E29" i="9" s="1"/>
  <c r="E30" i="9" a="1"/>
  <c r="E30" i="9" s="1"/>
  <c r="J7" i="10"/>
  <c r="J24" i="7"/>
  <c r="I7" i="9"/>
  <c r="H8" i="10"/>
  <c r="H71" i="10" s="1"/>
  <c r="H90" i="10"/>
  <c r="H91" i="10"/>
  <c r="H17" i="7"/>
  <c r="H23" i="7"/>
  <c r="G8" i="9"/>
  <c r="G13" i="9" s="1" a="1"/>
  <c r="G13" i="9" s="1"/>
  <c r="H18" i="7"/>
  <c r="H89" i="10"/>
  <c r="H24" i="7"/>
  <c r="H19" i="7"/>
  <c r="H25" i="7"/>
  <c r="F39" i="10"/>
  <c r="AB5" i="11"/>
  <c r="L58" i="7" l="1"/>
  <c r="L59" i="7" s="1"/>
  <c r="L39" i="7"/>
  <c r="E45" i="9"/>
  <c r="E36" i="9"/>
  <c r="E48" i="9"/>
  <c r="E39" i="9"/>
  <c r="E47" i="9"/>
  <c r="E38" i="9"/>
  <c r="E46" i="9"/>
  <c r="E37" i="9"/>
  <c r="N37" i="22"/>
  <c r="H26" i="7"/>
  <c r="L64" i="7"/>
  <c r="H20" i="7"/>
  <c r="R36" i="22"/>
  <c r="R35" i="22"/>
  <c r="R34" i="22"/>
  <c r="R33" i="22"/>
  <c r="L46" i="7"/>
  <c r="N8" i="7"/>
  <c r="N36" i="7" s="1"/>
  <c r="N30" i="22"/>
  <c r="H77" i="10"/>
  <c r="H84" i="10"/>
  <c r="H85" i="10"/>
  <c r="H79" i="10"/>
  <c r="H83" i="10"/>
  <c r="H78" i="10"/>
  <c r="J14" i="22"/>
  <c r="U13" i="20"/>
  <c r="V13" i="20" s="1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L25" i="22"/>
  <c r="L26" i="22" s="1"/>
  <c r="L11" i="22" s="1"/>
  <c r="L19" i="22"/>
  <c r="N8" i="22"/>
  <c r="V6" i="10"/>
  <c r="U6" i="9"/>
  <c r="X6" i="7"/>
  <c r="X29" i="22" s="1"/>
  <c r="R43" i="22"/>
  <c r="T43" i="22"/>
  <c r="G14" i="9"/>
  <c r="G11" i="9" a="1"/>
  <c r="G11" i="9" s="1"/>
  <c r="G27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9" i="9" a="1"/>
  <c r="G29" i="9" s="1"/>
  <c r="G28" i="9" a="1"/>
  <c r="G28" i="9" s="1"/>
  <c r="G30" i="9" a="1"/>
  <c r="G30" i="9" s="1"/>
  <c r="H92" i="10"/>
  <c r="H93" i="10" s="1"/>
  <c r="J91" i="10"/>
  <c r="J90" i="10"/>
  <c r="J17" i="7"/>
  <c r="J23" i="7"/>
  <c r="J19" i="7"/>
  <c r="J89" i="10"/>
  <c r="J25" i="7"/>
  <c r="J18" i="7"/>
  <c r="I8" i="9"/>
  <c r="I12" i="9" s="1" a="1"/>
  <c r="I12" i="9" s="1"/>
  <c r="J8" i="10"/>
  <c r="J72" i="10" s="1"/>
  <c r="F51" i="10"/>
  <c r="R37" i="22" l="1"/>
  <c r="AK67" i="20"/>
  <c r="AK66" i="20"/>
  <c r="AK71" i="20"/>
  <c r="AK72" i="20"/>
  <c r="AK63" i="20"/>
  <c r="AK65" i="20"/>
  <c r="AK70" i="20"/>
  <c r="AK69" i="20"/>
  <c r="AK64" i="20"/>
  <c r="AK68" i="20"/>
  <c r="J26" i="7"/>
  <c r="N63" i="7"/>
  <c r="N57" i="7"/>
  <c r="J20" i="7"/>
  <c r="N37" i="7"/>
  <c r="N38" i="7"/>
  <c r="N43" i="7"/>
  <c r="N55" i="7"/>
  <c r="N61" i="7"/>
  <c r="N42" i="7"/>
  <c r="N44" i="7"/>
  <c r="N56" i="7"/>
  <c r="N62" i="7"/>
  <c r="P7" i="7"/>
  <c r="N31" i="22"/>
  <c r="L40" i="7"/>
  <c r="J77" i="10"/>
  <c r="J85" i="10"/>
  <c r="J84" i="10"/>
  <c r="H86" i="10"/>
  <c r="H87" i="10" s="1"/>
  <c r="J83" i="10"/>
  <c r="J79" i="10"/>
  <c r="L20" i="22"/>
  <c r="L13" i="22"/>
  <c r="L12" i="22"/>
  <c r="L10" i="22"/>
  <c r="U14" i="20"/>
  <c r="V14" i="20" s="1"/>
  <c r="P7" i="22"/>
  <c r="N23" i="22"/>
  <c r="N18" i="22"/>
  <c r="N16" i="22"/>
  <c r="N24" i="22"/>
  <c r="N22" i="22"/>
  <c r="N17" i="22"/>
  <c r="E33" i="9"/>
  <c r="E42" i="9"/>
  <c r="X6" i="10"/>
  <c r="W6" i="9"/>
  <c r="Z6" i="7"/>
  <c r="Z29" i="22" s="1"/>
  <c r="T49" i="22"/>
  <c r="V49" i="22"/>
  <c r="I14" i="9"/>
  <c r="I11" i="9" a="1"/>
  <c r="I11" i="9" s="1"/>
  <c r="I13" i="9" a="1"/>
  <c r="I13" i="9" s="1"/>
  <c r="I27" i="9"/>
  <c r="H74" i="10"/>
  <c r="H75" i="10" s="1"/>
  <c r="J60" i="10"/>
  <c r="J61" i="10"/>
  <c r="J62" i="10"/>
  <c r="J59" i="10"/>
  <c r="F98" i="10"/>
  <c r="H21" i="7"/>
  <c r="H80" i="10"/>
  <c r="H81" i="10" s="1"/>
  <c r="J78" i="10"/>
  <c r="H68" i="10"/>
  <c r="J73" i="10"/>
  <c r="J66" i="10"/>
  <c r="J71" i="10"/>
  <c r="J65" i="10"/>
  <c r="H63" i="10"/>
  <c r="J67" i="10"/>
  <c r="I28" i="9" a="1"/>
  <c r="I28" i="9" s="1"/>
  <c r="I29" i="9" a="1"/>
  <c r="I29" i="9" s="1"/>
  <c r="I30" i="9" a="1"/>
  <c r="I30" i="9" s="1"/>
  <c r="H65" i="7"/>
  <c r="J92" i="10"/>
  <c r="J93" i="10" s="1"/>
  <c r="H51" i="10"/>
  <c r="H27" i="7"/>
  <c r="H45" i="10"/>
  <c r="H39" i="10"/>
  <c r="L18" i="7"/>
  <c r="L7" i="10"/>
  <c r="K7" i="9"/>
  <c r="G48" i="9" l="1"/>
  <c r="G47" i="9"/>
  <c r="G46" i="9"/>
  <c r="G45" i="9"/>
  <c r="G44" i="9"/>
  <c r="G43" i="9"/>
  <c r="G42" i="9"/>
  <c r="G39" i="9"/>
  <c r="G38" i="9"/>
  <c r="G37" i="9"/>
  <c r="G36" i="9"/>
  <c r="G35" i="9"/>
  <c r="G34" i="9"/>
  <c r="G33" i="9"/>
  <c r="N45" i="7"/>
  <c r="N46" i="7" s="1"/>
  <c r="V33" i="22"/>
  <c r="V36" i="22"/>
  <c r="V35" i="22"/>
  <c r="V34" i="22"/>
  <c r="T36" i="22"/>
  <c r="T35" i="22"/>
  <c r="T37" i="22" s="1"/>
  <c r="T34" i="22"/>
  <c r="T33" i="22"/>
  <c r="AC63" i="20"/>
  <c r="AC64" i="20" s="1"/>
  <c r="AC65" i="20" s="1"/>
  <c r="AC66" i="20" s="1"/>
  <c r="AC67" i="20" s="1"/>
  <c r="AC68" i="20" s="1"/>
  <c r="AC69" i="20" s="1"/>
  <c r="AC70" i="20" s="1"/>
  <c r="AC71" i="20" s="1"/>
  <c r="AC72" i="20" s="1"/>
  <c r="AA63" i="20"/>
  <c r="AA64" i="20" s="1"/>
  <c r="AA65" i="20" s="1"/>
  <c r="AA66" i="20" s="1"/>
  <c r="AA67" i="20" s="1"/>
  <c r="AA68" i="20" s="1"/>
  <c r="AA69" i="20" s="1"/>
  <c r="AA70" i="20" s="1"/>
  <c r="AA71" i="20" s="1"/>
  <c r="AA72" i="20" s="1"/>
  <c r="N58" i="7"/>
  <c r="N59" i="7" s="1"/>
  <c r="N39" i="7"/>
  <c r="N64" i="7"/>
  <c r="H49" i="7"/>
  <c r="H32" i="7"/>
  <c r="H52" i="7"/>
  <c r="H51" i="7"/>
  <c r="H50" i="7"/>
  <c r="H31" i="7"/>
  <c r="H30" i="7"/>
  <c r="H33" i="7"/>
  <c r="P8" i="7"/>
  <c r="P61" i="7" s="1"/>
  <c r="P30" i="22"/>
  <c r="L14" i="22"/>
  <c r="H11" i="7"/>
  <c r="H13" i="7"/>
  <c r="H12" i="7"/>
  <c r="J80" i="10"/>
  <c r="J81" i="10" s="1"/>
  <c r="J86" i="10"/>
  <c r="J87" i="10" s="1"/>
  <c r="L78" i="10"/>
  <c r="H14" i="7"/>
  <c r="U15" i="20"/>
  <c r="V15" i="20" s="1"/>
  <c r="P8" i="22"/>
  <c r="R7" i="22" s="1"/>
  <c r="R8" i="22" s="1"/>
  <c r="N19" i="22"/>
  <c r="N25" i="22"/>
  <c r="N26" i="22" s="1"/>
  <c r="N11" i="22" s="1"/>
  <c r="Z6" i="10"/>
  <c r="Y6" i="9"/>
  <c r="AB6" i="7"/>
  <c r="AB29" i="22" s="1"/>
  <c r="V43" i="22"/>
  <c r="X49" i="22"/>
  <c r="J74" i="10"/>
  <c r="J75" i="10" s="1"/>
  <c r="H98" i="10"/>
  <c r="J68" i="10"/>
  <c r="J69" i="10" s="1"/>
  <c r="J63" i="10"/>
  <c r="H69" i="10"/>
  <c r="K30" i="9" a="1"/>
  <c r="K30" i="9" s="1"/>
  <c r="K29" i="9" a="1"/>
  <c r="K29" i="9" s="1"/>
  <c r="K28" i="9" a="1"/>
  <c r="K28" i="9" s="1"/>
  <c r="J65" i="7"/>
  <c r="L89" i="10"/>
  <c r="L90" i="10"/>
  <c r="L91" i="10"/>
  <c r="L17" i="7"/>
  <c r="L23" i="7"/>
  <c r="L24" i="7"/>
  <c r="L19" i="7"/>
  <c r="L25" i="7"/>
  <c r="H15" i="7"/>
  <c r="J27" i="7"/>
  <c r="J14" i="7" s="1"/>
  <c r="J21" i="7"/>
  <c r="J45" i="10"/>
  <c r="J39" i="10"/>
  <c r="J51" i="10"/>
  <c r="L8" i="10"/>
  <c r="L72" i="10" s="1"/>
  <c r="K8" i="9"/>
  <c r="K13" i="9" s="1" a="1"/>
  <c r="K13" i="9" s="1"/>
  <c r="I46" i="9" l="1"/>
  <c r="I45" i="9"/>
  <c r="I44" i="9"/>
  <c r="I43" i="9"/>
  <c r="I42" i="9"/>
  <c r="I48" i="9"/>
  <c r="I47" i="9"/>
  <c r="I37" i="9"/>
  <c r="I36" i="9"/>
  <c r="I35" i="9"/>
  <c r="I34" i="9"/>
  <c r="I33" i="9"/>
  <c r="I39" i="9"/>
  <c r="I38" i="9"/>
  <c r="X36" i="22"/>
  <c r="X35" i="22"/>
  <c r="X34" i="22"/>
  <c r="X33" i="22"/>
  <c r="X37" i="22" s="1"/>
  <c r="V37" i="22"/>
  <c r="L20" i="7"/>
  <c r="P56" i="7"/>
  <c r="P43" i="7"/>
  <c r="P62" i="7"/>
  <c r="P44" i="7"/>
  <c r="P57" i="7"/>
  <c r="P63" i="7"/>
  <c r="P37" i="7"/>
  <c r="P36" i="7"/>
  <c r="P38" i="7"/>
  <c r="P55" i="7"/>
  <c r="P42" i="7"/>
  <c r="L26" i="7"/>
  <c r="H34" i="7"/>
  <c r="H53" i="7"/>
  <c r="R7" i="7"/>
  <c r="P31" i="22"/>
  <c r="N40" i="7"/>
  <c r="J50" i="7"/>
  <c r="J30" i="7"/>
  <c r="J52" i="7"/>
  <c r="J32" i="7"/>
  <c r="J49" i="7"/>
  <c r="J31" i="7"/>
  <c r="J51" i="7"/>
  <c r="J33" i="7"/>
  <c r="L85" i="10"/>
  <c r="L79" i="10"/>
  <c r="L84" i="10"/>
  <c r="L77" i="10"/>
  <c r="N10" i="22"/>
  <c r="J13" i="7"/>
  <c r="J11" i="7"/>
  <c r="J12" i="7"/>
  <c r="L83" i="10"/>
  <c r="N20" i="22"/>
  <c r="N13" i="22"/>
  <c r="N12" i="22"/>
  <c r="U16" i="20"/>
  <c r="V16" i="20" s="1"/>
  <c r="P22" i="22"/>
  <c r="P17" i="22"/>
  <c r="P23" i="22"/>
  <c r="P16" i="22"/>
  <c r="P18" i="22"/>
  <c r="P24" i="22"/>
  <c r="T7" i="22"/>
  <c r="T8" i="22" s="1"/>
  <c r="R17" i="22"/>
  <c r="R16" i="22"/>
  <c r="R24" i="22"/>
  <c r="R23" i="22"/>
  <c r="R18" i="22"/>
  <c r="R22" i="22"/>
  <c r="AB6" i="10"/>
  <c r="AA6" i="9"/>
  <c r="X43" i="22"/>
  <c r="AG40" i="22"/>
  <c r="AG47" i="22"/>
  <c r="AP54" i="22" s="1"/>
  <c r="AG46" i="22"/>
  <c r="AP53" i="22" s="1"/>
  <c r="Z49" i="22"/>
  <c r="AB49" i="22"/>
  <c r="AG45" i="22"/>
  <c r="AP52" i="22" s="1"/>
  <c r="K11" i="9" a="1"/>
  <c r="K11" i="9" s="1"/>
  <c r="K14" i="9"/>
  <c r="K12" i="9" a="1"/>
  <c r="K12" i="9" s="1"/>
  <c r="K27" i="9"/>
  <c r="L67" i="10"/>
  <c r="L73" i="10"/>
  <c r="J98" i="10"/>
  <c r="L59" i="10"/>
  <c r="L60" i="10"/>
  <c r="L61" i="10"/>
  <c r="L62" i="10"/>
  <c r="L65" i="10"/>
  <c r="L66" i="10"/>
  <c r="L71" i="10"/>
  <c r="L92" i="10"/>
  <c r="L93" i="10" s="1"/>
  <c r="J15" i="7"/>
  <c r="N7" i="10"/>
  <c r="M7" i="9"/>
  <c r="P45" i="7" l="1"/>
  <c r="P46" i="7" s="1"/>
  <c r="P64" i="7"/>
  <c r="P39" i="7"/>
  <c r="AB33" i="22"/>
  <c r="AB36" i="22"/>
  <c r="AB35" i="22"/>
  <c r="AB34" i="22"/>
  <c r="Z36" i="22"/>
  <c r="Z35" i="22"/>
  <c r="Z34" i="22"/>
  <c r="Z33" i="22"/>
  <c r="P58" i="7"/>
  <c r="P59" i="7" s="1"/>
  <c r="J53" i="7"/>
  <c r="R8" i="7"/>
  <c r="R55" i="7" s="1"/>
  <c r="R30" i="22"/>
  <c r="J34" i="7"/>
  <c r="N14" i="22"/>
  <c r="N84" i="10"/>
  <c r="L86" i="10"/>
  <c r="L87" i="10" s="1"/>
  <c r="L80" i="10"/>
  <c r="L81" i="10" s="1"/>
  <c r="U17" i="20"/>
  <c r="V17" i="20" s="1"/>
  <c r="AI5" i="20"/>
  <c r="AI4" i="20"/>
  <c r="AI3" i="20"/>
  <c r="P25" i="22"/>
  <c r="P26" i="22" s="1"/>
  <c r="P12" i="22" s="1"/>
  <c r="P19" i="22"/>
  <c r="T23" i="22"/>
  <c r="R25" i="22"/>
  <c r="R26" i="22" s="1"/>
  <c r="R12" i="22" s="1"/>
  <c r="R19" i="22"/>
  <c r="T16" i="22"/>
  <c r="T22" i="22"/>
  <c r="T18" i="22"/>
  <c r="V7" i="22"/>
  <c r="T17" i="22"/>
  <c r="T24" i="22"/>
  <c r="AG41" i="22"/>
  <c r="AB43" i="22"/>
  <c r="Z44" i="22"/>
  <c r="V44" i="22"/>
  <c r="L44" i="22"/>
  <c r="N44" i="22"/>
  <c r="T44" i="22"/>
  <c r="P44" i="22"/>
  <c r="X44" i="22"/>
  <c r="R44" i="22"/>
  <c r="AG42" i="22"/>
  <c r="AG48" i="22"/>
  <c r="Z43" i="22"/>
  <c r="F38" i="22" s="1"/>
  <c r="AB44" i="22"/>
  <c r="H44" i="22"/>
  <c r="AD44" i="22"/>
  <c r="F44" i="22"/>
  <c r="J44" i="22"/>
  <c r="L74" i="10"/>
  <c r="L68" i="10"/>
  <c r="L69" i="10" s="1"/>
  <c r="L63" i="10"/>
  <c r="M30" i="9" a="1"/>
  <c r="M30" i="9" s="1"/>
  <c r="M29" i="9" a="1"/>
  <c r="M29" i="9" s="1"/>
  <c r="M28" i="9" a="1"/>
  <c r="M28" i="9" s="1"/>
  <c r="L27" i="7"/>
  <c r="L21" i="7"/>
  <c r="L45" i="10"/>
  <c r="L39" i="10"/>
  <c r="N23" i="7"/>
  <c r="N17" i="7"/>
  <c r="N18" i="7"/>
  <c r="L65" i="7"/>
  <c r="N19" i="7"/>
  <c r="N25" i="7"/>
  <c r="N24" i="7"/>
  <c r="N89" i="10"/>
  <c r="N91" i="10"/>
  <c r="N90" i="10"/>
  <c r="L51" i="10"/>
  <c r="M8" i="9"/>
  <c r="M13" i="9" s="1" a="1"/>
  <c r="M13" i="9" s="1"/>
  <c r="N8" i="10"/>
  <c r="N73" i="10" s="1"/>
  <c r="N20" i="7" l="1"/>
  <c r="K48" i="9"/>
  <c r="K47" i="9"/>
  <c r="K46" i="9"/>
  <c r="K45" i="9"/>
  <c r="K44" i="9"/>
  <c r="K43" i="9"/>
  <c r="K42" i="9"/>
  <c r="K39" i="9"/>
  <c r="K38" i="9"/>
  <c r="K37" i="9"/>
  <c r="K36" i="9"/>
  <c r="K35" i="9"/>
  <c r="K34" i="9"/>
  <c r="K33" i="9"/>
  <c r="Z37" i="22"/>
  <c r="AG49" i="22"/>
  <c r="AG35" i="22" s="1"/>
  <c r="AI16" i="20" s="1"/>
  <c r="AI6" i="20"/>
  <c r="AP55" i="22"/>
  <c r="AB37" i="22"/>
  <c r="R42" i="7"/>
  <c r="R44" i="7"/>
  <c r="R38" i="7"/>
  <c r="R62" i="7"/>
  <c r="R57" i="7"/>
  <c r="R63" i="7"/>
  <c r="R36" i="7"/>
  <c r="R61" i="7"/>
  <c r="R37" i="7"/>
  <c r="N26" i="7"/>
  <c r="R56" i="7"/>
  <c r="R43" i="7"/>
  <c r="L52" i="7"/>
  <c r="L49" i="7"/>
  <c r="L51" i="7"/>
  <c r="L31" i="7"/>
  <c r="L50" i="7"/>
  <c r="L30" i="7"/>
  <c r="L32" i="7"/>
  <c r="L33" i="7"/>
  <c r="Y83" i="11"/>
  <c r="W67" i="11"/>
  <c r="S86" i="11"/>
  <c r="W111" i="11"/>
  <c r="Y101" i="11"/>
  <c r="U110" i="11"/>
  <c r="S128" i="11"/>
  <c r="Y75" i="11"/>
  <c r="W105" i="11"/>
  <c r="U81" i="11"/>
  <c r="S32" i="11"/>
  <c r="U129" i="11"/>
  <c r="AA101" i="11"/>
  <c r="S53" i="11"/>
  <c r="S110" i="11"/>
  <c r="U97" i="11"/>
  <c r="Y49" i="11"/>
  <c r="AA27" i="11"/>
  <c r="W76" i="11"/>
  <c r="U96" i="11"/>
  <c r="U23" i="11"/>
  <c r="W14" i="11"/>
  <c r="W72" i="11"/>
  <c r="W68" i="11"/>
  <c r="W35" i="11"/>
  <c r="U25" i="11"/>
  <c r="S103" i="11"/>
  <c r="W55" i="11"/>
  <c r="U71" i="11"/>
  <c r="Y24" i="11"/>
  <c r="U13" i="11"/>
  <c r="U93" i="11"/>
  <c r="W8" i="11"/>
  <c r="W130" i="11"/>
  <c r="W51" i="11"/>
  <c r="U29" i="11"/>
  <c r="Y69" i="11"/>
  <c r="S61" i="11"/>
  <c r="W120" i="11"/>
  <c r="AA66" i="11"/>
  <c r="U44" i="11"/>
  <c r="S47" i="11"/>
  <c r="U132" i="11"/>
  <c r="Y52" i="11"/>
  <c r="U30" i="11"/>
  <c r="AA21" i="11"/>
  <c r="Y99" i="11"/>
  <c r="Y107" i="11"/>
  <c r="AA106" i="11"/>
  <c r="Y19" i="11"/>
  <c r="Y119" i="11"/>
  <c r="W100" i="11"/>
  <c r="Y27" i="11"/>
  <c r="S132" i="11"/>
  <c r="AA40" i="11"/>
  <c r="U39" i="11"/>
  <c r="AA10" i="11"/>
  <c r="W52" i="11"/>
  <c r="AA56" i="11"/>
  <c r="AA35" i="11"/>
  <c r="U12" i="11"/>
  <c r="U52" i="11"/>
  <c r="Y76" i="11"/>
  <c r="W84" i="11"/>
  <c r="U48" i="11"/>
  <c r="W39" i="11"/>
  <c r="U123" i="11"/>
  <c r="AA31" i="11"/>
  <c r="W9" i="11"/>
  <c r="W118" i="11"/>
  <c r="U91" i="11"/>
  <c r="Y42" i="11"/>
  <c r="Y8" i="11"/>
  <c r="U87" i="11"/>
  <c r="AA78" i="11"/>
  <c r="U54" i="11"/>
  <c r="U32" i="11"/>
  <c r="W98" i="11"/>
  <c r="U77" i="11"/>
  <c r="U53" i="11"/>
  <c r="Y125" i="11"/>
  <c r="Y9" i="11"/>
  <c r="S88" i="11"/>
  <c r="U64" i="11"/>
  <c r="S30" i="11"/>
  <c r="Y71" i="11"/>
  <c r="S24" i="11"/>
  <c r="S121" i="11"/>
  <c r="Y93" i="11"/>
  <c r="AA8" i="11"/>
  <c r="AA130" i="11"/>
  <c r="S26" i="11"/>
  <c r="Y34" i="11"/>
  <c r="W112" i="11"/>
  <c r="AA115" i="11"/>
  <c r="AA25" i="11"/>
  <c r="Y104" i="11"/>
  <c r="U94" i="11"/>
  <c r="U85" i="11"/>
  <c r="U113" i="11"/>
  <c r="Y63" i="11"/>
  <c r="S83" i="11"/>
  <c r="U59" i="11"/>
  <c r="AA12" i="11"/>
  <c r="S91" i="11"/>
  <c r="Y122" i="11"/>
  <c r="U108" i="11"/>
  <c r="S37" i="11"/>
  <c r="U106" i="11"/>
  <c r="W83" i="11"/>
  <c r="Y59" i="11"/>
  <c r="W38" i="11"/>
  <c r="W91" i="11"/>
  <c r="S18" i="11"/>
  <c r="W127" i="11"/>
  <c r="W74" i="11"/>
  <c r="S78" i="11"/>
  <c r="Y72" i="11"/>
  <c r="Y56" i="11"/>
  <c r="Y35" i="11"/>
  <c r="S12" i="11"/>
  <c r="Y28" i="11"/>
  <c r="AA82" i="11"/>
  <c r="U33" i="11"/>
  <c r="AA116" i="11"/>
  <c r="Y102" i="11"/>
  <c r="W93" i="11"/>
  <c r="W69" i="11"/>
  <c r="W117" i="11"/>
  <c r="U120" i="11"/>
  <c r="W92" i="11"/>
  <c r="S70" i="11"/>
  <c r="AA47" i="11"/>
  <c r="Y118" i="11"/>
  <c r="W104" i="11"/>
  <c r="AA55" i="11"/>
  <c r="AA97" i="11"/>
  <c r="AA60" i="11"/>
  <c r="Y13" i="11"/>
  <c r="W30" i="11"/>
  <c r="AA46" i="11"/>
  <c r="W113" i="11"/>
  <c r="AA51" i="11"/>
  <c r="S43" i="11"/>
  <c r="S20" i="11"/>
  <c r="S117" i="11"/>
  <c r="Y62" i="11"/>
  <c r="Y103" i="11"/>
  <c r="U125" i="11"/>
  <c r="AA114" i="11"/>
  <c r="Y37" i="11"/>
  <c r="AA89" i="11"/>
  <c r="S126" i="11"/>
  <c r="W86" i="11"/>
  <c r="S38" i="11"/>
  <c r="S122" i="11"/>
  <c r="Y106" i="11"/>
  <c r="U112" i="11"/>
  <c r="Y94" i="11"/>
  <c r="S80" i="11"/>
  <c r="W62" i="11"/>
  <c r="AA72" i="11"/>
  <c r="W126" i="11"/>
  <c r="AA86" i="11"/>
  <c r="Y77" i="11"/>
  <c r="W122" i="11"/>
  <c r="AA42" i="11"/>
  <c r="W33" i="11"/>
  <c r="S116" i="11"/>
  <c r="AA102" i="11"/>
  <c r="U16" i="11"/>
  <c r="U95" i="11"/>
  <c r="W59" i="11"/>
  <c r="U50" i="11"/>
  <c r="W53" i="11"/>
  <c r="W110" i="11"/>
  <c r="S58" i="11"/>
  <c r="AA24" i="11"/>
  <c r="Y105" i="11"/>
  <c r="W124" i="11"/>
  <c r="Y96" i="11"/>
  <c r="Y23" i="11"/>
  <c r="AA14" i="11"/>
  <c r="W123" i="11"/>
  <c r="S44" i="11"/>
  <c r="U74" i="11"/>
  <c r="S130" i="11"/>
  <c r="Y22" i="11"/>
  <c r="U84" i="11"/>
  <c r="U89" i="11"/>
  <c r="W16" i="11"/>
  <c r="Y20" i="11"/>
  <c r="AA129" i="11"/>
  <c r="W101" i="11"/>
  <c r="W15" i="11"/>
  <c r="Y67" i="11"/>
  <c r="U58" i="11"/>
  <c r="S11" i="11"/>
  <c r="AA133" i="11"/>
  <c r="W54" i="11"/>
  <c r="U126" i="11"/>
  <c r="Y98" i="11"/>
  <c r="W77" i="11"/>
  <c r="Y80" i="11"/>
  <c r="U70" i="11"/>
  <c r="Y97" i="11"/>
  <c r="S49" i="11"/>
  <c r="Y41" i="11"/>
  <c r="AA76" i="11"/>
  <c r="Y127" i="11"/>
  <c r="W48" i="11"/>
  <c r="Y51" i="11"/>
  <c r="W34" i="11"/>
  <c r="AA68" i="11"/>
  <c r="AA98" i="11"/>
  <c r="W50" i="11"/>
  <c r="AA28" i="11"/>
  <c r="S125" i="11"/>
  <c r="U47" i="11"/>
  <c r="S118" i="11"/>
  <c r="S79" i="11"/>
  <c r="W94" i="11"/>
  <c r="S114" i="11"/>
  <c r="U60" i="11"/>
  <c r="W121" i="11"/>
  <c r="S93" i="11"/>
  <c r="S69" i="11"/>
  <c r="W61" i="11"/>
  <c r="AA131" i="11"/>
  <c r="U66" i="11"/>
  <c r="Y44" i="11"/>
  <c r="U22" i="11"/>
  <c r="Y100" i="11"/>
  <c r="AA13" i="11"/>
  <c r="U43" i="11"/>
  <c r="W57" i="11"/>
  <c r="U10" i="11"/>
  <c r="S101" i="11"/>
  <c r="U40" i="11"/>
  <c r="W17" i="11"/>
  <c r="AA109" i="11"/>
  <c r="Y85" i="11"/>
  <c r="S84" i="11"/>
  <c r="AA100" i="11"/>
  <c r="AA16" i="11"/>
  <c r="W119" i="11"/>
  <c r="AA105" i="11"/>
  <c r="W82" i="11"/>
  <c r="AA74" i="11"/>
  <c r="S72" i="11"/>
  <c r="U127" i="11"/>
  <c r="AA77" i="11"/>
  <c r="U82" i="11"/>
  <c r="Y87" i="11"/>
  <c r="S104" i="11"/>
  <c r="S96" i="11"/>
  <c r="Y25" i="11"/>
  <c r="AA34" i="11"/>
  <c r="S9" i="11"/>
  <c r="W90" i="11"/>
  <c r="U55" i="11"/>
  <c r="W115" i="11"/>
  <c r="S89" i="11"/>
  <c r="AA94" i="11"/>
  <c r="U36" i="11"/>
  <c r="W89" i="11"/>
  <c r="AA19" i="11"/>
  <c r="W10" i="11"/>
  <c r="U133" i="11"/>
  <c r="Y108" i="11"/>
  <c r="Y114" i="11"/>
  <c r="W107" i="11"/>
  <c r="AA33" i="11"/>
  <c r="U68" i="11"/>
  <c r="W21" i="11"/>
  <c r="Y66" i="11"/>
  <c r="AA43" i="11"/>
  <c r="S36" i="11"/>
  <c r="S127" i="11"/>
  <c r="W131" i="11"/>
  <c r="S54" i="11"/>
  <c r="U35" i="11"/>
  <c r="W27" i="11"/>
  <c r="AA70" i="11"/>
  <c r="W116" i="11"/>
  <c r="Y29" i="11"/>
  <c r="U128" i="11"/>
  <c r="AA120" i="11"/>
  <c r="AA110" i="11"/>
  <c r="U116" i="11"/>
  <c r="W28" i="11"/>
  <c r="U8" i="11"/>
  <c r="S90" i="11"/>
  <c r="AA29" i="11"/>
  <c r="W73" i="11"/>
  <c r="S120" i="11"/>
  <c r="W125" i="11"/>
  <c r="Y117" i="11"/>
  <c r="S13" i="11"/>
  <c r="AA125" i="11"/>
  <c r="U99" i="11"/>
  <c r="AA121" i="11"/>
  <c r="U83" i="11"/>
  <c r="Y36" i="11"/>
  <c r="S52" i="11"/>
  <c r="AA17" i="11"/>
  <c r="S22" i="11"/>
  <c r="Y39" i="11"/>
  <c r="U80" i="11"/>
  <c r="U76" i="11"/>
  <c r="AA132" i="11"/>
  <c r="S111" i="11"/>
  <c r="S15" i="11"/>
  <c r="AA57" i="11"/>
  <c r="Y14" i="11"/>
  <c r="Y123" i="11"/>
  <c r="AA49" i="11"/>
  <c r="Y55" i="11"/>
  <c r="W81" i="11"/>
  <c r="Y30" i="11"/>
  <c r="U21" i="11"/>
  <c r="W60" i="11"/>
  <c r="S21" i="11"/>
  <c r="U14" i="11"/>
  <c r="W108" i="11"/>
  <c r="S59" i="11"/>
  <c r="Y64" i="11"/>
  <c r="W32" i="11"/>
  <c r="W11" i="11"/>
  <c r="AA54" i="11"/>
  <c r="AA9" i="11"/>
  <c r="U51" i="11"/>
  <c r="Y70" i="11"/>
  <c r="U24" i="11"/>
  <c r="W29" i="11"/>
  <c r="S33" i="11"/>
  <c r="Y120" i="11"/>
  <c r="Y65" i="11"/>
  <c r="S115" i="11"/>
  <c r="Y26" i="11"/>
  <c r="S19" i="11"/>
  <c r="AA36" i="11"/>
  <c r="U41" i="11"/>
  <c r="W19" i="11"/>
  <c r="U130" i="11"/>
  <c r="W13" i="11"/>
  <c r="AA112" i="11"/>
  <c r="AA61" i="11"/>
  <c r="U79" i="11"/>
  <c r="S42" i="11"/>
  <c r="W129" i="11"/>
  <c r="W63" i="11"/>
  <c r="AA39" i="11"/>
  <c r="S23" i="11"/>
  <c r="AA45" i="11"/>
  <c r="S34" i="11"/>
  <c r="U11" i="11"/>
  <c r="U19" i="11"/>
  <c r="U42" i="11"/>
  <c r="S55" i="11"/>
  <c r="AA123" i="11"/>
  <c r="AA73" i="11"/>
  <c r="S67" i="11"/>
  <c r="Y15" i="11"/>
  <c r="Y115" i="11"/>
  <c r="Y133" i="11"/>
  <c r="AA58" i="11"/>
  <c r="S39" i="11"/>
  <c r="Y110" i="11"/>
  <c r="U98" i="11"/>
  <c r="AA91" i="11"/>
  <c r="Y57" i="11"/>
  <c r="W75" i="11"/>
  <c r="S81" i="11"/>
  <c r="S35" i="11"/>
  <c r="W64" i="11"/>
  <c r="Y31" i="11"/>
  <c r="W49" i="11"/>
  <c r="Y54" i="11"/>
  <c r="W97" i="11"/>
  <c r="U26" i="11"/>
  <c r="U124" i="11"/>
  <c r="U117" i="11"/>
  <c r="Y89" i="11"/>
  <c r="AA44" i="11"/>
  <c r="AA87" i="11"/>
  <c r="W79" i="11"/>
  <c r="AA83" i="11"/>
  <c r="AA113" i="11"/>
  <c r="AA79" i="11"/>
  <c r="W20" i="11"/>
  <c r="Y130" i="11"/>
  <c r="U122" i="11"/>
  <c r="AA67" i="11"/>
  <c r="W36" i="11"/>
  <c r="S102" i="11"/>
  <c r="U65" i="11"/>
  <c r="AA11" i="11"/>
  <c r="Y43" i="11"/>
  <c r="W85" i="11"/>
  <c r="AA63" i="11"/>
  <c r="W70" i="11"/>
  <c r="S10" i="11"/>
  <c r="AA96" i="11"/>
  <c r="U101" i="11"/>
  <c r="S124" i="11"/>
  <c r="Y91" i="11"/>
  <c r="S95" i="11"/>
  <c r="AA93" i="11"/>
  <c r="S51" i="11"/>
  <c r="W23" i="11"/>
  <c r="Y68" i="11"/>
  <c r="U104" i="11"/>
  <c r="U37" i="11"/>
  <c r="Y45" i="11"/>
  <c r="U15" i="11"/>
  <c r="Y74" i="11"/>
  <c r="S56" i="11"/>
  <c r="AA122" i="11"/>
  <c r="U73" i="11"/>
  <c r="Y88" i="11"/>
  <c r="S73" i="11"/>
  <c r="S82" i="11"/>
  <c r="AA41" i="11"/>
  <c r="W24" i="11"/>
  <c r="U45" i="11"/>
  <c r="S40" i="11"/>
  <c r="S60" i="11"/>
  <c r="S94" i="11"/>
  <c r="S133" i="11"/>
  <c r="W44" i="11"/>
  <c r="S112" i="11"/>
  <c r="U103" i="11"/>
  <c r="Y111" i="11"/>
  <c r="W106" i="11"/>
  <c r="Y132" i="11"/>
  <c r="W56" i="11"/>
  <c r="AA52" i="11"/>
  <c r="S100" i="11"/>
  <c r="S63" i="11"/>
  <c r="Y10" i="11"/>
  <c r="U56" i="11"/>
  <c r="U31" i="11"/>
  <c r="AA53" i="11"/>
  <c r="S50" i="11"/>
  <c r="W87" i="11"/>
  <c r="Y40" i="11"/>
  <c r="W109" i="11"/>
  <c r="Y16" i="11"/>
  <c r="W128" i="11"/>
  <c r="S57" i="11"/>
  <c r="AA69" i="11"/>
  <c r="AA107" i="11"/>
  <c r="AA26" i="11"/>
  <c r="U114" i="11"/>
  <c r="U119" i="11"/>
  <c r="Y38" i="11"/>
  <c r="AA81" i="11"/>
  <c r="S119" i="11"/>
  <c r="W102" i="11"/>
  <c r="W31" i="11"/>
  <c r="U49" i="11"/>
  <c r="AA15" i="11"/>
  <c r="AA127" i="11"/>
  <c r="S14" i="11"/>
  <c r="AA18" i="11"/>
  <c r="S98" i="11"/>
  <c r="S28" i="11"/>
  <c r="S8" i="11"/>
  <c r="U118" i="11"/>
  <c r="AA124" i="11"/>
  <c r="AA117" i="11"/>
  <c r="Y78" i="11"/>
  <c r="Y61" i="11"/>
  <c r="AA104" i="11"/>
  <c r="AA88" i="11"/>
  <c r="Y60" i="11"/>
  <c r="AA84" i="11"/>
  <c r="W40" i="11"/>
  <c r="W99" i="11"/>
  <c r="S108" i="11"/>
  <c r="W133" i="11"/>
  <c r="S75" i="11"/>
  <c r="S129" i="11"/>
  <c r="Y33" i="11"/>
  <c r="Y121" i="11"/>
  <c r="AA103" i="11"/>
  <c r="U88" i="11"/>
  <c r="U20" i="11"/>
  <c r="S45" i="11"/>
  <c r="Y48" i="11"/>
  <c r="Y73" i="11"/>
  <c r="AA50" i="11"/>
  <c r="U63" i="11"/>
  <c r="S131" i="11"/>
  <c r="Y79" i="11"/>
  <c r="AA20" i="11"/>
  <c r="U17" i="11"/>
  <c r="AA48" i="11"/>
  <c r="S27" i="11"/>
  <c r="AA95" i="11"/>
  <c r="U100" i="11"/>
  <c r="Y81" i="11"/>
  <c r="Y58" i="11"/>
  <c r="W78" i="11"/>
  <c r="S68" i="11"/>
  <c r="S48" i="11"/>
  <c r="S92" i="11"/>
  <c r="AA71" i="11"/>
  <c r="U78" i="11"/>
  <c r="Y18" i="11"/>
  <c r="U61" i="11"/>
  <c r="W41" i="11"/>
  <c r="Y112" i="11"/>
  <c r="S113" i="11"/>
  <c r="U28" i="11"/>
  <c r="U111" i="11"/>
  <c r="Y109" i="11"/>
  <c r="Y92" i="11"/>
  <c r="U46" i="11"/>
  <c r="S109" i="11"/>
  <c r="W43" i="11"/>
  <c r="Y46" i="11"/>
  <c r="U38" i="11"/>
  <c r="Y84" i="11"/>
  <c r="W37" i="11"/>
  <c r="W80" i="11"/>
  <c r="AA65" i="11"/>
  <c r="AA111" i="11"/>
  <c r="Y131" i="11"/>
  <c r="AA59" i="11"/>
  <c r="S46" i="11"/>
  <c r="W42" i="11"/>
  <c r="S74" i="11"/>
  <c r="Y53" i="11"/>
  <c r="AA126" i="11"/>
  <c r="Y12" i="11"/>
  <c r="Y124" i="11"/>
  <c r="AA128" i="11"/>
  <c r="U102" i="11"/>
  <c r="Y95" i="11"/>
  <c r="AA75" i="11"/>
  <c r="S123" i="11"/>
  <c r="S97" i="11"/>
  <c r="U121" i="11"/>
  <c r="Y82" i="11"/>
  <c r="S87" i="11"/>
  <c r="W103" i="11"/>
  <c r="W45" i="11"/>
  <c r="W88" i="11"/>
  <c r="W66" i="11"/>
  <c r="S71" i="11"/>
  <c r="W25" i="11"/>
  <c r="W65" i="11"/>
  <c r="W71" i="11"/>
  <c r="U90" i="11"/>
  <c r="AA119" i="11"/>
  <c r="S62" i="11"/>
  <c r="U75" i="11"/>
  <c r="S99" i="11"/>
  <c r="S31" i="11"/>
  <c r="Y11" i="11"/>
  <c r="S106" i="11"/>
  <c r="AA85" i="11"/>
  <c r="S77" i="11"/>
  <c r="W18" i="11"/>
  <c r="AA23" i="11"/>
  <c r="S64" i="11"/>
  <c r="AA32" i="11"/>
  <c r="W12" i="11"/>
  <c r="U18" i="11"/>
  <c r="U9" i="11"/>
  <c r="S41" i="11"/>
  <c r="Y32" i="11"/>
  <c r="Y113" i="11"/>
  <c r="W96" i="11"/>
  <c r="S25" i="11"/>
  <c r="U34" i="11"/>
  <c r="Y47" i="11"/>
  <c r="AA30" i="11"/>
  <c r="W26" i="11"/>
  <c r="Y86" i="11"/>
  <c r="S16" i="11"/>
  <c r="AA62" i="11"/>
  <c r="U72" i="11"/>
  <c r="AA64" i="11"/>
  <c r="S65" i="11"/>
  <c r="U115" i="11"/>
  <c r="S107" i="11"/>
  <c r="U27" i="11"/>
  <c r="U67" i="11"/>
  <c r="AA99" i="11"/>
  <c r="AA80" i="11"/>
  <c r="U57" i="11"/>
  <c r="AA38" i="11"/>
  <c r="S76" i="11"/>
  <c r="Y129" i="11"/>
  <c r="U105" i="11"/>
  <c r="Y126" i="11"/>
  <c r="AA118" i="11"/>
  <c r="S29" i="11"/>
  <c r="Y128" i="11"/>
  <c r="S105" i="11"/>
  <c r="W95" i="11"/>
  <c r="Y116" i="11"/>
  <c r="S66" i="11"/>
  <c r="U69" i="11"/>
  <c r="U109" i="11"/>
  <c r="U92" i="11"/>
  <c r="W22" i="11"/>
  <c r="U62" i="11"/>
  <c r="Y17" i="11"/>
  <c r="W114" i="11"/>
  <c r="U107" i="11"/>
  <c r="AA108" i="11"/>
  <c r="W47" i="11"/>
  <c r="Y90" i="11"/>
  <c r="Y21" i="11"/>
  <c r="W132" i="11"/>
  <c r="AA92" i="11"/>
  <c r="AA90" i="11"/>
  <c r="AA22" i="11"/>
  <c r="S17" i="11"/>
  <c r="U131" i="11"/>
  <c r="W58" i="11"/>
  <c r="AA37" i="11"/>
  <c r="Y50" i="11"/>
  <c r="W46" i="11"/>
  <c r="U86" i="11"/>
  <c r="S85" i="11"/>
  <c r="T7" i="7"/>
  <c r="R31" i="22"/>
  <c r="P40" i="7"/>
  <c r="L12" i="7"/>
  <c r="L13" i="7"/>
  <c r="L11" i="7"/>
  <c r="P11" i="22"/>
  <c r="L14" i="7"/>
  <c r="N85" i="10"/>
  <c r="N83" i="10"/>
  <c r="N79" i="10"/>
  <c r="N78" i="10"/>
  <c r="N77" i="10"/>
  <c r="R20" i="22"/>
  <c r="R13" i="22"/>
  <c r="P13" i="22"/>
  <c r="R11" i="22"/>
  <c r="R10" i="22"/>
  <c r="P10" i="22"/>
  <c r="U18" i="20"/>
  <c r="V18" i="20" s="1"/>
  <c r="AE25" i="20"/>
  <c r="AJ25" i="20" s="1"/>
  <c r="AI7" i="20"/>
  <c r="AL7" i="20" s="1"/>
  <c r="AK5" i="20"/>
  <c r="AK6" i="20"/>
  <c r="AK3" i="20"/>
  <c r="AK4" i="20"/>
  <c r="P20" i="22"/>
  <c r="T25" i="22"/>
  <c r="T26" i="22" s="1"/>
  <c r="T10" i="22" s="1"/>
  <c r="T19" i="22"/>
  <c r="V8" i="22"/>
  <c r="AB38" i="22"/>
  <c r="H38" i="22"/>
  <c r="AG43" i="22"/>
  <c r="Z38" i="22"/>
  <c r="H32" i="22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7" i="9"/>
  <c r="N71" i="10"/>
  <c r="N62" i="10"/>
  <c r="N59" i="10"/>
  <c r="N60" i="10"/>
  <c r="N61" i="10"/>
  <c r="L98" i="10"/>
  <c r="N67" i="10"/>
  <c r="N65" i="10"/>
  <c r="N66" i="10"/>
  <c r="N72" i="10"/>
  <c r="L75" i="10"/>
  <c r="L15" i="7"/>
  <c r="N92" i="10"/>
  <c r="N93" i="10" s="1"/>
  <c r="P25" i="7"/>
  <c r="P7" i="10"/>
  <c r="O7" i="9"/>
  <c r="R58" i="7" l="1"/>
  <c r="R59" i="7" s="1"/>
  <c r="R39" i="7"/>
  <c r="AG33" i="22"/>
  <c r="AG34" i="22"/>
  <c r="AI15" i="20" s="1"/>
  <c r="AG36" i="22"/>
  <c r="AI17" i="20" s="1"/>
  <c r="R45" i="7"/>
  <c r="R46" i="7" s="1"/>
  <c r="R64" i="7"/>
  <c r="L53" i="7"/>
  <c r="L34" i="7"/>
  <c r="T8" i="7"/>
  <c r="T56" i="7" s="1"/>
  <c r="T30" i="22"/>
  <c r="T13" i="22"/>
  <c r="P14" i="22"/>
  <c r="N86" i="10"/>
  <c r="N87" i="10" s="1"/>
  <c r="T12" i="22"/>
  <c r="T11" i="22"/>
  <c r="R14" i="22"/>
  <c r="U19" i="20"/>
  <c r="V19" i="20" s="1"/>
  <c r="AN4" i="20"/>
  <c r="AN3" i="20"/>
  <c r="V18" i="22"/>
  <c r="V17" i="22"/>
  <c r="V23" i="22"/>
  <c r="V22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30" i="9" a="1"/>
  <c r="O30" i="9" s="1"/>
  <c r="O29" i="9" a="1"/>
  <c r="O29" i="9" s="1"/>
  <c r="O28" i="9" a="1"/>
  <c r="O28" i="9" s="1"/>
  <c r="N39" i="10"/>
  <c r="N45" i="10"/>
  <c r="N27" i="7"/>
  <c r="P18" i="7"/>
  <c r="P24" i="7"/>
  <c r="P89" i="10"/>
  <c r="P90" i="10"/>
  <c r="P91" i="10"/>
  <c r="P17" i="7"/>
  <c r="N65" i="7"/>
  <c r="P23" i="7"/>
  <c r="N51" i="10"/>
  <c r="P19" i="7"/>
  <c r="O8" i="9"/>
  <c r="O27" i="9" s="1"/>
  <c r="P8" i="10"/>
  <c r="P66" i="10" s="1"/>
  <c r="P26" i="7" l="1"/>
  <c r="M44" i="9"/>
  <c r="M43" i="9"/>
  <c r="M42" i="9"/>
  <c r="M48" i="9"/>
  <c r="M47" i="9"/>
  <c r="M46" i="9"/>
  <c r="M45" i="9"/>
  <c r="M35" i="9"/>
  <c r="M34" i="9"/>
  <c r="M33" i="9"/>
  <c r="M39" i="9"/>
  <c r="M38" i="9"/>
  <c r="M37" i="9"/>
  <c r="M36" i="9"/>
  <c r="P20" i="7"/>
  <c r="AG37" i="22"/>
  <c r="AI14" i="20"/>
  <c r="T63" i="7"/>
  <c r="T36" i="7"/>
  <c r="T38" i="7"/>
  <c r="T44" i="7"/>
  <c r="T55" i="7"/>
  <c r="T61" i="7"/>
  <c r="T42" i="7"/>
  <c r="T43" i="7"/>
  <c r="T57" i="7"/>
  <c r="T37" i="7"/>
  <c r="T62" i="7"/>
  <c r="N32" i="7"/>
  <c r="N52" i="7"/>
  <c r="N51" i="7"/>
  <c r="N50" i="7"/>
  <c r="N31" i="7"/>
  <c r="N49" i="7"/>
  <c r="N30" i="7"/>
  <c r="N33" i="7"/>
  <c r="V7" i="7"/>
  <c r="T31" i="22"/>
  <c r="R40" i="7"/>
  <c r="T14" i="22"/>
  <c r="N13" i="7"/>
  <c r="N12" i="7"/>
  <c r="N11" i="7"/>
  <c r="N14" i="7"/>
  <c r="P77" i="10"/>
  <c r="P85" i="10"/>
  <c r="P83" i="10"/>
  <c r="P78" i="10"/>
  <c r="P84" i="10"/>
  <c r="U20" i="20"/>
  <c r="V20" i="20" s="1"/>
  <c r="X8" i="22"/>
  <c r="V19" i="22"/>
  <c r="V25" i="22"/>
  <c r="V26" i="22" s="1"/>
  <c r="V10" i="22" s="1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79" i="10"/>
  <c r="P67" i="10"/>
  <c r="P71" i="10"/>
  <c r="P72" i="10"/>
  <c r="P65" i="10"/>
  <c r="P73" i="10"/>
  <c r="N15" i="7"/>
  <c r="P92" i="10"/>
  <c r="P93" i="10" s="1"/>
  <c r="R17" i="7"/>
  <c r="R7" i="10"/>
  <c r="Q7" i="9"/>
  <c r="T64" i="7" l="1"/>
  <c r="T58" i="7"/>
  <c r="T59" i="7" s="1"/>
  <c r="T39" i="7"/>
  <c r="T40" i="7" s="1"/>
  <c r="AI19" i="20"/>
  <c r="AK14" i="20"/>
  <c r="AK16" i="20"/>
  <c r="AE26" i="20"/>
  <c r="AJ26" i="20" s="1"/>
  <c r="AI18" i="20"/>
  <c r="AL19" i="20" s="1"/>
  <c r="AK15" i="20"/>
  <c r="AK17" i="20"/>
  <c r="T45" i="7"/>
  <c r="T46" i="7" s="1"/>
  <c r="N53" i="7"/>
  <c r="V8" i="7"/>
  <c r="V42" i="7" s="1"/>
  <c r="V30" i="22"/>
  <c r="N34" i="7"/>
  <c r="V13" i="22"/>
  <c r="R77" i="10"/>
  <c r="P86" i="10"/>
  <c r="P87" i="10" s="1"/>
  <c r="P80" i="10"/>
  <c r="P81" i="10" s="1"/>
  <c r="V12" i="22"/>
  <c r="V11" i="22"/>
  <c r="U21" i="20"/>
  <c r="V21" i="20" s="1"/>
  <c r="X22" i="22"/>
  <c r="X17" i="22"/>
  <c r="X16" i="22"/>
  <c r="X18" i="22"/>
  <c r="V20" i="22"/>
  <c r="X24" i="22"/>
  <c r="Z7" i="22"/>
  <c r="X23" i="22"/>
  <c r="P68" i="10"/>
  <c r="P69" i="10" s="1"/>
  <c r="P74" i="10"/>
  <c r="P75" i="10" s="1"/>
  <c r="P63" i="10"/>
  <c r="P27" i="7"/>
  <c r="P14" i="7" s="1"/>
  <c r="R23" i="7"/>
  <c r="P65" i="7"/>
  <c r="R19" i="7"/>
  <c r="P21" i="7"/>
  <c r="R25" i="7"/>
  <c r="R18" i="7"/>
  <c r="R24" i="7"/>
  <c r="R89" i="10"/>
  <c r="P45" i="10"/>
  <c r="P39" i="10"/>
  <c r="R90" i="10"/>
  <c r="P51" i="10"/>
  <c r="R91" i="10"/>
  <c r="R8" i="10"/>
  <c r="R62" i="10" s="1"/>
  <c r="Q8" i="9"/>
  <c r="Q11" i="9" s="1" a="1"/>
  <c r="Q11" i="9" s="1"/>
  <c r="R20" i="7" l="1"/>
  <c r="O48" i="9"/>
  <c r="O47" i="9"/>
  <c r="O46" i="9"/>
  <c r="O45" i="9"/>
  <c r="O44" i="9"/>
  <c r="O43" i="9"/>
  <c r="O42" i="9"/>
  <c r="O39" i="9"/>
  <c r="O38" i="9"/>
  <c r="O37" i="9"/>
  <c r="O36" i="9"/>
  <c r="O35" i="9"/>
  <c r="O34" i="9"/>
  <c r="O33" i="9"/>
  <c r="AN15" i="20"/>
  <c r="AN14" i="20"/>
  <c r="R26" i="7"/>
  <c r="V56" i="7"/>
  <c r="V36" i="7"/>
  <c r="V44" i="7"/>
  <c r="V57" i="7"/>
  <c r="V63" i="7"/>
  <c r="V37" i="7"/>
  <c r="V55" i="7"/>
  <c r="V61" i="7"/>
  <c r="V38" i="7"/>
  <c r="V43" i="7"/>
  <c r="V62" i="7"/>
  <c r="P31" i="7"/>
  <c r="P50" i="7"/>
  <c r="P51" i="7"/>
  <c r="P49" i="7"/>
  <c r="P52" i="7"/>
  <c r="P30" i="7"/>
  <c r="P32" i="7"/>
  <c r="P33" i="7"/>
  <c r="X7" i="7"/>
  <c r="V31" i="22"/>
  <c r="V14" i="22"/>
  <c r="P13" i="7"/>
  <c r="P12" i="7"/>
  <c r="P11" i="7"/>
  <c r="R84" i="10"/>
  <c r="R85" i="10"/>
  <c r="R83" i="10"/>
  <c r="R78" i="10"/>
  <c r="R79" i="10"/>
  <c r="U22" i="20"/>
  <c r="V22" i="20" s="1"/>
  <c r="X19" i="22"/>
  <c r="Z8" i="22"/>
  <c r="X25" i="22"/>
  <c r="Q14" i="9"/>
  <c r="Q13" i="9" a="1"/>
  <c r="Q13" i="9" s="1"/>
  <c r="Q12" i="9" a="1"/>
  <c r="Q12" i="9" s="1"/>
  <c r="Q27" i="9"/>
  <c r="Q28" i="9" a="1"/>
  <c r="Q28" i="9" s="1"/>
  <c r="Q30" i="9" a="1"/>
  <c r="Q30" i="9" s="1"/>
  <c r="R59" i="10"/>
  <c r="R60" i="10"/>
  <c r="R61" i="10"/>
  <c r="P98" i="10"/>
  <c r="R65" i="10"/>
  <c r="R66" i="10"/>
  <c r="R67" i="10"/>
  <c r="R71" i="10"/>
  <c r="R72" i="10"/>
  <c r="R73" i="10"/>
  <c r="Q29" i="9" a="1"/>
  <c r="Q29" i="9" s="1"/>
  <c r="R92" i="10"/>
  <c r="R93" i="10" s="1"/>
  <c r="P15" i="7"/>
  <c r="T7" i="10"/>
  <c r="S7" i="9"/>
  <c r="V39" i="7" l="1"/>
  <c r="V40" i="7" s="1"/>
  <c r="V58" i="7"/>
  <c r="V59" i="7" s="1"/>
  <c r="V64" i="7"/>
  <c r="V45" i="7"/>
  <c r="V46" i="7" s="1"/>
  <c r="P53" i="7"/>
  <c r="X8" i="7"/>
  <c r="X57" i="7" s="1"/>
  <c r="X30" i="22"/>
  <c r="P34" i="7"/>
  <c r="T85" i="10"/>
  <c r="R86" i="10"/>
  <c r="R87" i="10" s="1"/>
  <c r="U23" i="20"/>
  <c r="V23" i="20" s="1"/>
  <c r="AB7" i="22"/>
  <c r="AB8" i="22" s="1"/>
  <c r="AB16" i="22" s="1"/>
  <c r="Z17" i="22"/>
  <c r="Z24" i="22"/>
  <c r="Z22" i="22"/>
  <c r="Z18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30" i="9" a="1"/>
  <c r="S30" i="9" s="1"/>
  <c r="S28" i="9" a="1"/>
  <c r="S28" i="9" s="1"/>
  <c r="S29" i="9" a="1"/>
  <c r="S29" i="9" s="1"/>
  <c r="T17" i="7"/>
  <c r="R65" i="7"/>
  <c r="T23" i="7"/>
  <c r="T24" i="7"/>
  <c r="T19" i="7"/>
  <c r="T25" i="7"/>
  <c r="T91" i="10"/>
  <c r="R39" i="10"/>
  <c r="R45" i="10"/>
  <c r="T89" i="10"/>
  <c r="R27" i="7"/>
  <c r="R51" i="10"/>
  <c r="T90" i="10"/>
  <c r="T18" i="7"/>
  <c r="S8" i="9"/>
  <c r="S13" i="9" s="1" a="1"/>
  <c r="S13" i="9" s="1"/>
  <c r="T8" i="10"/>
  <c r="T61" i="10" s="1"/>
  <c r="Q42" i="9" l="1"/>
  <c r="Q48" i="9"/>
  <c r="Q47" i="9"/>
  <c r="Q46" i="9"/>
  <c r="Q45" i="9"/>
  <c r="Q44" i="9"/>
  <c r="Q43" i="9"/>
  <c r="Q33" i="9"/>
  <c r="Q39" i="9"/>
  <c r="Q38" i="9"/>
  <c r="Q37" i="9"/>
  <c r="Q36" i="9"/>
  <c r="Q35" i="9"/>
  <c r="Q34" i="9"/>
  <c r="X55" i="7"/>
  <c r="X61" i="7"/>
  <c r="T26" i="7"/>
  <c r="X56" i="7"/>
  <c r="X62" i="7"/>
  <c r="X63" i="7"/>
  <c r="X37" i="7"/>
  <c r="X38" i="7"/>
  <c r="X42" i="7"/>
  <c r="X36" i="7"/>
  <c r="X43" i="7"/>
  <c r="T20" i="7"/>
  <c r="X44" i="7"/>
  <c r="R49" i="7"/>
  <c r="R50" i="7"/>
  <c r="R30" i="7"/>
  <c r="R51" i="7"/>
  <c r="R52" i="7"/>
  <c r="R31" i="7"/>
  <c r="R32" i="7"/>
  <c r="R33" i="7"/>
  <c r="Z7" i="7"/>
  <c r="X31" i="22"/>
  <c r="R11" i="7"/>
  <c r="R12" i="7"/>
  <c r="R13" i="7"/>
  <c r="R14" i="7"/>
  <c r="T83" i="10"/>
  <c r="T78" i="10"/>
  <c r="T84" i="10"/>
  <c r="T79" i="10"/>
  <c r="T77" i="10"/>
  <c r="X12" i="22"/>
  <c r="X10" i="22"/>
  <c r="X11" i="22"/>
  <c r="X13" i="22"/>
  <c r="U24" i="20"/>
  <c r="V24" i="20" s="1"/>
  <c r="Z25" i="22"/>
  <c r="Z26" i="22" s="1"/>
  <c r="Z12" i="22" s="1"/>
  <c r="AB22" i="22"/>
  <c r="Z19" i="22"/>
  <c r="AB23" i="22"/>
  <c r="AB18" i="22"/>
  <c r="AB17" i="22"/>
  <c r="AB24" i="22"/>
  <c r="AD7" i="22"/>
  <c r="S12" i="9" a="1"/>
  <c r="S12" i="9" s="1"/>
  <c r="S14" i="9"/>
  <c r="S11" i="9" a="1"/>
  <c r="S11" i="9" s="1"/>
  <c r="S27" i="9"/>
  <c r="T62" i="10"/>
  <c r="T59" i="10"/>
  <c r="T60" i="10"/>
  <c r="R98" i="10"/>
  <c r="T72" i="10"/>
  <c r="T71" i="10"/>
  <c r="T65" i="10"/>
  <c r="T66" i="10"/>
  <c r="T67" i="10"/>
  <c r="T73" i="10"/>
  <c r="T92" i="10"/>
  <c r="T93" i="10" s="1"/>
  <c r="R15" i="7"/>
  <c r="V7" i="10"/>
  <c r="U7" i="9"/>
  <c r="X58" i="7" l="1"/>
  <c r="X59" i="7" s="1"/>
  <c r="X45" i="7"/>
  <c r="X46" i="7" s="1"/>
  <c r="X64" i="7"/>
  <c r="X39" i="7"/>
  <c r="X40" i="7" s="1"/>
  <c r="Z8" i="7"/>
  <c r="Z37" i="7" s="1"/>
  <c r="Z30" i="22"/>
  <c r="R34" i="7"/>
  <c r="R53" i="7"/>
  <c r="Z13" i="22"/>
  <c r="T80" i="10"/>
  <c r="T81" i="10" s="1"/>
  <c r="T86" i="10"/>
  <c r="T87" i="10" s="1"/>
  <c r="Z10" i="22"/>
  <c r="Z11" i="22"/>
  <c r="X14" i="22"/>
  <c r="U25" i="20"/>
  <c r="V25" i="20" s="1"/>
  <c r="AB19" i="22"/>
  <c r="AD8" i="22"/>
  <c r="Z20" i="22"/>
  <c r="AB25" i="22"/>
  <c r="T74" i="10"/>
  <c r="T75" i="10" s="1"/>
  <c r="T68" i="10"/>
  <c r="T69" i="10" s="1"/>
  <c r="T63" i="10"/>
  <c r="U30" i="9" a="1"/>
  <c r="U30" i="9" s="1"/>
  <c r="U29" i="9" a="1"/>
  <c r="U29" i="9" s="1"/>
  <c r="U28" i="9" a="1"/>
  <c r="U28" i="9" s="1"/>
  <c r="T27" i="7"/>
  <c r="T14" i="7" s="1"/>
  <c r="T21" i="7"/>
  <c r="V89" i="10"/>
  <c r="V90" i="10"/>
  <c r="T51" i="10"/>
  <c r="V91" i="10"/>
  <c r="V17" i="7"/>
  <c r="V23" i="7"/>
  <c r="V25" i="7"/>
  <c r="T65" i="7"/>
  <c r="V18" i="7"/>
  <c r="V19" i="7"/>
  <c r="V24" i="7"/>
  <c r="V8" i="10"/>
  <c r="V72" i="10" s="1"/>
  <c r="U8" i="9"/>
  <c r="U12" i="9" s="1" a="1"/>
  <c r="U12" i="9" s="1"/>
  <c r="S47" i="9" l="1"/>
  <c r="S46" i="9"/>
  <c r="S45" i="9"/>
  <c r="S44" i="9"/>
  <c r="S43" i="9"/>
  <c r="S42" i="9"/>
  <c r="S48" i="9"/>
  <c r="S38" i="9"/>
  <c r="S37" i="9"/>
  <c r="S36" i="9"/>
  <c r="S35" i="9"/>
  <c r="S34" i="9"/>
  <c r="S33" i="9"/>
  <c r="S39" i="9"/>
  <c r="V26" i="7"/>
  <c r="V20" i="7"/>
  <c r="Z44" i="7"/>
  <c r="Z56" i="7"/>
  <c r="Z62" i="7"/>
  <c r="Z42" i="7"/>
  <c r="Z55" i="7"/>
  <c r="Z43" i="7"/>
  <c r="Z57" i="7"/>
  <c r="Z63" i="7"/>
  <c r="Z61" i="7"/>
  <c r="Z36" i="7"/>
  <c r="Z38" i="7"/>
  <c r="T31" i="7"/>
  <c r="T51" i="7"/>
  <c r="T30" i="7"/>
  <c r="T32" i="7"/>
  <c r="T49" i="7"/>
  <c r="T50" i="7"/>
  <c r="T52" i="7"/>
  <c r="T33" i="7"/>
  <c r="AB7" i="7"/>
  <c r="Z31" i="22"/>
  <c r="T13" i="7"/>
  <c r="T11" i="7"/>
  <c r="T12" i="7"/>
  <c r="V79" i="10"/>
  <c r="V78" i="10"/>
  <c r="V77" i="10"/>
  <c r="V84" i="10"/>
  <c r="V85" i="10"/>
  <c r="V83" i="10"/>
  <c r="Z14" i="22"/>
  <c r="AB20" i="22"/>
  <c r="U26" i="20"/>
  <c r="V26" i="20" s="1"/>
  <c r="AD22" i="22"/>
  <c r="AG22" i="22" s="1"/>
  <c r="AA3" i="20" s="1"/>
  <c r="AG8" i="22"/>
  <c r="AD17" i="22"/>
  <c r="AD16" i="22"/>
  <c r="AD18" i="22"/>
  <c r="AD23" i="22"/>
  <c r="AG23" i="22" s="1"/>
  <c r="AA4" i="20" s="1"/>
  <c r="AD24" i="22"/>
  <c r="AG24" i="22" s="1"/>
  <c r="AA5" i="20" s="1"/>
  <c r="AB26" i="22"/>
  <c r="AB13" i="22" s="1"/>
  <c r="U11" i="9" a="1"/>
  <c r="U11" i="9" s="1"/>
  <c r="U14" i="9"/>
  <c r="U13" i="9" a="1"/>
  <c r="U13" i="9" s="1"/>
  <c r="U27" i="9"/>
  <c r="V60" i="10"/>
  <c r="V59" i="10"/>
  <c r="V61" i="10"/>
  <c r="V62" i="10"/>
  <c r="V67" i="10"/>
  <c r="V71" i="10"/>
  <c r="V73" i="10"/>
  <c r="V65" i="10"/>
  <c r="V66" i="10"/>
  <c r="V92" i="10"/>
  <c r="V93" i="10" s="1"/>
  <c r="T45" i="10"/>
  <c r="T39" i="10"/>
  <c r="T15" i="7"/>
  <c r="X7" i="10"/>
  <c r="W7" i="9"/>
  <c r="Z58" i="7" l="1"/>
  <c r="Z59" i="7" s="1"/>
  <c r="Z64" i="7"/>
  <c r="Z45" i="7"/>
  <c r="Z46" i="7" s="1"/>
  <c r="Z39" i="7"/>
  <c r="Z40" i="7" s="1"/>
  <c r="T34" i="7"/>
  <c r="AB8" i="7"/>
  <c r="AB62" i="7" s="1"/>
  <c r="AB30" i="22"/>
  <c r="T53" i="7"/>
  <c r="V80" i="10"/>
  <c r="V81" i="10" s="1"/>
  <c r="AG18" i="22"/>
  <c r="AC3" i="20"/>
  <c r="AB10" i="22"/>
  <c r="AB12" i="22"/>
  <c r="AB11" i="22"/>
  <c r="U27" i="20"/>
  <c r="V27" i="20" s="1"/>
  <c r="AC5" i="20"/>
  <c r="AC4" i="20"/>
  <c r="AD19" i="22"/>
  <c r="AG16" i="22"/>
  <c r="AG17" i="22"/>
  <c r="AD25" i="22"/>
  <c r="AG25" i="22" s="1"/>
  <c r="V74" i="10"/>
  <c r="V75" i="10" s="1"/>
  <c r="T98" i="10"/>
  <c r="V68" i="10"/>
  <c r="V69" i="10" s="1"/>
  <c r="V63" i="10"/>
  <c r="V86" i="10"/>
  <c r="V87" i="10" s="1"/>
  <c r="W29" i="9" a="1"/>
  <c r="W29" i="9" s="1"/>
  <c r="W28" i="9" a="1"/>
  <c r="W28" i="9" s="1"/>
  <c r="W30" i="9" a="1"/>
  <c r="W30" i="9" s="1"/>
  <c r="V65" i="7"/>
  <c r="V51" i="10"/>
  <c r="V27" i="7"/>
  <c r="X24" i="7"/>
  <c r="X19" i="7"/>
  <c r="X25" i="7"/>
  <c r="X89" i="10"/>
  <c r="X91" i="10"/>
  <c r="V21" i="7"/>
  <c r="X90" i="10"/>
  <c r="V45" i="10"/>
  <c r="X17" i="7"/>
  <c r="V39" i="10"/>
  <c r="X23" i="7"/>
  <c r="X18" i="7"/>
  <c r="X8" i="10"/>
  <c r="X67" i="10" s="1"/>
  <c r="W8" i="9"/>
  <c r="W11" i="9" s="1" a="1"/>
  <c r="W11" i="9" s="1"/>
  <c r="U48" i="9" l="1"/>
  <c r="U47" i="9"/>
  <c r="U46" i="9"/>
  <c r="U45" i="9"/>
  <c r="U44" i="9"/>
  <c r="U43" i="9"/>
  <c r="U42" i="9"/>
  <c r="U39" i="9"/>
  <c r="U38" i="9"/>
  <c r="U37" i="9"/>
  <c r="U36" i="9"/>
  <c r="U35" i="9"/>
  <c r="U34" i="9"/>
  <c r="U33" i="9"/>
  <c r="X26" i="7"/>
  <c r="AB42" i="7"/>
  <c r="AB43" i="7"/>
  <c r="AB44" i="7"/>
  <c r="AB57" i="7"/>
  <c r="AB63" i="7"/>
  <c r="AB36" i="7"/>
  <c r="AB55" i="7"/>
  <c r="AB37" i="7"/>
  <c r="AB61" i="7"/>
  <c r="X20" i="7"/>
  <c r="AB38" i="7"/>
  <c r="AB56" i="7"/>
  <c r="AD7" i="7"/>
  <c r="AD7" i="10" s="1"/>
  <c r="AB31" i="22"/>
  <c r="V30" i="7"/>
  <c r="V31" i="7"/>
  <c r="V51" i="7"/>
  <c r="V32" i="7"/>
  <c r="V49" i="7"/>
  <c r="V50" i="7"/>
  <c r="V33" i="7"/>
  <c r="V52" i="7"/>
  <c r="V13" i="7"/>
  <c r="V12" i="7"/>
  <c r="V11" i="7"/>
  <c r="V14" i="7"/>
  <c r="X78" i="10"/>
  <c r="X77" i="10"/>
  <c r="X85" i="10"/>
  <c r="X84" i="10"/>
  <c r="X83" i="10"/>
  <c r="X79" i="10"/>
  <c r="AB14" i="22"/>
  <c r="AD20" i="22"/>
  <c r="V15" i="22" s="1"/>
  <c r="U28" i="20"/>
  <c r="V28" i="20" s="1"/>
  <c r="AG26" i="22"/>
  <c r="AA7" i="20" s="1"/>
  <c r="AA6" i="20"/>
  <c r="AG19" i="22"/>
  <c r="AD26" i="22"/>
  <c r="AD13" i="22" s="1"/>
  <c r="W14" i="9"/>
  <c r="W12" i="9" a="1"/>
  <c r="W12" i="9" s="1"/>
  <c r="W13" i="9" a="1"/>
  <c r="W13" i="9" s="1"/>
  <c r="W27" i="9"/>
  <c r="X59" i="10"/>
  <c r="X60" i="10"/>
  <c r="X61" i="10"/>
  <c r="X62" i="10"/>
  <c r="V98" i="10"/>
  <c r="X72" i="10"/>
  <c r="X73" i="10"/>
  <c r="X66" i="10"/>
  <c r="X65" i="10"/>
  <c r="X71" i="10"/>
  <c r="AC7" i="9"/>
  <c r="V15" i="7"/>
  <c r="X92" i="10"/>
  <c r="X93" i="10" s="1"/>
  <c r="Z17" i="7"/>
  <c r="Z7" i="10"/>
  <c r="Y7" i="9"/>
  <c r="AB58" i="7" l="1"/>
  <c r="AB45" i="7"/>
  <c r="AB46" i="7" s="1"/>
  <c r="AB64" i="7"/>
  <c r="AB39" i="7"/>
  <c r="AB40" i="7" s="1"/>
  <c r="V34" i="7"/>
  <c r="AD8" i="7"/>
  <c r="AD31" i="22" s="1"/>
  <c r="AG31" i="22" s="1"/>
  <c r="AD30" i="22"/>
  <c r="V53" i="7"/>
  <c r="H15" i="22"/>
  <c r="X15" i="22"/>
  <c r="N15" i="22"/>
  <c r="T15" i="22"/>
  <c r="Z15" i="22"/>
  <c r="R15" i="22"/>
  <c r="Z77" i="10"/>
  <c r="X80" i="10"/>
  <c r="X81" i="10" s="1"/>
  <c r="X86" i="10"/>
  <c r="X87" i="10" s="1"/>
  <c r="AB15" i="22"/>
  <c r="AG12" i="22"/>
  <c r="AA16" i="20" s="1"/>
  <c r="P15" i="22"/>
  <c r="Z21" i="22"/>
  <c r="AD12" i="22"/>
  <c r="AD10" i="22"/>
  <c r="AD11" i="22"/>
  <c r="F15" i="22"/>
  <c r="AG10" i="22"/>
  <c r="AD15" i="22"/>
  <c r="AG13" i="22"/>
  <c r="AA17" i="20" s="1"/>
  <c r="AG11" i="22"/>
  <c r="AA15" i="20" s="1"/>
  <c r="L15" i="22"/>
  <c r="AD7" i="20"/>
  <c r="J15" i="22"/>
  <c r="U29" i="20"/>
  <c r="V29" i="20" s="1"/>
  <c r="AC6" i="20"/>
  <c r="AG20" i="22"/>
  <c r="T21" i="22"/>
  <c r="J21" i="22"/>
  <c r="P21" i="22"/>
  <c r="X21" i="22"/>
  <c r="AD21" i="22"/>
  <c r="F21" i="22"/>
  <c r="V21" i="22"/>
  <c r="N21" i="22"/>
  <c r="R21" i="22"/>
  <c r="L21" i="22"/>
  <c r="AB21" i="22"/>
  <c r="H21" i="22"/>
  <c r="X68" i="10"/>
  <c r="X69" i="10" s="1"/>
  <c r="X74" i="10"/>
  <c r="X75" i="10" s="1"/>
  <c r="X63" i="10"/>
  <c r="AD18" i="7"/>
  <c r="AD8" i="10"/>
  <c r="AD73" i="10" s="1"/>
  <c r="Z89" i="10"/>
  <c r="Z18" i="7"/>
  <c r="Z91" i="10"/>
  <c r="Z90" i="10"/>
  <c r="Z23" i="7"/>
  <c r="Z19" i="7"/>
  <c r="Z25" i="7"/>
  <c r="Z24" i="7"/>
  <c r="X51" i="10"/>
  <c r="X21" i="7"/>
  <c r="X27" i="7"/>
  <c r="X45" i="10"/>
  <c r="X39" i="10"/>
  <c r="X65" i="7"/>
  <c r="Y8" i="9"/>
  <c r="Y27" i="9" s="1"/>
  <c r="Z8" i="10"/>
  <c r="Z65" i="10" s="1"/>
  <c r="W45" i="9" l="1"/>
  <c r="W44" i="9"/>
  <c r="W43" i="9"/>
  <c r="W42" i="9"/>
  <c r="W48" i="9"/>
  <c r="W47" i="9"/>
  <c r="W46" i="9"/>
  <c r="W36" i="9"/>
  <c r="W35" i="9"/>
  <c r="W34" i="9"/>
  <c r="W33" i="9"/>
  <c r="W39" i="9"/>
  <c r="W38" i="9"/>
  <c r="W37" i="9"/>
  <c r="Z20" i="7"/>
  <c r="AD25" i="7"/>
  <c r="AD23" i="7"/>
  <c r="AC8" i="9"/>
  <c r="AD17" i="7"/>
  <c r="AD77" i="10" s="1"/>
  <c r="Z26" i="7"/>
  <c r="AD24" i="7"/>
  <c r="AD62" i="7"/>
  <c r="AG62" i="7" s="1"/>
  <c r="AD36" i="7"/>
  <c r="AD19" i="7"/>
  <c r="AD37" i="7"/>
  <c r="AD38" i="7"/>
  <c r="AD55" i="7"/>
  <c r="AD83" i="10" s="1"/>
  <c r="AD43" i="7"/>
  <c r="AG43" i="7" s="1"/>
  <c r="AD61" i="7"/>
  <c r="AD56" i="7"/>
  <c r="AD44" i="7"/>
  <c r="AG44" i="7" s="1"/>
  <c r="AD57" i="7"/>
  <c r="AG57" i="7" s="1"/>
  <c r="AD42" i="7"/>
  <c r="AD63" i="7"/>
  <c r="X50" i="7"/>
  <c r="X51" i="7"/>
  <c r="X31" i="7"/>
  <c r="X32" i="7"/>
  <c r="X49" i="7"/>
  <c r="X30" i="7"/>
  <c r="X52" i="7"/>
  <c r="X33" i="7"/>
  <c r="AB59" i="7"/>
  <c r="X13" i="7"/>
  <c r="X12" i="7"/>
  <c r="X11" i="7"/>
  <c r="X14" i="7"/>
  <c r="Z84" i="10"/>
  <c r="Z83" i="10"/>
  <c r="Z79" i="10"/>
  <c r="Z78" i="10"/>
  <c r="Z85" i="10"/>
  <c r="AD78" i="10"/>
  <c r="AG14" i="22"/>
  <c r="AA18" i="20" s="1"/>
  <c r="AA14" i="20"/>
  <c r="AC16" i="20" s="1"/>
  <c r="AD14" i="22"/>
  <c r="P9" i="22" s="1"/>
  <c r="U30" i="20"/>
  <c r="V30" i="20" s="1"/>
  <c r="Y12" i="9" a="1"/>
  <c r="Y12" i="9" s="1"/>
  <c r="Y14" i="9"/>
  <c r="Y11" i="9" a="1"/>
  <c r="Y11" i="9" s="1"/>
  <c r="Y13" i="9" a="1"/>
  <c r="Y13" i="9" s="1"/>
  <c r="AC28" i="9" a="1"/>
  <c r="AC28" i="9" s="1"/>
  <c r="AC30" i="9" a="1"/>
  <c r="AC30" i="9" s="1"/>
  <c r="AC29" i="9" a="1"/>
  <c r="AC29" i="9" s="1"/>
  <c r="Y28" i="9" a="1"/>
  <c r="Y28" i="9" s="1"/>
  <c r="Y29" i="9" a="1"/>
  <c r="Y29" i="9" s="1"/>
  <c r="Y30" i="9" a="1"/>
  <c r="Y30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Z92" i="10"/>
  <c r="Z93" i="10" s="1"/>
  <c r="X15" i="7"/>
  <c r="AB91" i="10"/>
  <c r="AB7" i="10"/>
  <c r="AA7" i="9"/>
  <c r="AD20" i="7" l="1"/>
  <c r="AD21" i="7" s="1"/>
  <c r="AD79" i="10"/>
  <c r="AC14" i="9"/>
  <c r="AC27" i="9"/>
  <c r="AC13" i="9" a="1"/>
  <c r="AC13" i="9" s="1"/>
  <c r="AC11" i="9" a="1"/>
  <c r="AC11" i="9" s="1"/>
  <c r="AC12" i="9" a="1"/>
  <c r="AC12" i="9" s="1"/>
  <c r="AO53" i="22"/>
  <c r="AE4" i="20"/>
  <c r="AD26" i="7"/>
  <c r="AD27" i="7" s="1"/>
  <c r="AD39" i="7"/>
  <c r="AG39" i="7" s="1"/>
  <c r="AD45" i="7"/>
  <c r="AG45" i="7" s="1"/>
  <c r="AD58" i="7"/>
  <c r="AD59" i="7" s="1"/>
  <c r="AD64" i="7"/>
  <c r="X53" i="7"/>
  <c r="AD85" i="10"/>
  <c r="AD90" i="10"/>
  <c r="AD84" i="10"/>
  <c r="X34" i="7"/>
  <c r="AG38" i="7"/>
  <c r="AG61" i="7"/>
  <c r="AD89" i="10"/>
  <c r="AG42" i="7"/>
  <c r="AG55" i="7"/>
  <c r="AG56" i="7"/>
  <c r="AG63" i="7"/>
  <c r="AO54" i="22" s="1"/>
  <c r="AD91" i="10"/>
  <c r="AG37" i="7"/>
  <c r="AG36" i="7"/>
  <c r="N9" i="22"/>
  <c r="R9" i="22"/>
  <c r="J9" i="22"/>
  <c r="AD9" i="22"/>
  <c r="AB9" i="22"/>
  <c r="AA19" i="20"/>
  <c r="F9" i="22"/>
  <c r="L9" i="22"/>
  <c r="AC17" i="20"/>
  <c r="AC15" i="20"/>
  <c r="Z9" i="22"/>
  <c r="Z80" i="10"/>
  <c r="Z81" i="10" s="1"/>
  <c r="AD19" i="20"/>
  <c r="V9" i="22"/>
  <c r="X9" i="22"/>
  <c r="T9" i="22"/>
  <c r="H9" i="22"/>
  <c r="AC14" i="20"/>
  <c r="U31" i="20"/>
  <c r="V31" i="20" s="1"/>
  <c r="Z68" i="10"/>
  <c r="Z69" i="10" s="1"/>
  <c r="Z74" i="10"/>
  <c r="Z75" i="10" s="1"/>
  <c r="AD68" i="10"/>
  <c r="Z63" i="10"/>
  <c r="AD74" i="10"/>
  <c r="AD75" i="10" s="1"/>
  <c r="Z86" i="10"/>
  <c r="Z87" i="10" s="1"/>
  <c r="AA30" i="9" a="1"/>
  <c r="AA30" i="9" s="1"/>
  <c r="AA29" i="9" a="1"/>
  <c r="AA29" i="9" s="1"/>
  <c r="AA28" i="9" a="1"/>
  <c r="AA28" i="9" s="1"/>
  <c r="AD51" i="10"/>
  <c r="Z45" i="10"/>
  <c r="Z51" i="10"/>
  <c r="Z65" i="7"/>
  <c r="Z39" i="10"/>
  <c r="Z27" i="7"/>
  <c r="Z14" i="7" s="1"/>
  <c r="Z21" i="7"/>
  <c r="AB17" i="7"/>
  <c r="AB23" i="7"/>
  <c r="AB18" i="7"/>
  <c r="AB24" i="7"/>
  <c r="AB19" i="7"/>
  <c r="AB25" i="7"/>
  <c r="AB89" i="10"/>
  <c r="AB90" i="10"/>
  <c r="AA8" i="9"/>
  <c r="AF20" i="9" s="1"/>
  <c r="AB8" i="10"/>
  <c r="AB61" i="10" s="1"/>
  <c r="AD80" i="10" l="1"/>
  <c r="AD81" i="10" s="1"/>
  <c r="Y48" i="9"/>
  <c r="Y47" i="9"/>
  <c r="Y46" i="9"/>
  <c r="Y45" i="9"/>
  <c r="Y44" i="9"/>
  <c r="Y43" i="9"/>
  <c r="Y42" i="9"/>
  <c r="Y39" i="9"/>
  <c r="Y38" i="9"/>
  <c r="Y37" i="9"/>
  <c r="Y36" i="9"/>
  <c r="Y35" i="9"/>
  <c r="Y34" i="9"/>
  <c r="Y33" i="9"/>
  <c r="Z54" i="7"/>
  <c r="AC48" i="9"/>
  <c r="AC47" i="9"/>
  <c r="AC46" i="9"/>
  <c r="AC45" i="9"/>
  <c r="AC44" i="9"/>
  <c r="AC43" i="9"/>
  <c r="AC42" i="9"/>
  <c r="AS54" i="22"/>
  <c r="AQ54" i="22"/>
  <c r="AE3" i="20"/>
  <c r="AO52" i="22"/>
  <c r="AB20" i="7"/>
  <c r="AS53" i="22"/>
  <c r="AQ53" i="22"/>
  <c r="AE5" i="20"/>
  <c r="AD86" i="10"/>
  <c r="AD87" i="10" s="1"/>
  <c r="AG58" i="7"/>
  <c r="AG59" i="7" s="1"/>
  <c r="AB26" i="7"/>
  <c r="T54" i="7"/>
  <c r="AD40" i="7"/>
  <c r="L35" i="7" s="1"/>
  <c r="X54" i="7"/>
  <c r="AG40" i="7"/>
  <c r="AD54" i="7"/>
  <c r="F54" i="7"/>
  <c r="H54" i="7"/>
  <c r="J54" i="7"/>
  <c r="L54" i="7"/>
  <c r="N54" i="7"/>
  <c r="R54" i="7"/>
  <c r="P54" i="7"/>
  <c r="AB54" i="7"/>
  <c r="F35" i="7"/>
  <c r="AG46" i="7"/>
  <c r="AD46" i="7"/>
  <c r="Z30" i="7"/>
  <c r="Z49" i="7"/>
  <c r="Z52" i="7"/>
  <c r="Z33" i="7"/>
  <c r="Z31" i="7"/>
  <c r="Z50" i="7"/>
  <c r="Z51" i="7"/>
  <c r="Z32" i="7"/>
  <c r="AG64" i="7"/>
  <c r="AD92" i="10"/>
  <c r="AD93" i="10" s="1"/>
  <c r="AD65" i="7"/>
  <c r="V54" i="7"/>
  <c r="AD13" i="7"/>
  <c r="AD12" i="7"/>
  <c r="AD11" i="7"/>
  <c r="AD14" i="7"/>
  <c r="Z11" i="7"/>
  <c r="Z13" i="7"/>
  <c r="Z12" i="7"/>
  <c r="AB85" i="10"/>
  <c r="AG85" i="10" s="1"/>
  <c r="AB84" i="10"/>
  <c r="AG84" i="10" s="1"/>
  <c r="AB83" i="10"/>
  <c r="AG83" i="10" s="1"/>
  <c r="AB79" i="10"/>
  <c r="AG79" i="10" s="1"/>
  <c r="AB78" i="10"/>
  <c r="AG78" i="10" s="1"/>
  <c r="AB77" i="10"/>
  <c r="AG77" i="10" s="1"/>
  <c r="U32" i="20"/>
  <c r="V32" i="20" s="1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7" i="9"/>
  <c r="AB62" i="10"/>
  <c r="Z98" i="10"/>
  <c r="AB59" i="10"/>
  <c r="AB60" i="10"/>
  <c r="AG60" i="10" s="1"/>
  <c r="AD15" i="7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AD63" i="10"/>
  <c r="AD69" i="10"/>
  <c r="AG90" i="10"/>
  <c r="AG91" i="10"/>
  <c r="AF17" i="9"/>
  <c r="AF18" i="9"/>
  <c r="AF19" i="9"/>
  <c r="AD39" i="10"/>
  <c r="AD45" i="10"/>
  <c r="Z15" i="7"/>
  <c r="AG25" i="7"/>
  <c r="AG48" i="10"/>
  <c r="AG47" i="10"/>
  <c r="AB92" i="10"/>
  <c r="AB93" i="10" s="1"/>
  <c r="AG49" i="10"/>
  <c r="AF28" i="9"/>
  <c r="AF29" i="9"/>
  <c r="AG17" i="7"/>
  <c r="AG24" i="7"/>
  <c r="AG19" i="7"/>
  <c r="AG18" i="7"/>
  <c r="AG23" i="7"/>
  <c r="AG43" i="10"/>
  <c r="AG37" i="10"/>
  <c r="AC39" i="9" l="1"/>
  <c r="AC38" i="9"/>
  <c r="AC37" i="9"/>
  <c r="AC36" i="9"/>
  <c r="AC35" i="9"/>
  <c r="AC34" i="9"/>
  <c r="AC33" i="9"/>
  <c r="X35" i="7"/>
  <c r="P35" i="7"/>
  <c r="AB35" i="7"/>
  <c r="AS52" i="22"/>
  <c r="AQ52" i="22"/>
  <c r="H35" i="7"/>
  <c r="Z35" i="7"/>
  <c r="R35" i="7"/>
  <c r="N35" i="7"/>
  <c r="J35" i="7"/>
  <c r="AD35" i="7"/>
  <c r="V35" i="7"/>
  <c r="T35" i="7"/>
  <c r="Z53" i="7"/>
  <c r="Z34" i="7"/>
  <c r="AD51" i="7"/>
  <c r="AD52" i="7"/>
  <c r="AD49" i="7"/>
  <c r="AD30" i="7"/>
  <c r="AD33" i="7"/>
  <c r="AD50" i="7"/>
  <c r="AD32" i="7"/>
  <c r="AD31" i="7"/>
  <c r="AD41" i="7"/>
  <c r="F41" i="7"/>
  <c r="J41" i="7"/>
  <c r="H41" i="7"/>
  <c r="L41" i="7"/>
  <c r="P41" i="7"/>
  <c r="N41" i="7"/>
  <c r="R41" i="7"/>
  <c r="AB41" i="7"/>
  <c r="Z41" i="7"/>
  <c r="X41" i="7"/>
  <c r="V41" i="7"/>
  <c r="T41" i="7"/>
  <c r="AB86" i="10"/>
  <c r="AB87" i="10" s="1"/>
  <c r="U33" i="20"/>
  <c r="V33" i="20" s="1"/>
  <c r="AG3" i="20"/>
  <c r="AB68" i="10"/>
  <c r="AD98" i="10"/>
  <c r="AB21" i="7"/>
  <c r="AB80" i="10"/>
  <c r="AG80" i="10" s="1"/>
  <c r="AG81" i="10" s="1"/>
  <c r="AG65" i="10"/>
  <c r="AB74" i="10"/>
  <c r="AG74" i="10" s="1"/>
  <c r="AG59" i="10"/>
  <c r="AG71" i="10"/>
  <c r="AG89" i="10"/>
  <c r="AG92" i="10"/>
  <c r="AF21" i="9"/>
  <c r="AB27" i="7"/>
  <c r="AB14" i="7" s="1"/>
  <c r="AB51" i="10"/>
  <c r="AB45" i="10"/>
  <c r="AB39" i="10"/>
  <c r="AB65" i="7"/>
  <c r="AF27" i="9"/>
  <c r="AF30" i="9"/>
  <c r="AF11" i="9"/>
  <c r="AG26" i="7"/>
  <c r="AO55" i="22" s="1"/>
  <c r="AG41" i="10"/>
  <c r="AG35" i="10"/>
  <c r="AG42" i="10"/>
  <c r="AG36" i="10"/>
  <c r="AG20" i="7"/>
  <c r="AG38" i="10"/>
  <c r="R16" i="7" l="1"/>
  <c r="AA43" i="9"/>
  <c r="AA42" i="9"/>
  <c r="AA48" i="9"/>
  <c r="AA47" i="9"/>
  <c r="AA46" i="9"/>
  <c r="AA45" i="9"/>
  <c r="AA44" i="9"/>
  <c r="P60" i="7"/>
  <c r="AA34" i="9"/>
  <c r="AA33" i="9"/>
  <c r="AA39" i="9"/>
  <c r="AA38" i="9"/>
  <c r="AA37" i="9"/>
  <c r="AA36" i="9"/>
  <c r="AA35" i="9"/>
  <c r="AE6" i="20"/>
  <c r="AS55" i="22"/>
  <c r="AQ55" i="22"/>
  <c r="AD53" i="7"/>
  <c r="AB60" i="7"/>
  <c r="AB33" i="7"/>
  <c r="AB50" i="7"/>
  <c r="AB30" i="7"/>
  <c r="AB31" i="7"/>
  <c r="AB32" i="7"/>
  <c r="AB49" i="7"/>
  <c r="AB51" i="7"/>
  <c r="AB52" i="7"/>
  <c r="T60" i="7"/>
  <c r="X60" i="7"/>
  <c r="Z60" i="7"/>
  <c r="V60" i="7"/>
  <c r="N60" i="7"/>
  <c r="R60" i="7"/>
  <c r="L60" i="7"/>
  <c r="H60" i="7"/>
  <c r="J60" i="7"/>
  <c r="F60" i="7"/>
  <c r="AD60" i="7"/>
  <c r="AD34" i="7"/>
  <c r="AG86" i="10"/>
  <c r="AG87" i="10" s="1"/>
  <c r="H22" i="7"/>
  <c r="AB13" i="7"/>
  <c r="AB12" i="7"/>
  <c r="AB11" i="7"/>
  <c r="AG21" i="7"/>
  <c r="U34" i="20"/>
  <c r="V34" i="20" s="1"/>
  <c r="AG5" i="20"/>
  <c r="AG4" i="20"/>
  <c r="AG65" i="7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F24" i="9"/>
  <c r="AG27" i="7"/>
  <c r="AG14" i="7" s="1"/>
  <c r="AG39" i="10"/>
  <c r="AG50" i="10"/>
  <c r="AG51" i="10" s="1"/>
  <c r="AE7" i="20" l="1"/>
  <c r="AD25" i="20" s="1"/>
  <c r="AH25" i="20" s="1"/>
  <c r="AF30" i="20" s="1"/>
  <c r="AF34" i="9"/>
  <c r="AF36" i="9"/>
  <c r="AF37" i="9"/>
  <c r="AF38" i="9"/>
  <c r="AF39" i="9"/>
  <c r="AF35" i="9"/>
  <c r="AF43" i="9"/>
  <c r="AF45" i="9"/>
  <c r="AF46" i="9"/>
  <c r="AF47" i="9"/>
  <c r="AF48" i="9"/>
  <c r="AF44" i="9"/>
  <c r="AB34" i="7"/>
  <c r="Z29" i="7" s="1"/>
  <c r="AB53" i="7"/>
  <c r="L48" i="7" s="1"/>
  <c r="AG51" i="7"/>
  <c r="AG30" i="7"/>
  <c r="AG31" i="7"/>
  <c r="AG50" i="7"/>
  <c r="AG33" i="7"/>
  <c r="AG32" i="7"/>
  <c r="AG49" i="7"/>
  <c r="AG52" i="7"/>
  <c r="AG15" i="7"/>
  <c r="AG13" i="7"/>
  <c r="AG11" i="7"/>
  <c r="AG12" i="7"/>
  <c r="U35" i="20"/>
  <c r="V35" i="20" s="1"/>
  <c r="AG6" i="20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F33" i="9"/>
  <c r="AG44" i="10"/>
  <c r="AG45" i="10" s="1"/>
  <c r="AE14" i="20" l="1"/>
  <c r="AE17" i="20"/>
  <c r="AG25" i="20"/>
  <c r="AF31" i="20" s="1"/>
  <c r="AH5" i="20"/>
  <c r="AE15" i="20"/>
  <c r="AE16" i="20"/>
  <c r="AA30" i="20"/>
  <c r="AL25" i="20"/>
  <c r="H48" i="7"/>
  <c r="N29" i="7"/>
  <c r="P48" i="7"/>
  <c r="T29" i="7"/>
  <c r="L29" i="7"/>
  <c r="N48" i="7"/>
  <c r="F48" i="7"/>
  <c r="H29" i="7"/>
  <c r="J48" i="7"/>
  <c r="P29" i="7"/>
  <c r="AD48" i="7"/>
  <c r="R29" i="7"/>
  <c r="J29" i="7"/>
  <c r="F29" i="7"/>
  <c r="AD29" i="7"/>
  <c r="V29" i="7"/>
  <c r="X29" i="7"/>
  <c r="AB29" i="7"/>
  <c r="AG34" i="7"/>
  <c r="AG53" i="7"/>
  <c r="AB48" i="7"/>
  <c r="Z48" i="7"/>
  <c r="R48" i="7"/>
  <c r="T48" i="7"/>
  <c r="X48" i="7"/>
  <c r="V48" i="7"/>
  <c r="AM25" i="20"/>
  <c r="AI25" i="20"/>
  <c r="AA29" i="20" s="1"/>
  <c r="AB29" i="20" s="1"/>
  <c r="AB31" i="20" s="1"/>
  <c r="AD4" i="20"/>
  <c r="AL5" i="20"/>
  <c r="AL6" i="20"/>
  <c r="AL4" i="20"/>
  <c r="AL3" i="20"/>
  <c r="AK7" i="20"/>
  <c r="AC7" i="20"/>
  <c r="AG7" i="20"/>
  <c r="AD3" i="20"/>
  <c r="AD5" i="20"/>
  <c r="AD6" i="20"/>
  <c r="AH3" i="20"/>
  <c r="AH6" i="20"/>
  <c r="AP8" i="20"/>
  <c r="AO6" i="20" s="1"/>
  <c r="AH4" i="20"/>
  <c r="U36" i="20"/>
  <c r="V36" i="20" s="1"/>
  <c r="AH7" i="20"/>
  <c r="AN7" i="20"/>
  <c r="AN8" i="20"/>
  <c r="C3" i="7"/>
  <c r="AG31" i="20" l="1"/>
  <c r="AG15" i="20"/>
  <c r="AG16" i="20"/>
  <c r="AG14" i="20"/>
  <c r="AG17" i="20"/>
  <c r="AE19" i="20"/>
  <c r="AH26" i="20" s="1"/>
  <c r="U37" i="20"/>
  <c r="V37" i="20" s="1"/>
  <c r="AN5" i="20"/>
  <c r="AN6" i="20"/>
  <c r="AA31" i="20"/>
  <c r="AK25" i="20"/>
  <c r="AN25" i="20"/>
  <c r="AH31" i="20" s="1"/>
  <c r="AL26" i="20" l="1"/>
  <c r="AF36" i="20"/>
  <c r="AA36" i="20"/>
  <c r="AE18" i="20"/>
  <c r="AL17" i="20" s="1"/>
  <c r="AD26" i="20"/>
  <c r="AN18" i="20"/>
  <c r="AG19" i="20"/>
  <c r="AK19" i="20"/>
  <c r="AC19" i="20"/>
  <c r="U38" i="20"/>
  <c r="V38" i="20" s="1"/>
  <c r="AO25" i="20"/>
  <c r="AC30" i="20"/>
  <c r="AK26" i="20"/>
  <c r="AC31" i="20"/>
  <c r="AD30" i="20"/>
  <c r="AL15" i="20" l="1"/>
  <c r="AH17" i="20"/>
  <c r="AH16" i="20"/>
  <c r="AD16" i="20"/>
  <c r="AD15" i="20"/>
  <c r="AL16" i="20"/>
  <c r="AH19" i="20"/>
  <c r="AD14" i="20"/>
  <c r="AH15" i="20"/>
  <c r="AH14" i="20"/>
  <c r="AL14" i="20"/>
  <c r="AD17" i="20"/>
  <c r="AN19" i="20"/>
  <c r="AN16" i="20" s="1"/>
  <c r="AB67" i="20"/>
  <c r="AB68" i="20"/>
  <c r="AG26" i="20"/>
  <c r="AB66" i="20"/>
  <c r="AB65" i="20"/>
  <c r="AB72" i="20"/>
  <c r="AB71" i="20"/>
  <c r="AB64" i="20"/>
  <c r="AB63" i="20"/>
  <c r="AB70" i="20"/>
  <c r="AB69" i="20"/>
  <c r="AI26" i="20"/>
  <c r="AA35" i="20" s="1"/>
  <c r="AB35" i="20" s="1"/>
  <c r="AB37" i="20" s="1"/>
  <c r="AP19" i="20"/>
  <c r="AO17" i="20" s="1"/>
  <c r="AM26" i="20"/>
  <c r="U39" i="20"/>
  <c r="V39" i="20" s="1"/>
  <c r="AC37" i="20"/>
  <c r="AC36" i="20"/>
  <c r="AD36" i="20"/>
  <c r="AN17" i="20" l="1"/>
  <c r="AG37" i="20"/>
  <c r="AN26" i="20"/>
  <c r="AO26" i="20" s="1"/>
  <c r="AH37" i="20" s="1"/>
  <c r="AF37" i="20"/>
  <c r="AA37" i="20"/>
  <c r="U40" i="20"/>
  <c r="V40" i="20" s="1"/>
  <c r="U41" i="20" l="1"/>
  <c r="V41" i="20" s="1"/>
  <c r="U42" i="20" l="1"/>
  <c r="V42" i="20" s="1"/>
  <c r="U43" i="20" l="1"/>
  <c r="V43" i="20" s="1"/>
  <c r="U44" i="20" l="1"/>
  <c r="V44" i="20" s="1"/>
  <c r="U45" i="20" l="1"/>
  <c r="V45" i="20" s="1"/>
  <c r="U46" i="20" l="1"/>
  <c r="V46" i="20" s="1"/>
  <c r="U47" i="20" l="1"/>
  <c r="V47" i="20" s="1"/>
  <c r="U48" i="20" l="1"/>
  <c r="V48" i="20" s="1"/>
  <c r="U49" i="20" l="1"/>
  <c r="V49" i="20" s="1"/>
  <c r="U50" i="20" l="1"/>
  <c r="V50" i="20" s="1"/>
  <c r="U51" i="20" l="1"/>
  <c r="V51" i="20" s="1"/>
  <c r="U52" i="20" l="1"/>
  <c r="V52" i="20" s="1"/>
  <c r="U53" i="20" l="1"/>
  <c r="V53" i="20" s="1"/>
  <c r="U54" i="20" l="1"/>
  <c r="V54" i="20" s="1"/>
  <c r="U55" i="20" l="1"/>
  <c r="V55" i="20" s="1"/>
  <c r="U56" i="20" l="1"/>
  <c r="V56" i="20" s="1"/>
  <c r="U57" i="20" l="1"/>
  <c r="V57" i="20" s="1"/>
  <c r="U58" i="20" l="1"/>
  <c r="V58" i="20" s="1"/>
  <c r="U59" i="20" l="1"/>
  <c r="V59" i="20" s="1"/>
  <c r="U60" i="20" l="1"/>
  <c r="V60" i="20" s="1"/>
  <c r="U61" i="20" l="1"/>
  <c r="V61" i="20" s="1"/>
  <c r="U62" i="20" l="1"/>
  <c r="V62" i="20" s="1"/>
  <c r="U63" i="20" l="1"/>
  <c r="V63" i="20" s="1"/>
  <c r="U64" i="20" l="1"/>
  <c r="V64" i="20" s="1"/>
  <c r="U65" i="20" l="1"/>
  <c r="V65" i="20" s="1"/>
  <c r="U66" i="20" l="1"/>
  <c r="V66" i="20" s="1"/>
  <c r="U67" i="20" l="1"/>
  <c r="V67" i="20" s="1"/>
  <c r="U68" i="20" l="1"/>
  <c r="V68" i="20" s="1"/>
  <c r="U69" i="20" l="1"/>
  <c r="V69" i="20" s="1"/>
  <c r="U70" i="20" l="1"/>
  <c r="V70" i="20" s="1"/>
  <c r="U71" i="20" l="1"/>
  <c r="V71" i="20" s="1"/>
  <c r="U72" i="20" l="1"/>
  <c r="V72" i="20" s="1"/>
  <c r="U73" i="20" l="1"/>
  <c r="V73" i="20" s="1"/>
  <c r="U74" i="20" l="1"/>
  <c r="V74" i="20" s="1"/>
  <c r="U75" i="20" l="1"/>
  <c r="V75" i="20" s="1"/>
  <c r="U76" i="20" l="1"/>
  <c r="V76" i="20" s="1"/>
  <c r="U77" i="20" l="1"/>
  <c r="V77" i="20" s="1"/>
  <c r="U78" i="20" l="1"/>
  <c r="V78" i="20" s="1"/>
  <c r="U79" i="20" l="1"/>
  <c r="V79" i="20" s="1"/>
  <c r="U80" i="20" l="1"/>
  <c r="V80" i="20" s="1"/>
  <c r="U81" i="20" l="1"/>
  <c r="V81" i="20" s="1"/>
  <c r="U82" i="20" l="1"/>
  <c r="V82" i="20" s="1"/>
  <c r="U83" i="20" l="1"/>
  <c r="V83" i="20" s="1"/>
  <c r="U84" i="20" l="1"/>
  <c r="V84" i="20" s="1"/>
  <c r="U85" i="20" l="1"/>
  <c r="V85" i="20" s="1"/>
  <c r="U86" i="20" l="1"/>
  <c r="V86" i="20" s="1"/>
  <c r="U87" i="20" l="1"/>
  <c r="V87" i="20" s="1"/>
  <c r="U88" i="20" l="1"/>
  <c r="V88" i="20" s="1"/>
  <c r="U89" i="20" l="1"/>
  <c r="V89" i="20" s="1"/>
  <c r="U90" i="20" l="1"/>
  <c r="V90" i="20" s="1"/>
  <c r="U91" i="20" l="1"/>
  <c r="V91" i="20" s="1"/>
  <c r="U92" i="20" l="1"/>
  <c r="V92" i="20" s="1"/>
  <c r="U93" i="20" l="1"/>
  <c r="V93" i="20" s="1"/>
  <c r="U94" i="20" l="1"/>
  <c r="V94" i="20" s="1"/>
  <c r="U95" i="20" l="1"/>
  <c r="V95" i="20" s="1"/>
  <c r="U96" i="20" l="1"/>
  <c r="V96" i="20" s="1"/>
  <c r="U97" i="20" l="1"/>
  <c r="V97" i="20" s="1"/>
  <c r="U98" i="20" l="1"/>
  <c r="V98" i="20" s="1"/>
  <c r="U99" i="20" l="1"/>
  <c r="V99" i="20" s="1"/>
  <c r="U100" i="20" l="1"/>
  <c r="V100" i="20" s="1"/>
  <c r="U101" i="20" l="1"/>
  <c r="V101" i="20" s="1"/>
  <c r="U102" i="20" l="1"/>
  <c r="V102" i="20" s="1"/>
  <c r="U103" i="20" l="1"/>
  <c r="V103" i="20" s="1"/>
  <c r="U104" i="20" l="1"/>
  <c r="V104" i="20" s="1"/>
  <c r="U105" i="20" l="1"/>
  <c r="V105" i="20" s="1"/>
  <c r="U106" i="20" l="1"/>
  <c r="V106" i="20" s="1"/>
  <c r="U107" i="20" l="1"/>
  <c r="V107" i="20" s="1"/>
  <c r="U108" i="20" l="1"/>
  <c r="V108" i="20" s="1"/>
  <c r="U109" i="20" l="1"/>
  <c r="V109" i="20" s="1"/>
  <c r="U110" i="20" l="1"/>
  <c r="V110" i="20" s="1"/>
  <c r="U111" i="20" l="1"/>
  <c r="V111" i="20" s="1"/>
  <c r="U112" i="20" l="1"/>
  <c r="V112" i="20" s="1"/>
  <c r="U113" i="20" l="1"/>
  <c r="V113" i="20" s="1"/>
  <c r="U114" i="20" l="1"/>
  <c r="V114" i="20" s="1"/>
  <c r="U115" i="20" l="1"/>
  <c r="V115" i="20" s="1"/>
  <c r="U116" i="20" l="1"/>
  <c r="V116" i="20" s="1"/>
  <c r="U117" i="20" l="1"/>
  <c r="V117" i="20" s="1"/>
  <c r="U118" i="20" l="1"/>
  <c r="V118" i="20" s="1"/>
  <c r="U119" i="20" l="1"/>
  <c r="V119" i="20" s="1"/>
  <c r="U120" i="20" l="1"/>
  <c r="V120" i="20" s="1"/>
  <c r="U121" i="20" l="1"/>
  <c r="V121" i="20" s="1"/>
  <c r="U122" i="20" l="1"/>
  <c r="V122" i="20" s="1"/>
  <c r="U123" i="20" l="1"/>
  <c r="V123" i="20" s="1"/>
  <c r="U124" i="20" l="1"/>
  <c r="V124" i="20" s="1"/>
  <c r="U125" i="20" l="1"/>
  <c r="V125" i="20" s="1"/>
  <c r="U126" i="20" l="1"/>
  <c r="V126" i="20" s="1"/>
  <c r="U127" i="20" l="1"/>
  <c r="V127" i="20" s="1"/>
  <c r="U128" i="20" l="1"/>
  <c r="V128" i="20" s="1"/>
  <c r="U129" i="20" l="1"/>
  <c r="V129" i="20" s="1"/>
  <c r="U130" i="20" l="1"/>
  <c r="V130" i="20" s="1"/>
  <c r="U131" i="20" l="1"/>
  <c r="V131" i="20" s="1"/>
  <c r="U132" i="20" l="1"/>
  <c r="V132" i="20" s="1"/>
  <c r="U133" i="20" l="1"/>
  <c r="V133" i="20" s="1"/>
  <c r="U134" i="20" l="1"/>
  <c r="V134" i="20" s="1"/>
  <c r="U135" i="20" l="1"/>
  <c r="V135" i="20" s="1"/>
  <c r="U136" i="20" l="1"/>
  <c r="V136" i="20" s="1"/>
  <c r="U137" i="20" l="1"/>
  <c r="V137" i="20" s="1"/>
  <c r="U138" i="20" l="1"/>
  <c r="V138" i="20" s="1"/>
  <c r="U139" i="20" l="1"/>
  <c r="V139" i="20" s="1"/>
  <c r="U140" i="20" l="1"/>
  <c r="V140" i="20" s="1"/>
  <c r="U141" i="20" l="1"/>
  <c r="V141" i="20" s="1"/>
  <c r="U142" i="20" l="1"/>
  <c r="V142" i="20" s="1"/>
  <c r="U143" i="20" l="1"/>
  <c r="V143" i="20" s="1"/>
  <c r="U144" i="20" l="1"/>
  <c r="V144" i="20" s="1"/>
  <c r="U145" i="20" l="1"/>
  <c r="V145" i="20" s="1"/>
  <c r="U146" i="20" l="1"/>
  <c r="V146" i="20" s="1"/>
  <c r="U147" i="20" l="1"/>
  <c r="V147" i="20" s="1"/>
  <c r="U148" i="20" l="1"/>
  <c r="V148" i="20" s="1"/>
  <c r="U149" i="20" l="1"/>
  <c r="V149" i="20" s="1"/>
  <c r="U150" i="20" l="1"/>
  <c r="V150" i="20" s="1"/>
  <c r="U151" i="20" l="1"/>
  <c r="V151" i="20" s="1"/>
  <c r="U152" i="20" l="1"/>
  <c r="V152" i="20" s="1"/>
  <c r="U153" i="20" l="1"/>
  <c r="V153" i="20" s="1"/>
  <c r="U154" i="20" l="1"/>
  <c r="V154" i="20" s="1"/>
  <c r="U155" i="20" l="1"/>
  <c r="V155" i="20" s="1"/>
  <c r="U156" i="20" l="1"/>
  <c r="V156" i="20" s="1"/>
  <c r="U157" i="20" l="1"/>
  <c r="V157" i="20" s="1"/>
  <c r="U158" i="20" l="1"/>
  <c r="V158" i="20" s="1"/>
  <c r="U159" i="20" l="1"/>
  <c r="V159" i="20" s="1"/>
  <c r="U160" i="20" l="1"/>
  <c r="V160" i="20" s="1"/>
  <c r="U161" i="20" l="1"/>
  <c r="V161" i="20" s="1"/>
  <c r="U162" i="20" l="1"/>
  <c r="V162" i="20" s="1"/>
  <c r="U163" i="20" l="1"/>
  <c r="V163" i="20" s="1"/>
  <c r="U164" i="20" l="1"/>
  <c r="V164" i="20" s="1"/>
  <c r="U165" i="20" l="1"/>
  <c r="V165" i="20" s="1"/>
  <c r="U166" i="20" l="1"/>
  <c r="V166" i="20" s="1"/>
  <c r="U167" i="20" l="1"/>
  <c r="V167" i="20" s="1"/>
  <c r="U168" i="20" l="1"/>
  <c r="V168" i="20" s="1"/>
  <c r="U169" i="20" l="1"/>
  <c r="V169" i="20" s="1"/>
  <c r="U170" i="20" l="1"/>
  <c r="V170" i="20" s="1"/>
  <c r="U171" i="20" l="1"/>
  <c r="V171" i="20" s="1"/>
  <c r="U172" i="20" l="1"/>
  <c r="V172" i="20" s="1"/>
  <c r="U173" i="20" l="1"/>
  <c r="V173" i="20" s="1"/>
  <c r="U174" i="20" l="1"/>
  <c r="V174" i="20" s="1"/>
  <c r="U175" i="20" l="1"/>
  <c r="V175" i="20" s="1"/>
  <c r="U176" i="20" l="1"/>
  <c r="V176" i="20" s="1"/>
  <c r="U177" i="20" l="1"/>
  <c r="V177" i="20" s="1"/>
  <c r="U178" i="20" l="1"/>
  <c r="V178" i="20" s="1"/>
  <c r="U179" i="20" l="1"/>
  <c r="V179" i="20" s="1"/>
  <c r="U180" i="20" l="1"/>
  <c r="V180" i="20" s="1"/>
  <c r="U181" i="20" l="1"/>
  <c r="V181" i="20" s="1"/>
  <c r="U182" i="20" l="1"/>
  <c r="V182" i="20" s="1"/>
  <c r="U183" i="20" l="1"/>
  <c r="V183" i="20" s="1"/>
  <c r="U184" i="20" l="1"/>
  <c r="V184" i="20" s="1"/>
  <c r="U185" i="20" l="1"/>
  <c r="V185" i="20" s="1"/>
  <c r="U186" i="20" l="1"/>
  <c r="V186" i="20" s="1"/>
  <c r="U187" i="20" l="1"/>
  <c r="V187" i="20" s="1"/>
  <c r="U188" i="20" l="1"/>
  <c r="V188" i="20" s="1"/>
  <c r="U189" i="20" l="1"/>
  <c r="V189" i="20" s="1"/>
  <c r="U190" i="20" l="1"/>
  <c r="V190" i="20" s="1"/>
  <c r="U191" i="20" l="1"/>
  <c r="V191" i="20" s="1"/>
  <c r="U192" i="20" l="1"/>
  <c r="V192" i="20" s="1"/>
  <c r="U193" i="20" l="1"/>
  <c r="V193" i="20" s="1"/>
  <c r="U194" i="20" l="1"/>
  <c r="V194" i="20" s="1"/>
  <c r="U195" i="20" l="1"/>
  <c r="V195" i="20" s="1"/>
  <c r="U196" i="20" l="1"/>
  <c r="V196" i="20" s="1"/>
  <c r="U197" i="20" l="1"/>
  <c r="V197" i="20" s="1"/>
  <c r="U198" i="20" l="1"/>
  <c r="V198" i="20" s="1"/>
  <c r="U199" i="20" l="1"/>
  <c r="V199" i="20" s="1"/>
  <c r="U200" i="20" l="1"/>
  <c r="V200" i="20" s="1"/>
  <c r="U201" i="20" l="1"/>
  <c r="V201" i="20" s="1"/>
  <c r="U202" i="20" l="1"/>
  <c r="V202" i="20" s="1"/>
  <c r="U203" i="20" l="1"/>
  <c r="V203" i="20" s="1"/>
  <c r="U204" i="20" l="1"/>
  <c r="V204" i="20" s="1"/>
  <c r="U205" i="20" l="1"/>
  <c r="V205" i="20" s="1"/>
  <c r="U206" i="20" l="1"/>
  <c r="V206" i="20" s="1"/>
  <c r="U207" i="20" l="1"/>
  <c r="V207" i="20" s="1"/>
  <c r="U208" i="20" l="1"/>
  <c r="V208" i="20" s="1"/>
  <c r="U209" i="20" l="1"/>
  <c r="V209" i="20" s="1"/>
  <c r="U210" i="20" l="1"/>
  <c r="V210" i="20" s="1"/>
  <c r="U211" i="20" l="1"/>
  <c r="V211" i="20" s="1"/>
  <c r="U212" i="20" l="1"/>
  <c r="V212" i="20" s="1"/>
  <c r="U213" i="20" l="1"/>
  <c r="V213" i="20" s="1"/>
  <c r="U214" i="20" l="1"/>
  <c r="V214" i="20" s="1"/>
  <c r="U215" i="20" l="1"/>
  <c r="V215" i="20" s="1"/>
  <c r="U216" i="20" l="1"/>
  <c r="V216" i="20" s="1"/>
  <c r="U217" i="20" l="1"/>
  <c r="V217" i="20" s="1"/>
  <c r="U218" i="20" l="1"/>
  <c r="V218" i="20" s="1"/>
  <c r="U219" i="20" l="1"/>
  <c r="V219" i="20" s="1"/>
  <c r="U220" i="20" l="1"/>
  <c r="V220" i="20" s="1"/>
  <c r="U221" i="20" l="1"/>
  <c r="V221" i="20" s="1"/>
  <c r="U222" i="20" l="1"/>
  <c r="V222" i="20" s="1"/>
  <c r="U223" i="20" l="1"/>
  <c r="V223" i="20" s="1"/>
  <c r="U224" i="20" l="1"/>
  <c r="V224" i="20" s="1"/>
  <c r="U225" i="20" l="1"/>
  <c r="V225" i="20" s="1"/>
  <c r="U226" i="20" l="1"/>
  <c r="V226" i="20" s="1"/>
  <c r="U227" i="20" l="1"/>
  <c r="V227" i="20" s="1"/>
  <c r="U228" i="20" l="1"/>
  <c r="V228" i="20" s="1"/>
  <c r="U229" i="20" l="1"/>
  <c r="V229" i="20" s="1"/>
  <c r="U230" i="20" l="1"/>
  <c r="V230" i="20" s="1"/>
  <c r="U231" i="20" l="1"/>
  <c r="V231" i="20" s="1"/>
  <c r="U232" i="20" l="1"/>
  <c r="V232" i="20" s="1"/>
  <c r="U233" i="20" l="1"/>
  <c r="V233" i="20" s="1"/>
  <c r="U234" i="20" l="1"/>
  <c r="V234" i="20" s="1"/>
  <c r="U235" i="20" l="1"/>
  <c r="V235" i="20" s="1"/>
  <c r="U236" i="20" l="1"/>
  <c r="V236" i="20" s="1"/>
  <c r="U237" i="20" l="1"/>
  <c r="V237" i="20" s="1"/>
  <c r="U238" i="20" l="1"/>
  <c r="V238" i="20" s="1"/>
  <c r="U239" i="20" l="1"/>
  <c r="V239" i="20" s="1"/>
  <c r="U240" i="20" l="1"/>
  <c r="V240" i="20" s="1"/>
  <c r="U241" i="20" l="1"/>
  <c r="V241" i="20" s="1"/>
  <c r="U242" i="20" l="1"/>
  <c r="V242" i="20" s="1"/>
  <c r="U243" i="20" l="1"/>
  <c r="V243" i="20" s="1"/>
  <c r="U244" i="20" l="1"/>
  <c r="V244" i="20" s="1"/>
  <c r="U245" i="20" l="1"/>
  <c r="V245" i="20" s="1"/>
  <c r="U246" i="20" l="1"/>
  <c r="V246" i="20" s="1"/>
  <c r="U247" i="20" l="1"/>
  <c r="V247" i="20" s="1"/>
  <c r="U248" i="20" l="1"/>
  <c r="V248" i="20" s="1"/>
  <c r="U249" i="20" l="1"/>
  <c r="V249" i="20" s="1"/>
  <c r="U250" i="20" l="1"/>
  <c r="V250" i="20" s="1"/>
  <c r="U251" i="20" l="1"/>
  <c r="V251" i="20" s="1"/>
  <c r="U252" i="20" l="1"/>
  <c r="V252" i="20" s="1"/>
  <c r="U253" i="20" l="1"/>
  <c r="V253" i="20" s="1"/>
  <c r="U254" i="20" l="1"/>
  <c r="V254" i="20" s="1"/>
  <c r="U255" i="20" l="1"/>
  <c r="V255" i="20" s="1"/>
  <c r="U256" i="20" l="1"/>
  <c r="V256" i="20" s="1"/>
  <c r="U257" i="20" l="1"/>
  <c r="V257" i="20" s="1"/>
  <c r="U258" i="20" l="1"/>
  <c r="V258" i="20" s="1"/>
  <c r="U259" i="20" l="1"/>
  <c r="V259" i="20" s="1"/>
  <c r="U260" i="20" l="1"/>
  <c r="V260" i="20" s="1"/>
  <c r="U261" i="20" l="1"/>
  <c r="V261" i="20" s="1"/>
  <c r="U262" i="20" l="1"/>
  <c r="V262" i="20" s="1"/>
  <c r="U263" i="20" l="1"/>
  <c r="V263" i="20" s="1"/>
  <c r="U264" i="20" l="1"/>
  <c r="V264" i="20" s="1"/>
  <c r="U265" i="20" l="1"/>
  <c r="V265" i="20" s="1"/>
  <c r="U266" i="20" l="1"/>
  <c r="V266" i="20" s="1"/>
  <c r="U267" i="20" l="1"/>
  <c r="V267" i="20" s="1"/>
  <c r="U268" i="20" l="1"/>
  <c r="V268" i="20" s="1"/>
  <c r="U269" i="20" l="1"/>
  <c r="V269" i="20" s="1"/>
  <c r="U270" i="20" l="1"/>
  <c r="V270" i="20" s="1"/>
  <c r="U271" i="20" l="1"/>
  <c r="V271" i="20" s="1"/>
  <c r="U272" i="20" l="1"/>
  <c r="V272" i="20" s="1"/>
  <c r="U273" i="20" l="1"/>
  <c r="V273" i="20" s="1"/>
  <c r="U274" i="20" l="1"/>
  <c r="V274" i="20" s="1"/>
  <c r="U275" i="20" l="1"/>
  <c r="V275" i="20" s="1"/>
  <c r="U276" i="20" l="1"/>
  <c r="V276" i="20" s="1"/>
  <c r="U277" i="20" l="1"/>
  <c r="V277" i="20" s="1"/>
  <c r="U278" i="20" l="1"/>
  <c r="V278" i="20" s="1"/>
  <c r="U279" i="20" l="1"/>
  <c r="V279" i="20" s="1"/>
  <c r="U280" i="20" l="1"/>
  <c r="V280" i="20" s="1"/>
  <c r="U281" i="20" l="1"/>
  <c r="V281" i="20" s="1"/>
  <c r="U282" i="20" l="1"/>
  <c r="V282" i="20" s="1"/>
  <c r="U283" i="20" l="1"/>
  <c r="V283" i="20" s="1"/>
  <c r="U284" i="20" l="1"/>
  <c r="V284" i="20" s="1"/>
  <c r="U285" i="20" l="1"/>
  <c r="V285" i="20" s="1"/>
  <c r="U286" i="20" l="1"/>
  <c r="V286" i="20" s="1"/>
  <c r="U287" i="20" l="1"/>
  <c r="V287" i="20" s="1"/>
  <c r="U288" i="20" l="1"/>
  <c r="V288" i="20" s="1"/>
  <c r="U289" i="20" l="1"/>
  <c r="V289" i="20" s="1"/>
  <c r="U290" i="20" l="1"/>
  <c r="V290" i="20" s="1"/>
  <c r="U291" i="20" l="1"/>
  <c r="V291" i="20" s="1"/>
  <c r="U292" i="20" l="1"/>
  <c r="V292" i="20" s="1"/>
  <c r="U293" i="20" l="1"/>
  <c r="V293" i="20" s="1"/>
  <c r="U294" i="20" l="1"/>
  <c r="V294" i="20" s="1"/>
  <c r="U295" i="20" l="1"/>
  <c r="V295" i="20" s="1"/>
  <c r="U296" i="20" l="1"/>
  <c r="V296" i="20" s="1"/>
  <c r="U297" i="20" l="1"/>
  <c r="V297" i="20" s="1"/>
  <c r="U298" i="20" l="1"/>
  <c r="V298" i="20" s="1"/>
  <c r="U299" i="20" l="1"/>
  <c r="V299" i="20" s="1"/>
  <c r="U300" i="20" l="1"/>
  <c r="V300" i="20" s="1"/>
  <c r="U301" i="20" l="1"/>
  <c r="V301" i="20" s="1"/>
  <c r="U302" i="20" l="1"/>
  <c r="V302" i="20" s="1"/>
  <c r="U303" i="20" l="1"/>
  <c r="V303" i="20" s="1"/>
  <c r="U304" i="20" l="1"/>
  <c r="V304" i="20" s="1"/>
  <c r="U305" i="20" l="1"/>
  <c r="V305" i="20" s="1"/>
  <c r="U306" i="20" l="1"/>
  <c r="V306" i="20" s="1"/>
  <c r="U307" i="20" l="1"/>
  <c r="V307" i="20" s="1"/>
  <c r="U308" i="20" l="1"/>
  <c r="V308" i="20" s="1"/>
  <c r="U309" i="20" l="1"/>
  <c r="V309" i="20" s="1"/>
  <c r="U310" i="20" l="1"/>
  <c r="V310" i="20" s="1"/>
  <c r="U311" i="20" l="1"/>
  <c r="V311" i="20" s="1"/>
  <c r="U312" i="20" l="1"/>
  <c r="V312" i="20" s="1"/>
  <c r="U313" i="20" l="1"/>
  <c r="V313" i="20" s="1"/>
  <c r="U314" i="20" l="1"/>
  <c r="V314" i="20" s="1"/>
  <c r="U315" i="20" l="1"/>
  <c r="V315" i="20" s="1"/>
  <c r="U316" i="20" l="1"/>
  <c r="V316" i="20" s="1"/>
  <c r="U317" i="20" l="1"/>
  <c r="V317" i="20" s="1"/>
  <c r="U318" i="20" l="1"/>
  <c r="V318" i="20" s="1"/>
  <c r="U319" i="20" l="1"/>
  <c r="V319" i="20" s="1"/>
  <c r="U320" i="20" l="1"/>
  <c r="V320" i="20" s="1"/>
  <c r="U321" i="20" l="1"/>
  <c r="V321" i="20" s="1"/>
  <c r="U322" i="20" l="1"/>
  <c r="V322" i="20" s="1"/>
  <c r="U323" i="20" l="1"/>
  <c r="V323" i="20" s="1"/>
  <c r="U324" i="20" l="1"/>
  <c r="V324" i="20" s="1"/>
  <c r="U325" i="20" l="1"/>
  <c r="V325" i="20" s="1"/>
  <c r="U326" i="20" l="1"/>
  <c r="V326" i="20" s="1"/>
  <c r="U327" i="20" l="1"/>
  <c r="V327" i="20" s="1"/>
  <c r="U328" i="20" l="1"/>
  <c r="V328" i="20" s="1"/>
  <c r="U329" i="20" l="1"/>
  <c r="V329" i="20" s="1"/>
  <c r="U330" i="20" l="1"/>
  <c r="V330" i="20" s="1"/>
  <c r="U331" i="20" l="1"/>
  <c r="V331" i="20" s="1"/>
  <c r="U332" i="20" l="1"/>
  <c r="V332" i="20" s="1"/>
  <c r="U333" i="20" l="1"/>
  <c r="V333" i="20" s="1"/>
  <c r="U334" i="20" l="1"/>
  <c r="V334" i="20" s="1"/>
  <c r="U335" i="20" l="1"/>
  <c r="V335" i="20" s="1"/>
  <c r="U336" i="20" l="1"/>
  <c r="V336" i="20" s="1"/>
  <c r="U337" i="20" l="1"/>
  <c r="V337" i="20" s="1"/>
  <c r="U338" i="20" l="1"/>
  <c r="V338" i="20" s="1"/>
  <c r="U339" i="20" l="1"/>
  <c r="V339" i="20" s="1"/>
  <c r="U340" i="20" l="1"/>
  <c r="V340" i="20" s="1"/>
  <c r="U341" i="20" l="1"/>
  <c r="V341" i="20" s="1"/>
  <c r="U342" i="20" l="1"/>
  <c r="V342" i="20" s="1"/>
  <c r="U343" i="20" l="1"/>
  <c r="V343" i="20" s="1"/>
  <c r="U344" i="20" l="1"/>
  <c r="V344" i="20" s="1"/>
  <c r="U345" i="20" l="1"/>
  <c r="V345" i="20" s="1"/>
  <c r="U346" i="20" l="1"/>
  <c r="V346" i="20" s="1"/>
  <c r="U347" i="20" l="1"/>
  <c r="V347" i="20" s="1"/>
  <c r="U348" i="20" l="1"/>
  <c r="V348" i="20" s="1"/>
  <c r="U349" i="20" l="1"/>
  <c r="V349" i="20" s="1"/>
  <c r="U350" i="20" l="1"/>
  <c r="V350" i="20" s="1"/>
  <c r="U351" i="20" l="1"/>
  <c r="V351" i="20" s="1"/>
  <c r="U352" i="20" l="1"/>
  <c r="V352" i="20" s="1"/>
  <c r="U353" i="20" l="1"/>
  <c r="V353" i="20" s="1"/>
  <c r="U354" i="20" l="1"/>
  <c r="V354" i="20" s="1"/>
  <c r="U355" i="20" l="1"/>
  <c r="V355" i="20" s="1"/>
  <c r="U356" i="20" l="1"/>
  <c r="V356" i="20" s="1"/>
  <c r="U357" i="20" l="1"/>
  <c r="V357" i="20" s="1"/>
  <c r="U358" i="20" l="1"/>
  <c r="V358" i="20" s="1"/>
  <c r="U359" i="20" l="1"/>
  <c r="V359" i="20" s="1"/>
  <c r="U360" i="20" l="1"/>
  <c r="V360" i="20" s="1"/>
  <c r="U361" i="20" l="1"/>
  <c r="V361" i="20" s="1"/>
  <c r="U362" i="20" l="1"/>
  <c r="V362" i="20" s="1"/>
  <c r="U363" i="20" l="1"/>
  <c r="V363" i="20" s="1"/>
  <c r="U364" i="20" l="1"/>
  <c r="V364" i="20" s="1"/>
  <c r="U365" i="20" l="1"/>
  <c r="V365" i="20" s="1"/>
  <c r="U366" i="20" l="1"/>
  <c r="V366" i="20" s="1"/>
  <c r="U367" i="20" l="1"/>
  <c r="V367" i="20" s="1"/>
  <c r="U368" i="20" l="1"/>
  <c r="V368" i="20" s="1"/>
  <c r="W3" i="20" l="1"/>
  <c r="W4" i="20" s="1"/>
  <c r="W5" i="20" s="1"/>
  <c r="W6" i="20" s="1"/>
  <c r="W7" i="20" s="1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X3" i="20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<sst xmlns="http://schemas.openxmlformats.org/spreadsheetml/2006/main" count="8744" uniqueCount="538">
  <si>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</si>
  <si>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</si>
  <si>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</si>
  <si>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</si>
  <si>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</si>
  <si>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</si>
  <si>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</si>
  <si>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</si>
  <si>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</si>
  <si>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</si>
  <si>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</si>
  <si>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</si>
  <si>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</si>
  <si>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</si>
  <si>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</si>
  <si>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</si>
  <si>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</si>
  <si>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</si>
  <si>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</si>
  <si>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</si>
  <si>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</si>
  <si>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</si>
  <si>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</si>
  <si>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</si>
  <si>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</si>
  <si>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</si>
  <si>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</si>
  <si>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</si>
  <si>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</si>
  <si>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</si>
  <si>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</si>
  <si>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</si>
  <si>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</si>
  <si>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</si>
  <si>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</si>
  <si>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</si>
  <si>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</si>
  <si>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</si>
  <si>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</si>
  <si>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</si>
  <si>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</si>
  <si>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</si>
  <si>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</si>
  <si>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</si>
  <si>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</si>
  <si>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</si>
  <si>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</si>
  <si>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</si>
  <si>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</si>
  <si>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</si>
  <si>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</si>
  <si>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</si>
  <si>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</si>
  <si>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</si>
  <si>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</si>
  <si>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</si>
  <si>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</si>
  <si>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</si>
  <si>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</si>
  <si>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</si>
  <si>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</si>
  <si>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</si>
  <si>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</si>
  <si>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</si>
  <si>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</si>
  <si>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</si>
  <si>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</si>
  <si>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</si>
  <si>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</si>
  <si>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</si>
  <si>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</si>
  <si>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</si>
  <si>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</si>
  <si>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</si>
  <si>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</si>
  <si>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</si>
  <si>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</si>
  <si>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</si>
  <si>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</si>
  <si>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</si>
  <si>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</si>
  <si>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</si>
  <si>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</si>
  <si>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</si>
  <si>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</si>
  <si>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</si>
  <si>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</si>
  <si>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</si>
  <si>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</si>
  <si>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</si>
  <si>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</si>
  <si>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</si>
  <si>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</si>
  <si>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</si>
  <si>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</si>
  <si>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</si>
  <si>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</si>
  <si>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</si>
  <si>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</si>
  <si>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</si>
  <si>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</si>
  <si>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</si>
  <si>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</si>
  <si>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</si>
  <si>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</si>
  <si>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</si>
  <si>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</si>
  <si>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</si>
  <si>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</si>
  <si>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</si>
  <si>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</si>
  <si>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</si>
  <si>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</si>
  <si>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</si>
  <si>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</si>
  <si>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</si>
  <si>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</si>
  <si>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</si>
  <si>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</si>
  <si>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</si>
  <si>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</si>
  <si>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</si>
  <si>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</si>
  <si>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</si>
  <si>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</si>
  <si>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</si>
  <si>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</si>
  <si>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</si>
  <si>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</si>
  <si>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</si>
  <si>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</si>
  <si>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</si>
  <si>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</si>
  <si>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</si>
  <si>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</si>
  <si>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</si>
  <si>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</si>
  <si>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</si>
  <si>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</si>
  <si>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</si>
  <si>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</si>
  <si>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</si>
  <si>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</si>
  <si>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</si>
  <si>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</si>
  <si>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</si>
  <si>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</si>
  <si>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</si>
  <si>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</si>
  <si>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</si>
  <si>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</si>
  <si>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</si>
  <si>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</si>
  <si>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</si>
  <si>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</si>
  <si>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</si>
  <si>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</si>
  <si>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</si>
  <si>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</si>
  <si>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</si>
  <si>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</si>
  <si>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</si>
  <si>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</si>
  <si>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</si>
  <si>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</si>
  <si>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</si>
  <si>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</si>
  <si>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</si>
  <si>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</si>
  <si>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</si>
  <si>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</si>
  <si>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</si>
  <si>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</si>
  <si>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</si>
  <si>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</si>
  <si>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</si>
  <si>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</si>
  <si>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</si>
  <si>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</si>
  <si>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</si>
  <si>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</si>
  <si>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</si>
  <si>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</si>
  <si>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</si>
  <si>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</si>
  <si>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</si>
  <si>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</si>
  <si>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</si>
  <si>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</si>
  <si>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</si>
  <si>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</si>
  <si>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</si>
  <si>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</si>
  <si>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</si>
  <si>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</si>
  <si>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Miscellaneous information (can be anything)</t>
  </si>
  <si>
    <t>Monthly</t>
  </si>
  <si>
    <t>BarTypes:</t>
  </si>
  <si>
    <t>Self-Serve Fees</t>
  </si>
  <si>
    <t>Suite Bar Refresh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</si>
  <si>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</si>
  <si>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</si>
  <si>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</si>
  <si>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</si>
  <si>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</si>
  <si>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</si>
  <si>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</si>
  <si>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</si>
  <si>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</si>
  <si>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</si>
  <si>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</si>
  <si>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</si>
  <si>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</si>
  <si>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</si>
  <si>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</si>
  <si>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</si>
  <si>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</si>
  <si>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</si>
  <si>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</si>
  <si>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</si>
  <si>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</si>
  <si>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</si>
  <si>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</si>
  <si>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</si>
  <si>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</si>
  <si>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</si>
  <si>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</si>
  <si>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</si>
  <si>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</si>
  <si>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</si>
  <si>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</si>
  <si>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</si>
  <si>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</si>
  <si>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</si>
  <si>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</si>
  <si>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</si>
  <si>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</si>
  <si>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</si>
  <si>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</si>
  <si>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</si>
  <si>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</si>
  <si>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</si>
  <si>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</si>
  <si>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</si>
  <si>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</si>
  <si>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</si>
  <si>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</si>
  <si>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</si>
  <si>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</si>
  <si>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</si>
  <si>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</si>
  <si>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</si>
  <si>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</si>
  <si>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</si>
  <si>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</si>
  <si>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</si>
  <si>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</si>
  <si>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</si>
  <si>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</si>
  <si>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</si>
  <si>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</si>
  <si>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</si>
  <si>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</si>
  <si>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</si>
  <si>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</si>
  <si>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</si>
  <si>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</si>
  <si>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</si>
  <si>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</si>
  <si>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</si>
  <si>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</si>
  <si>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</si>
  <si>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</si>
  <si>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</si>
  <si>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</si>
  <si>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</si>
  <si>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</si>
  <si>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</si>
  <si>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</si>
  <si>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</si>
  <si>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</si>
  <si>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</si>
  <si>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</si>
  <si>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</si>
  <si>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</si>
  <si>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</si>
  <si>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</si>
  <si>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</si>
  <si>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</si>
  <si>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</si>
  <si>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</si>
  <si>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</si>
  <si>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</si>
  <si>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</si>
  <si>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</si>
  <si>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</si>
  <si>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</si>
  <si>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This Year</t>
  </si>
  <si>
    <t>Combined</t>
  </si>
  <si>
    <t>Dummy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</si>
  <si>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</si>
  <si>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</si>
  <si>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</si>
  <si>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</si>
  <si>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</si>
  <si>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</si>
  <si>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</si>
  <si>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</si>
  <si>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</si>
  <si>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</si>
  <si>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</si>
  <si>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</si>
  <si>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</si>
  <si>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</si>
  <si>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</si>
  <si>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</si>
  <si>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</si>
  <si>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</si>
  <si>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</si>
  <si>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</si>
  <si>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</si>
  <si>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</si>
  <si>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</si>
  <si>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</si>
  <si>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</si>
  <si>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</si>
  <si>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</si>
  <si>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</si>
  <si>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</si>
  <si>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</si>
  <si>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</si>
  <si>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</si>
  <si>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</si>
  <si>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</si>
  <si>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</si>
  <si>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</si>
  <si>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</si>
  <si>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</si>
  <si>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</si>
  <si>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</si>
  <si>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</si>
  <si>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</si>
  <si>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</si>
  <si>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</si>
  <si>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Dewey Cheatam &amp; Howe</t>
  </si>
  <si>
    <t>Surf Board of Directors</t>
  </si>
  <si>
    <t>Risky Business Risk Solutions</t>
  </si>
  <si>
    <t>Tappa Kegga Brew</t>
  </si>
  <si>
    <t>Placebo Pharmaceuticals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</si>
  <si>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</si>
  <si>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</si>
  <si>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</si>
  <si>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</si>
  <si>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</si>
  <si>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</si>
  <si>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</si>
  <si>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</si>
  <si>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</si>
  <si>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</si>
  <si>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</si>
  <si>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</si>
  <si>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</si>
  <si>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</si>
  <si>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</si>
  <si>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</si>
  <si>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</si>
  <si>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</si>
  <si>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</si>
  <si>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</si>
  <si>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</si>
  <si>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</si>
  <si>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</si>
  <si>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</si>
  <si>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</si>
  <si>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</si>
  <si>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</si>
  <si>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</si>
  <si>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</si>
  <si>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</si>
  <si>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</si>
  <si>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</si>
  <si>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</si>
  <si>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</si>
  <si>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</si>
  <si>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</si>
  <si>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</si>
  <si>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</si>
  <si>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</si>
  <si>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</si>
  <si>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</si>
  <si>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</si>
  <si>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</si>
  <si>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</si>
  <si>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</si>
  <si>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</si>
  <si>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</si>
  <si>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</si>
  <si>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</si>
  <si>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</si>
  <si>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</si>
  <si>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</si>
  <si>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</si>
  <si>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</si>
  <si>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</si>
  <si>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</si>
  <si>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</si>
  <si>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</si>
  <si>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</si>
  <si>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</si>
  <si>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</si>
  <si>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</si>
  <si>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</si>
  <si>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</si>
  <si>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</si>
  <si>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</si>
  <si>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</si>
  <si>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</si>
  <si>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</si>
  <si>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Miles O'Brien</t>
  </si>
  <si>
    <t>James Kirk</t>
  </si>
  <si>
    <t>Spock</t>
  </si>
  <si>
    <t>Leonard McCoy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</si>
  <si>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</si>
  <si>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</si>
  <si>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</si>
  <si>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</si>
  <si>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</si>
  <si>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</si>
  <si>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</si>
  <si>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</si>
  <si>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</si>
  <si>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</si>
  <si>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Seven of Nine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</si>
  <si>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</si>
  <si>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</si>
  <si>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</si>
  <si>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</si>
  <si>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</si>
  <si>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</si>
  <si>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</si>
  <si>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</si>
  <si>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</si>
  <si>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</si>
  <si>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</si>
  <si>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Revenue Timeline:</t>
  </si>
  <si>
    <t>Gilligan</t>
  </si>
  <si>
    <t>3 Hour Tour Coastal Excursions</t>
  </si>
  <si>
    <t>Cost:</t>
  </si>
  <si>
    <t>Kelly Kapoor</t>
  </si>
  <si>
    <t>Jethro Bodine</t>
  </si>
  <si>
    <t>John Jigsaw Kramer</t>
  </si>
  <si>
    <t>Mary Shelley</t>
  </si>
  <si>
    <t>Frank N Stein Medical College</t>
  </si>
  <si>
    <t>John Blutarsky</t>
  </si>
  <si>
    <t>Jeff Spicoli</t>
  </si>
  <si>
    <t>Reception</t>
  </si>
  <si>
    <t>Main Ballroom A</t>
  </si>
  <si>
    <t>Reception/Dinner</t>
  </si>
  <si>
    <t>Sunset Parlor</t>
  </si>
  <si>
    <t>Hospitality</t>
  </si>
  <si>
    <t>Presidential Suite</t>
  </si>
  <si>
    <t>Main Ballroom A/B</t>
  </si>
  <si>
    <t>City Lights Parlor</t>
  </si>
  <si>
    <t>Main Ballroom A/B/C/D</t>
  </si>
  <si>
    <t>Governor's Suite</t>
  </si>
  <si>
    <t>Queen's Hall A/B</t>
  </si>
  <si>
    <t>Dinner/Dance</t>
  </si>
  <si>
    <t>King's Hall A/B/C</t>
  </si>
  <si>
    <t>Meeting Room 5</t>
  </si>
  <si>
    <t>Meeting Room 7</t>
  </si>
  <si>
    <t>Meeting Room 1</t>
  </si>
  <si>
    <t>King's Hall Foyer/A/B/C</t>
  </si>
  <si>
    <t>Queen's Hall Foyer/A/B</t>
  </si>
  <si>
    <t>Queen's Hall A/B/C</t>
  </si>
  <si>
    <t>King's Hall A/B/C/D</t>
  </si>
  <si>
    <t>Precon Meeting</t>
  </si>
  <si>
    <t>Meeting Room 2</t>
  </si>
  <si>
    <t>Meeting</t>
  </si>
  <si>
    <t>Ambassador's Suite</t>
  </si>
  <si>
    <t>Meeting Room 4</t>
  </si>
  <si>
    <t>Main Ballroom A/B/C</t>
  </si>
  <si>
    <t>Dance</t>
  </si>
  <si>
    <t>Dinner</t>
  </si>
  <si>
    <t xml:space="preserve">Ocean View Parlor </t>
  </si>
  <si>
    <t>King's Hall Foyer/A/B/C/D</t>
  </si>
  <si>
    <t>Meteoric Airlines</t>
  </si>
  <si>
    <t>Meeting Room 9</t>
  </si>
  <si>
    <t>Queen's Hall Foyer/A/B/C</t>
  </si>
  <si>
    <t>Sunrise Parlor</t>
  </si>
  <si>
    <t>Ocean View Parlor</t>
  </si>
  <si>
    <t>King's Hall Foyer/A/B</t>
  </si>
  <si>
    <t>Main Ballroom B</t>
  </si>
  <si>
    <t>Main Ballroom Foyer</t>
  </si>
  <si>
    <t>Main Ballroom C</t>
  </si>
  <si>
    <t>Main Ballroom D</t>
  </si>
  <si>
    <t>Dinner/Meeting</t>
  </si>
  <si>
    <t>Meeting Room 6</t>
  </si>
  <si>
    <t>Meeting Room 3</t>
  </si>
  <si>
    <t>Meeting Room 8</t>
  </si>
  <si>
    <t>Reception/Meeting</t>
  </si>
  <si>
    <t>King's Hall A</t>
  </si>
  <si>
    <t>Queen's Hall A</t>
  </si>
  <si>
    <t>Amenity</t>
  </si>
  <si>
    <t>Sky View Parlor</t>
  </si>
  <si>
    <t>City Light Foyer</t>
  </si>
  <si>
    <t>Queen's Hall Foyer</t>
  </si>
  <si>
    <t>Sky View Foyer</t>
  </si>
  <si>
    <t>Welcome Toast</t>
  </si>
  <si>
    <t>Maximum</t>
  </si>
  <si>
    <t>GoalX</t>
  </si>
  <si>
    <t>GoalY</t>
  </si>
  <si>
    <t>GoalLabel</t>
  </si>
  <si>
    <t>The cost within each category is calculated relative to that category's revenue rather than relative to total beverage revenue.</t>
  </si>
  <si>
    <t>Yes</t>
  </si>
  <si>
    <t>Period Frequency?</t>
  </si>
  <si>
    <t>Average</t>
  </si>
  <si>
    <t>Corncobb Hygenic Products</t>
  </si>
  <si>
    <t>No bartender fees for beer attendants</t>
  </si>
  <si>
    <t>Beverages Billed to Groups</t>
  </si>
  <si>
    <t>Beverages Billed to Hotel</t>
  </si>
  <si>
    <t>Beverages Purchased by Guests</t>
  </si>
  <si>
    <t>Soft Drinks?</t>
  </si>
  <si>
    <t>Should beverage</t>
  </si>
  <si>
    <t>revenue include</t>
  </si>
  <si>
    <t>charges to "Hotel"?</t>
  </si>
  <si>
    <t>charges to "EPO"?</t>
  </si>
  <si>
    <t>charges to "Group"?</t>
  </si>
  <si>
    <t>Should category</t>
  </si>
  <si>
    <t>"Other" include</t>
  </si>
  <si>
    <t>No</t>
  </si>
  <si>
    <t>Include Revenue Billed To:</t>
  </si>
  <si>
    <t xml:space="preserve">EPO? </t>
  </si>
  <si>
    <t xml:space="preserve">Hotel? </t>
  </si>
  <si>
    <t>Group?</t>
  </si>
  <si>
    <t>Drinks</t>
  </si>
  <si>
    <t>per Drink</t>
  </si>
  <si>
    <t>per Guest</t>
  </si>
  <si>
    <t>Bars Serving: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</si>
</sst>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1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  <xf numFmtId="165" fontId="0" fillId="0" borderId="0" xfId="4" applyNumberFormat="1" applyFont="1"/>
    <xf numFmtId="178" fontId="8" fillId="0" borderId="0" xfId="0" applyNumberFormat="1" applyFont="1"/>
    <xf numFmtId="0" fontId="8" fillId="0" borderId="17" xfId="0" applyFont="1" applyBorder="1"/>
    <xf numFmtId="0" fontId="31" fillId="0" borderId="0" xfId="0" applyFont="1" applyAlignment="1">
      <alignment horizontal="right"/>
    </xf>
    <xf numFmtId="0" fontId="0" fillId="0" borderId="2" xfId="0" applyBorder="1" applyAlignment="1">
      <alignment horizontal="center"/>
    </xf>
    <xf numFmtId="167" fontId="21" fillId="0" borderId="0" xfId="0" applyNumberFormat="1" applyFont="1" applyAlignment="1">
      <alignment horizontal="left"/>
    </xf>
    <xf numFmtId="167" fontId="24" fillId="0" borderId="0" xfId="1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0" fontId="18" fillId="0" borderId="0" xfId="0" applyFont="1" applyAlignment="1">
      <alignment horizontal="center" vertical="center" textRotation="90"/>
    </xf>
    <xf numFmtId="0" fontId="0" fillId="0" borderId="0" xfId="0" applyAlignment="1">
      <alignment horizontal="right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175" fontId="21" fillId="0" borderId="0" xfId="0" applyNumberFormat="1" applyFont="1" applyAlignment="1">
      <alignment horizontal="left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  <xf numFmtId="170" fontId="0" fillId="0" borderId="9" xfId="4" applyNumberFormat="1" applyFont="1" applyBorder="1" applyAlignment="1" applyProtection="1">
      <alignment horizontal="right"/>
    </xf>
    <xf numFmtId="169" fontId="0" fillId="0" borderId="9" xfId="4" applyNumberFormat="1" applyFont="1" applyBorder="1" applyAlignment="1" applyProtection="1">
      <alignment horizontal="right"/>
    </xf>
    <xf numFmtId="0" fontId="0" fillId="0" borderId="0" xfId="0" applyNumberFormat="1" applyAlignment="1" applyProtection="1">
      <alignment horizontal="left"/>
    </xf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1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69" formatCode="0.00;\-0.00;;@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15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200030.13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162564.79250000001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163472.43000000002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33433.47999999988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F2E7DD-419C-44E7-9948-41B5F7A4F8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408C1F-F04E-4E40-96A2-98822007CF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1325C3-7D96-48CB-B855-C51F71AC60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2232967.8959999997</c:v>
                </c:pt>
                <c:pt idx="1">
                  <c:v>476700.8324999999</c:v>
                </c:pt>
                <c:pt idx="2">
                  <c:v>2677200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06371A-6201-4C4B-8560-3B64A7BB64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58AC00-769D-466B-A91D-E0DDF58F53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B4CFC9-2609-4D4F-ACC3-43A43F31D2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F6BE59-7341-420B-BDBB-21E9B0AAE5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100015.065</c:v>
                </c:pt>
                <c:pt idx="1">
                  <c:v>281312.52625</c:v>
                </c:pt>
                <c:pt idx="2">
                  <c:v>444331.13750000001</c:v>
                </c:pt>
                <c:pt idx="3">
                  <c:v>542784.09250000003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200,030 </c:v>
                  </c:pt>
                  <c:pt idx="1">
                    <c:v> 162,565 </c:v>
                  </c:pt>
                  <c:pt idx="2">
                    <c:v> 163,472 </c:v>
                  </c:pt>
                  <c:pt idx="3">
                    <c:v> 33,433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F5B169-1776-41BE-8765-E25BBAEB31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4D0446-42E6-48BA-AB17-3FD7EF3E4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12DBFE-AEDC-42B6-BF40-4EA66AB905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255C9C-B539-4840-8798-AA15EFCB3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5D9C63C-44BB-4B9B-83AE-53024BB7FF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399846-07AC-4AEA-8155-BA98D744E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640229-B32F-4E7F-808B-513FDBE64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494C6A-A061-40D5-9F43-D17064E5AB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0174E41-1BA1-431F-98DE-BB8CB7A86B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299176-9354-4B1C-AB55-0514E589B9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2224155.9139285674</c:v>
                </c:pt>
                <c:pt idx="1">
                  <c:v>2224155.9139285674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9AF20BA-C4A9-465C-A2B7-4A5142BABC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06CF9C-E063-43A4-B2C1-5DE07F97E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559500.8324999999</c:v>
                </c:pt>
                <c:pt idx="1">
                  <c:v>2224155.9139285674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2,224,156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4.0574722605965348E-2</c:v>
                </c:pt>
                <c:pt idx="1">
                  <c:v>3.7729613208395026E-2</c:v>
                </c:pt>
                <c:pt idx="2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3.6671429872866687E-2</c:v>
                </c:pt>
                <c:pt idx="1">
                  <c:v>2.7444373820480424E-2</c:v>
                </c:pt>
                <c:pt idx="2">
                  <c:v>3.0434782608695653E-2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3.0981878677879385E-2</c:v>
                </c:pt>
                <c:pt idx="1">
                  <c:v>2.5556101384353175E-2</c:v>
                </c:pt>
                <c:pt idx="2">
                  <c:v>3.9130434782608699E-2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4.8169456098203049E-3</c:v>
                </c:pt>
                <c:pt idx="1">
                  <c:v>3.0062868583846138E-3</c:v>
                </c:pt>
                <c:pt idx="2">
                  <c:v>2.6086956521739132E-3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A465C7-4DCB-47A4-9A18-04D795907C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85433F-E03B-4784-9BA1-94BBF60085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88008E-B44B-4380-BE99-16A3DD6D58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0.10957541154914043</c:v>
                </c:pt>
                <c:pt idx="1">
                  <c:v>9.0266810054221921E-2</c:v>
                </c:pt>
                <c:pt idx="2">
                  <c:v>0.11218260869565219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50216A2-F2E0-4BE6-B460-9CD6DC8FCE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2F727B-3210-4E3C-9784-4A32F0D347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B8A13A-F794-4C31-8978-E72733D80A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070BA8-C9CC-414C-ADB8-DA21791215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1.8864806604197513E-2</c:v>
                </c:pt>
                <c:pt idx="1">
                  <c:v>5.1451800118635239E-2</c:v>
                </c:pt>
                <c:pt idx="2">
                  <c:v>7.7952037721052039E-2</c:v>
                </c:pt>
                <c:pt idx="3">
                  <c:v>9.2233231842420924E-2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3.8%</c:v>
                  </c:pt>
                  <c:pt idx="1">
                    <c:v>2.7%</c:v>
                  </c:pt>
                  <c:pt idx="2">
                    <c:v>2.6%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3560CE-463E-431E-A54D-A2B8F26633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4A0691-DB7A-4D39-ACF8-BA862DBE3A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C86B06-652A-41E7-A8EA-2F6C797588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72D92C-8834-4515-B0B5-7DD3053F5A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2.0287361302982674E-2</c:v>
                </c:pt>
                <c:pt idx="1">
                  <c:v>5.8910437542398691E-2</c:v>
                </c:pt>
                <c:pt idx="2">
                  <c:v>9.2737091817771733E-2</c:v>
                </c:pt>
                <c:pt idx="3">
                  <c:v>0.11063650396162157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4.1%</c:v>
                  </c:pt>
                  <c:pt idx="1">
                    <c:v>3.7%</c:v>
                  </c:pt>
                  <c:pt idx="2">
                    <c:v>3.1%</c:v>
                  </c:pt>
                  <c:pt idx="3">
                    <c:v>0.5%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9A2185-A3CE-4DCA-A8AE-5653FA2D30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F24F2E-8D95-402D-A635-C8BA9D50C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1EAD81-9F77-4848-A7E5-3904374F44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D7FA5A-EFC3-4002-8595-EDD7040BF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2.1739130434782608E-2</c:v>
                </c:pt>
                <c:pt idx="1">
                  <c:v>5.8695652173913045E-2</c:v>
                </c:pt>
                <c:pt idx="2">
                  <c:v>9.3478260869565219E-2</c:v>
                </c:pt>
                <c:pt idx="3">
                  <c:v>0.11434782608695654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4.3%</c:v>
                  </c:pt>
                  <c:pt idx="1">
                    <c:v>3.0%</c:v>
                  </c:pt>
                  <c:pt idx="2">
                    <c:v>3.9%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0.1156521739130435</c:v>
                </c:pt>
                <c:pt idx="1">
                  <c:v>0.1156521739130435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5EC5781-AE22-45BD-84B9-9A4680F377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7354D4-147D-4026-AB6D-96241DF75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0.10408670121828473</c:v>
                </c:pt>
                <c:pt idx="1">
                  <c:v>0.10408670121828473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8B47DF-0683-4A40-9F0D-4A30DD6EE3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B95226-CCBD-4869-9DBA-CB8AED3941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9.3736375271613229E-2</c:v>
                </c:pt>
                <c:pt idx="1">
                  <c:v>0.10408670121828473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At val="0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numFmt formatCode="0.0%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 rot="0" vert="wordArtVert" anchor="t" anchorCtr="0"/>
          <a:lstStyle/>
          <a:p>
            <a:pPr>
              <a:defRPr>
                <a:noFill/>
              </a:defRPr>
            </a:pPr>
            <a:endParaRPr lang="en-US"/>
          </a:p>
        </c:tx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DB82246-C9E6-4A51-B997-259F56852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2807A4-FC3A-43FB-9A00-B9A28C6F41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122.37420634704962</c:v>
                </c:pt>
                <c:pt idx="1">
                  <c:v>1</c:v>
                </c:pt>
                <c:pt idx="2">
                  <c:v>56.625793652950378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45997B2-9B8B-4AA0-87FC-DEAABA92F549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6AEBC4F-5522-4D53-B107-70D4C407CF55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F4D48DA6-669E-41E5-8EF9-A2AB3C60DB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Revenue Goal Not Attainable</c:v>
                  </c:pt>
                  <c:pt idx="1">
                    <c:v>Revenue Goal Attainable</c:v>
                  </c:pt>
                  <c:pt idx="2">
                    <c:v>$7,191 per day is needed for revenue to increase above the goal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2683670-20EA-4D74-B990-063FE4304A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4CC276-301C-4663-9437-154737D83E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94.80379181348448</c:v>
                </c:pt>
                <c:pt idx="1">
                  <c:v>1</c:v>
                </c:pt>
                <c:pt idx="2">
                  <c:v>84.19620818651552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D8639A-47A5-4CFA-ABC5-79553855C260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5A38AE5-0B76-4349-98BF-26918024CCB5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77547994-073D-4A5A-BFCA-F5C8888D47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Efficiency Goal Not Losable</c:v>
                  </c:pt>
                  <c:pt idx="1">
                    <c:v>Efficiency Goal Losable</c:v>
                  </c:pt>
                  <c:pt idx="2">
                    <c:v>Cost efficiency has passed below the goal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17494</c:v>
                </c:pt>
                <c:pt idx="1">
                  <c:v>19157</c:v>
                </c:pt>
                <c:pt idx="2">
                  <c:v>24944</c:v>
                </c:pt>
                <c:pt idx="3">
                  <c:v>26506</c:v>
                </c:pt>
                <c:pt idx="4">
                  <c:v>30698.3</c:v>
                </c:pt>
                <c:pt idx="5">
                  <c:v>33510.75</c:v>
                </c:pt>
                <c:pt idx="6">
                  <c:v>38429.600000000006</c:v>
                </c:pt>
                <c:pt idx="7">
                  <c:v>51204.352499999994</c:v>
                </c:pt>
                <c:pt idx="8">
                  <c:v>95022.93</c:v>
                </c:pt>
                <c:pt idx="9">
                  <c:v>118411.99999999999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8D767EC-AF94-4457-8EA1-51646CFAF9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05E33D-DBBB-429C-87C3-679FE88BB5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67129B-CB4E-4876-83AF-AC787EAA08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C28FEB-5AEA-4BC2-8C8F-67AA10978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89C3AF-FC4A-48EB-8964-3221598CDF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C009B5-C6B1-4E40-A995-BC19BCF4B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55672E-27B0-4CDF-98C7-0D9D4EF37D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2F4876-7278-4995-8FCE-70DDFB72FE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753BDC-EE91-4A9F-B85E-6FC2586876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D19FB3-89E9-4528-B9CE-2D7F2EEE82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17,494 </c:v>
                  </c:pt>
                  <c:pt idx="1">
                    <c:v> 19,157 </c:v>
                  </c:pt>
                  <c:pt idx="2">
                    <c:v> 24,944 </c:v>
                  </c:pt>
                  <c:pt idx="3">
                    <c:v> 26,506 </c:v>
                  </c:pt>
                  <c:pt idx="4">
                    <c:v> 30,698 </c:v>
                  </c:pt>
                  <c:pt idx="5">
                    <c:v> 33,511 </c:v>
                  </c:pt>
                  <c:pt idx="6">
                    <c:v> 38,430 </c:v>
                  </c:pt>
                  <c:pt idx="7">
                    <c:v> 51,204 </c:v>
                  </c:pt>
                  <c:pt idx="8">
                    <c:v> 95,023 </c:v>
                  </c:pt>
                  <c:pt idx="9">
                    <c:v> 118,412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DC3739-E307-4194-A9B8-2116501445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DD5461-4850-4786-9C2C-BDD85D110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38EA21-53CC-4B88-80F7-DEFCC0F6C3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106E4E-6CA5-489E-A22E-B777BA1C9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614373-7CFE-4541-A3E9-9000D24C37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3E4DFA-857A-4CEA-AF21-CC8E33F7F8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E417FB-5B14-42B2-8622-16F64814D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FF7823-405D-4DFE-AA11-55C2B36FF2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9A0A78-07BE-4E63-8D69-BB16365139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FDAF9B-2309-4134-8EB9-9B7430069C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623.49600000000009</c:v>
                </c:pt>
                <c:pt idx="1">
                  <c:v>623.49600000000009</c:v>
                </c:pt>
                <c:pt idx="2">
                  <c:v>623.49600000000009</c:v>
                </c:pt>
                <c:pt idx="3">
                  <c:v>623.49600000000009</c:v>
                </c:pt>
                <c:pt idx="4">
                  <c:v>623.49600000000009</c:v>
                </c:pt>
                <c:pt idx="5">
                  <c:v>623.49600000000009</c:v>
                </c:pt>
                <c:pt idx="6">
                  <c:v>623.49600000000009</c:v>
                </c:pt>
                <c:pt idx="7">
                  <c:v>623.49600000000009</c:v>
                </c:pt>
                <c:pt idx="8">
                  <c:v>623.49600000000009</c:v>
                </c:pt>
                <c:pt idx="9">
                  <c:v>623.49600000000009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008ED05-493C-43E8-97A1-FBE795F9A0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574764-6063-48E1-8F6A-72793BEB0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9EF104-C2F1-450D-B18C-E0B87E4291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D378C7-5021-4A60-8BFC-CCE1F0D42E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504CE0-D141-4C5A-8C14-8EDEB48A19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227350-A571-4817-8186-F4DD0EC183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4D00EB-DA88-40C2-8BA7-73483BD3AF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9D26B5-093B-4938-A646-A9FCF59CF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8FE12B-C5D4-4400-948A-9A8690AAC0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E31E5A-CB0D-4370-84DD-CE97AB8E44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148EF56-0C6B-45AB-BF69-127D3BEBD9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E6A705-BC5B-4180-86C3-C92CBBBFC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D916C0-4110-4BA6-A96C-0697C25CD7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3D19D4-4990-4441-B54B-E124B4DFBA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8B7C53-7339-4E89-BA40-4F4733DF9B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5F349F-CD1C-4819-A852-FB4577328A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431D21-AC2D-42A0-9550-009C45C88A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B0569E-0A97-4B67-BB99-090AD94E1E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7B1193-941A-4117-9D49-96AD4C9773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4CA8D7-275D-4555-B963-92A6CA6C76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4"/>
          <c:order val="3"/>
          <c:tx>
            <c:strRef>
              <c:f>'At A Glance'!$AK$62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4-4966-A0CD-63D8F3CC8D5B}"/>
            </c:ext>
          </c:extLst>
        </c:ser>
        <c:ser>
          <c:idx val="0"/>
          <c:order val="4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B7C7AC9-FCE8-4A41-BDA2-2C0997B991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C19E55-657A-4CF3-BF25-912BFD3AF3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57E2D2-BC8B-459B-9B93-3CED584900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17A046-B383-426A-9E7D-9E9967F407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54D493-8E09-462C-A1D2-22E6CD02A7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1E9269-177B-4F00-B9F8-C7235BCF4F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BD35D0-097D-461C-A5A8-51942E8F7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FC55AD-A11E-43B2-9908-433F3CF4F8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AA479A-9961-4935-BAB2-AD0D2F622D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AA1F1A-1334-4266-9045-D2F6A1AF04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62804785351793058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4699110413396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7611923509561303"/>
          <c:w val="0.89696057223616277"/>
          <c:h val="0.63291263592051006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632.48</c:v>
                </c:pt>
                <c:pt idx="11">
                  <c:v>15285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50701.94</c:v>
                </c:pt>
                <c:pt idx="21">
                  <c:v>2712.59</c:v>
                </c:pt>
                <c:pt idx="22">
                  <c:v>38208.400000000001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12927.42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5293.2</c:v>
                </c:pt>
                <c:pt idx="40">
                  <c:v>54667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35646.5</c:v>
                </c:pt>
                <c:pt idx="49">
                  <c:v>883.1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</c:v>
                </c:pt>
                <c:pt idx="53">
                  <c:v>2304.02</c:v>
                </c:pt>
                <c:pt idx="54">
                  <c:v>928</c:v>
                </c:pt>
                <c:pt idx="55">
                  <c:v>16993</c:v>
                </c:pt>
                <c:pt idx="56">
                  <c:v>0</c:v>
                </c:pt>
                <c:pt idx="57">
                  <c:v>6500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Average</c:v>
          </c:tx>
          <c:spPr>
            <a:ln w="127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14-4A83-8868-5580E0D67C67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9483.0649576271171</c:v>
                </c:pt>
                <c:pt idx="1">
                  <c:v>9483.0649576271171</c:v>
                </c:pt>
                <c:pt idx="2">
                  <c:v>9483.0649576271171</c:v>
                </c:pt>
                <c:pt idx="3">
                  <c:v>9483.0649576271171</c:v>
                </c:pt>
                <c:pt idx="4">
                  <c:v>9483.0649576271171</c:v>
                </c:pt>
                <c:pt idx="5">
                  <c:v>9483.0649576271171</c:v>
                </c:pt>
                <c:pt idx="6">
                  <c:v>9483.0649576271171</c:v>
                </c:pt>
                <c:pt idx="7">
                  <c:v>9483.0649576271171</c:v>
                </c:pt>
                <c:pt idx="8">
                  <c:v>9483.0649576271171</c:v>
                </c:pt>
                <c:pt idx="9">
                  <c:v>9483.0649576271171</c:v>
                </c:pt>
                <c:pt idx="10">
                  <c:v>9483.0649576271171</c:v>
                </c:pt>
                <c:pt idx="11">
                  <c:v>9483.0649576271171</c:v>
                </c:pt>
                <c:pt idx="12">
                  <c:v>9483.0649576271171</c:v>
                </c:pt>
                <c:pt idx="13">
                  <c:v>9483.0649576271171</c:v>
                </c:pt>
                <c:pt idx="14">
                  <c:v>9483.0649576271171</c:v>
                </c:pt>
                <c:pt idx="15">
                  <c:v>9483.0649576271171</c:v>
                </c:pt>
                <c:pt idx="16">
                  <c:v>9483.0649576271171</c:v>
                </c:pt>
                <c:pt idx="17">
                  <c:v>9483.0649576271171</c:v>
                </c:pt>
                <c:pt idx="18">
                  <c:v>9483.0649576271171</c:v>
                </c:pt>
                <c:pt idx="19">
                  <c:v>9483.0649576271171</c:v>
                </c:pt>
                <c:pt idx="20">
                  <c:v>9483.0649576271171</c:v>
                </c:pt>
                <c:pt idx="21">
                  <c:v>9483.0649576271171</c:v>
                </c:pt>
                <c:pt idx="22">
                  <c:v>9483.0649576271171</c:v>
                </c:pt>
                <c:pt idx="23">
                  <c:v>9483.0649576271171</c:v>
                </c:pt>
                <c:pt idx="24">
                  <c:v>9483.0649576271171</c:v>
                </c:pt>
                <c:pt idx="25">
                  <c:v>9483.0649576271171</c:v>
                </c:pt>
                <c:pt idx="26">
                  <c:v>9483.0649576271171</c:v>
                </c:pt>
                <c:pt idx="27">
                  <c:v>9483.0649576271171</c:v>
                </c:pt>
                <c:pt idx="28">
                  <c:v>9483.0649576271171</c:v>
                </c:pt>
                <c:pt idx="29">
                  <c:v>9483.0649576271171</c:v>
                </c:pt>
                <c:pt idx="30">
                  <c:v>9483.0649576271171</c:v>
                </c:pt>
                <c:pt idx="31">
                  <c:v>9483.0649576271171</c:v>
                </c:pt>
                <c:pt idx="32">
                  <c:v>9483.0649576271171</c:v>
                </c:pt>
                <c:pt idx="33">
                  <c:v>9483.0649576271171</c:v>
                </c:pt>
                <c:pt idx="34">
                  <c:v>9483.0649576271171</c:v>
                </c:pt>
                <c:pt idx="35">
                  <c:v>9483.0649576271171</c:v>
                </c:pt>
                <c:pt idx="36">
                  <c:v>9483.0649576271171</c:v>
                </c:pt>
                <c:pt idx="37">
                  <c:v>9483.0649576271171</c:v>
                </c:pt>
                <c:pt idx="38">
                  <c:v>9483.0649576271171</c:v>
                </c:pt>
                <c:pt idx="39">
                  <c:v>9483.0649576271171</c:v>
                </c:pt>
                <c:pt idx="40">
                  <c:v>9483.0649576271171</c:v>
                </c:pt>
                <c:pt idx="41">
                  <c:v>9483.0649576271171</c:v>
                </c:pt>
                <c:pt idx="42">
                  <c:v>9483.0649576271171</c:v>
                </c:pt>
                <c:pt idx="43">
                  <c:v>9483.0649576271171</c:v>
                </c:pt>
                <c:pt idx="44">
                  <c:v>9483.0649576271171</c:v>
                </c:pt>
                <c:pt idx="45">
                  <c:v>9483.0649576271171</c:v>
                </c:pt>
                <c:pt idx="46">
                  <c:v>9483.0649576271171</c:v>
                </c:pt>
                <c:pt idx="47">
                  <c:v>9483.0649576271171</c:v>
                </c:pt>
                <c:pt idx="48">
                  <c:v>9483.0649576271171</c:v>
                </c:pt>
                <c:pt idx="49">
                  <c:v>9483.0649576271171</c:v>
                </c:pt>
                <c:pt idx="50">
                  <c:v>9483.0649576271171</c:v>
                </c:pt>
                <c:pt idx="51">
                  <c:v>9483.0649576271171</c:v>
                </c:pt>
                <c:pt idx="52">
                  <c:v>9483.0649576271171</c:v>
                </c:pt>
                <c:pt idx="53">
                  <c:v>9483.0649576271171</c:v>
                </c:pt>
                <c:pt idx="54">
                  <c:v>9483.0649576271171</c:v>
                </c:pt>
                <c:pt idx="55">
                  <c:v>9483.0649576271171</c:v>
                </c:pt>
                <c:pt idx="56">
                  <c:v>9483.0649576271171</c:v>
                </c:pt>
                <c:pt idx="57">
                  <c:v>9483.0649576271171</c:v>
                </c:pt>
                <c:pt idx="58">
                  <c:v>9483.0649576271171</c:v>
                </c:pt>
                <c:pt idx="59">
                  <c:v>9483.0649576271171</c:v>
                </c:pt>
                <c:pt idx="60">
                  <c:v>9483.0649576271171</c:v>
                </c:pt>
                <c:pt idx="61">
                  <c:v>9483.0649576271171</c:v>
                </c:pt>
                <c:pt idx="62">
                  <c:v>9483.0649576271171</c:v>
                </c:pt>
                <c:pt idx="63">
                  <c:v>9483.0649576271171</c:v>
                </c:pt>
                <c:pt idx="64">
                  <c:v>9483.0649576271171</c:v>
                </c:pt>
                <c:pt idx="65">
                  <c:v>9483.0649576271171</c:v>
                </c:pt>
                <c:pt idx="66">
                  <c:v>9483.0649576271171</c:v>
                </c:pt>
                <c:pt idx="67">
                  <c:v>9483.0649576271171</c:v>
                </c:pt>
                <c:pt idx="68">
                  <c:v>9483.0649576271171</c:v>
                </c:pt>
                <c:pt idx="69">
                  <c:v>9483.0649576271171</c:v>
                </c:pt>
                <c:pt idx="70">
                  <c:v>9483.0649576271171</c:v>
                </c:pt>
                <c:pt idx="71">
                  <c:v>9483.0649576271171</c:v>
                </c:pt>
                <c:pt idx="72">
                  <c:v>9483.0649576271171</c:v>
                </c:pt>
                <c:pt idx="73">
                  <c:v>9483.0649576271171</c:v>
                </c:pt>
                <c:pt idx="74">
                  <c:v>9483.0649576271171</c:v>
                </c:pt>
                <c:pt idx="75">
                  <c:v>9483.0649576271171</c:v>
                </c:pt>
                <c:pt idx="76">
                  <c:v>9483.0649576271171</c:v>
                </c:pt>
                <c:pt idx="77">
                  <c:v>9483.0649576271171</c:v>
                </c:pt>
                <c:pt idx="78">
                  <c:v>9483.0649576271171</c:v>
                </c:pt>
                <c:pt idx="79">
                  <c:v>9483.0649576271171</c:v>
                </c:pt>
                <c:pt idx="80">
                  <c:v>9483.0649576271171</c:v>
                </c:pt>
                <c:pt idx="81">
                  <c:v>9483.0649576271171</c:v>
                </c:pt>
                <c:pt idx="82">
                  <c:v>9483.0649576271171</c:v>
                </c:pt>
                <c:pt idx="83">
                  <c:v>9483.0649576271171</c:v>
                </c:pt>
                <c:pt idx="84">
                  <c:v>9483.0649576271171</c:v>
                </c:pt>
                <c:pt idx="85">
                  <c:v>9483.0649576271171</c:v>
                </c:pt>
                <c:pt idx="86">
                  <c:v>9483.0649576271171</c:v>
                </c:pt>
                <c:pt idx="87">
                  <c:v>9483.0649576271171</c:v>
                </c:pt>
                <c:pt idx="88">
                  <c:v>9483.0649576271171</c:v>
                </c:pt>
                <c:pt idx="89">
                  <c:v>9483.0649576271171</c:v>
                </c:pt>
                <c:pt idx="90">
                  <c:v>9483.0649576271171</c:v>
                </c:pt>
                <c:pt idx="91">
                  <c:v>9483.0649576271171</c:v>
                </c:pt>
                <c:pt idx="92">
                  <c:v>9483.0649576271171</c:v>
                </c:pt>
                <c:pt idx="93">
                  <c:v>9483.0649576271171</c:v>
                </c:pt>
                <c:pt idx="94">
                  <c:v>9483.0649576271171</c:v>
                </c:pt>
                <c:pt idx="95">
                  <c:v>9483.0649576271171</c:v>
                </c:pt>
                <c:pt idx="96">
                  <c:v>9483.0649576271171</c:v>
                </c:pt>
                <c:pt idx="97">
                  <c:v>9483.0649576271171</c:v>
                </c:pt>
                <c:pt idx="98">
                  <c:v>9483.0649576271171</c:v>
                </c:pt>
                <c:pt idx="99">
                  <c:v>9483.0649576271171</c:v>
                </c:pt>
                <c:pt idx="100">
                  <c:v>9483.0649576271171</c:v>
                </c:pt>
                <c:pt idx="101">
                  <c:v>9483.0649576271171</c:v>
                </c:pt>
                <c:pt idx="102">
                  <c:v>9483.0649576271171</c:v>
                </c:pt>
                <c:pt idx="103">
                  <c:v>9483.0649576271171</c:v>
                </c:pt>
                <c:pt idx="104">
                  <c:v>9483.0649576271171</c:v>
                </c:pt>
                <c:pt idx="105">
                  <c:v>9483.0649576271171</c:v>
                </c:pt>
                <c:pt idx="106">
                  <c:v>9483.0649576271171</c:v>
                </c:pt>
                <c:pt idx="107">
                  <c:v>9483.0649576271171</c:v>
                </c:pt>
                <c:pt idx="108">
                  <c:v>9483.0649576271171</c:v>
                </c:pt>
                <c:pt idx="109">
                  <c:v>9483.0649576271171</c:v>
                </c:pt>
                <c:pt idx="110">
                  <c:v>9483.0649576271171</c:v>
                </c:pt>
                <c:pt idx="111">
                  <c:v>9483.0649576271171</c:v>
                </c:pt>
                <c:pt idx="112">
                  <c:v>9483.0649576271171</c:v>
                </c:pt>
                <c:pt idx="113">
                  <c:v>9483.0649576271171</c:v>
                </c:pt>
                <c:pt idx="114">
                  <c:v>9483.0649576271171</c:v>
                </c:pt>
                <c:pt idx="115">
                  <c:v>9483.0649576271171</c:v>
                </c:pt>
                <c:pt idx="116">
                  <c:v>9483.0649576271171</c:v>
                </c:pt>
                <c:pt idx="117">
                  <c:v>9483.0649576271171</c:v>
                </c:pt>
                <c:pt idx="118">
                  <c:v>9483.0649576271171</c:v>
                </c:pt>
                <c:pt idx="119">
                  <c:v>9483.0649576271171</c:v>
                </c:pt>
                <c:pt idx="120">
                  <c:v>9483.0649576271171</c:v>
                </c:pt>
                <c:pt idx="121">
                  <c:v>9483.0649576271171</c:v>
                </c:pt>
                <c:pt idx="122">
                  <c:v>9483.0649576271171</c:v>
                </c:pt>
                <c:pt idx="123">
                  <c:v>9483.0649576271171</c:v>
                </c:pt>
                <c:pt idx="124">
                  <c:v>9483.0649576271171</c:v>
                </c:pt>
                <c:pt idx="125">
                  <c:v>9483.0649576271171</c:v>
                </c:pt>
                <c:pt idx="126">
                  <c:v>9483.0649576271171</c:v>
                </c:pt>
                <c:pt idx="127">
                  <c:v>9483.0649576271171</c:v>
                </c:pt>
                <c:pt idx="128">
                  <c:v>9483.0649576271171</c:v>
                </c:pt>
                <c:pt idx="129">
                  <c:v>9483.0649576271171</c:v>
                </c:pt>
                <c:pt idx="130">
                  <c:v>9483.0649576271171</c:v>
                </c:pt>
                <c:pt idx="131">
                  <c:v>9483.0649576271171</c:v>
                </c:pt>
                <c:pt idx="132">
                  <c:v>9483.0649576271171</c:v>
                </c:pt>
                <c:pt idx="133">
                  <c:v>9483.0649576271171</c:v>
                </c:pt>
                <c:pt idx="134">
                  <c:v>9483.0649576271171</c:v>
                </c:pt>
                <c:pt idx="135">
                  <c:v>9483.0649576271171</c:v>
                </c:pt>
                <c:pt idx="136">
                  <c:v>9483.0649576271171</c:v>
                </c:pt>
                <c:pt idx="137">
                  <c:v>9483.0649576271171</c:v>
                </c:pt>
                <c:pt idx="138">
                  <c:v>9483.0649576271171</c:v>
                </c:pt>
                <c:pt idx="139">
                  <c:v>9483.0649576271171</c:v>
                </c:pt>
                <c:pt idx="140">
                  <c:v>9483.0649576271171</c:v>
                </c:pt>
                <c:pt idx="141">
                  <c:v>9483.0649576271171</c:v>
                </c:pt>
                <c:pt idx="142">
                  <c:v>9483.0649576271171</c:v>
                </c:pt>
                <c:pt idx="143">
                  <c:v>9483.0649576271171</c:v>
                </c:pt>
                <c:pt idx="144">
                  <c:v>9483.0649576271171</c:v>
                </c:pt>
                <c:pt idx="145">
                  <c:v>9483.0649576271171</c:v>
                </c:pt>
                <c:pt idx="146">
                  <c:v>9483.0649576271171</c:v>
                </c:pt>
                <c:pt idx="147">
                  <c:v>9483.0649576271171</c:v>
                </c:pt>
                <c:pt idx="148">
                  <c:v>9483.0649576271171</c:v>
                </c:pt>
                <c:pt idx="149">
                  <c:v>9483.0649576271171</c:v>
                </c:pt>
                <c:pt idx="150">
                  <c:v>9483.0649576271171</c:v>
                </c:pt>
                <c:pt idx="151">
                  <c:v>9483.0649576271171</c:v>
                </c:pt>
                <c:pt idx="152">
                  <c:v>9483.0649576271171</c:v>
                </c:pt>
                <c:pt idx="153">
                  <c:v>9483.0649576271171</c:v>
                </c:pt>
                <c:pt idx="154">
                  <c:v>9483.0649576271171</c:v>
                </c:pt>
                <c:pt idx="155">
                  <c:v>9483.0649576271171</c:v>
                </c:pt>
                <c:pt idx="156">
                  <c:v>9483.0649576271171</c:v>
                </c:pt>
                <c:pt idx="157">
                  <c:v>9483.0649576271171</c:v>
                </c:pt>
                <c:pt idx="158">
                  <c:v>9483.0649576271171</c:v>
                </c:pt>
                <c:pt idx="159">
                  <c:v>9483.0649576271171</c:v>
                </c:pt>
                <c:pt idx="160">
                  <c:v>9483.0649576271171</c:v>
                </c:pt>
                <c:pt idx="161">
                  <c:v>9483.0649576271171</c:v>
                </c:pt>
                <c:pt idx="162">
                  <c:v>9483.0649576271171</c:v>
                </c:pt>
                <c:pt idx="163">
                  <c:v>9483.0649576271171</c:v>
                </c:pt>
                <c:pt idx="164">
                  <c:v>9483.0649576271171</c:v>
                </c:pt>
                <c:pt idx="165">
                  <c:v>9483.0649576271171</c:v>
                </c:pt>
                <c:pt idx="166">
                  <c:v>9483.0649576271171</c:v>
                </c:pt>
                <c:pt idx="167">
                  <c:v>9483.0649576271171</c:v>
                </c:pt>
                <c:pt idx="168">
                  <c:v>9483.0649576271171</c:v>
                </c:pt>
                <c:pt idx="169">
                  <c:v>9483.0649576271171</c:v>
                </c:pt>
                <c:pt idx="170">
                  <c:v>9483.0649576271171</c:v>
                </c:pt>
                <c:pt idx="171">
                  <c:v>9483.0649576271171</c:v>
                </c:pt>
                <c:pt idx="172">
                  <c:v>9483.0649576271171</c:v>
                </c:pt>
                <c:pt idx="173">
                  <c:v>9483.0649576271171</c:v>
                </c:pt>
                <c:pt idx="174">
                  <c:v>9483.0649576271171</c:v>
                </c:pt>
                <c:pt idx="175">
                  <c:v>9483.0649576271171</c:v>
                </c:pt>
                <c:pt idx="176">
                  <c:v>9483.0649576271171</c:v>
                </c:pt>
                <c:pt idx="177">
                  <c:v>9483.0649576271171</c:v>
                </c:pt>
                <c:pt idx="178">
                  <c:v>9483.0649576271171</c:v>
                </c:pt>
                <c:pt idx="179">
                  <c:v>9483.0649576271171</c:v>
                </c:pt>
                <c:pt idx="180">
                  <c:v>9483.0649576271171</c:v>
                </c:pt>
                <c:pt idx="181">
                  <c:v>9483.0649576271171</c:v>
                </c:pt>
                <c:pt idx="182">
                  <c:v>9483.0649576271171</c:v>
                </c:pt>
                <c:pt idx="183">
                  <c:v>9483.0649576271171</c:v>
                </c:pt>
                <c:pt idx="184">
                  <c:v>9483.0649576271171</c:v>
                </c:pt>
                <c:pt idx="185">
                  <c:v>9483.0649576271171</c:v>
                </c:pt>
                <c:pt idx="186">
                  <c:v>9483.0649576271171</c:v>
                </c:pt>
                <c:pt idx="187">
                  <c:v>9483.0649576271171</c:v>
                </c:pt>
                <c:pt idx="188">
                  <c:v>9483.0649576271171</c:v>
                </c:pt>
                <c:pt idx="189">
                  <c:v>9483.0649576271171</c:v>
                </c:pt>
                <c:pt idx="190">
                  <c:v>9483.0649576271171</c:v>
                </c:pt>
                <c:pt idx="191">
                  <c:v>9483.0649576271171</c:v>
                </c:pt>
                <c:pt idx="192">
                  <c:v>9483.0649576271171</c:v>
                </c:pt>
                <c:pt idx="193">
                  <c:v>9483.0649576271171</c:v>
                </c:pt>
                <c:pt idx="194">
                  <c:v>9483.0649576271171</c:v>
                </c:pt>
                <c:pt idx="195">
                  <c:v>9483.0649576271171</c:v>
                </c:pt>
                <c:pt idx="196">
                  <c:v>9483.0649576271171</c:v>
                </c:pt>
                <c:pt idx="197">
                  <c:v>9483.0649576271171</c:v>
                </c:pt>
                <c:pt idx="198">
                  <c:v>9483.0649576271171</c:v>
                </c:pt>
                <c:pt idx="199">
                  <c:v>9483.0649576271171</c:v>
                </c:pt>
                <c:pt idx="200">
                  <c:v>9483.0649576271171</c:v>
                </c:pt>
                <c:pt idx="201">
                  <c:v>9483.0649576271171</c:v>
                </c:pt>
                <c:pt idx="202">
                  <c:v>9483.0649576271171</c:v>
                </c:pt>
                <c:pt idx="203">
                  <c:v>9483.0649576271171</c:v>
                </c:pt>
                <c:pt idx="204">
                  <c:v>9483.0649576271171</c:v>
                </c:pt>
                <c:pt idx="205">
                  <c:v>9483.0649576271171</c:v>
                </c:pt>
                <c:pt idx="206">
                  <c:v>9483.0649576271171</c:v>
                </c:pt>
                <c:pt idx="207">
                  <c:v>9483.0649576271171</c:v>
                </c:pt>
                <c:pt idx="208">
                  <c:v>9483.0649576271171</c:v>
                </c:pt>
                <c:pt idx="209">
                  <c:v>9483.0649576271171</c:v>
                </c:pt>
                <c:pt idx="210">
                  <c:v>9483.0649576271171</c:v>
                </c:pt>
                <c:pt idx="211">
                  <c:v>9483.0649576271171</c:v>
                </c:pt>
                <c:pt idx="212">
                  <c:v>9483.0649576271171</c:v>
                </c:pt>
                <c:pt idx="213">
                  <c:v>9483.0649576271171</c:v>
                </c:pt>
                <c:pt idx="214">
                  <c:v>9483.0649576271171</c:v>
                </c:pt>
                <c:pt idx="215">
                  <c:v>9483.0649576271171</c:v>
                </c:pt>
                <c:pt idx="216">
                  <c:v>9483.0649576271171</c:v>
                </c:pt>
                <c:pt idx="217">
                  <c:v>9483.0649576271171</c:v>
                </c:pt>
                <c:pt idx="218">
                  <c:v>9483.0649576271171</c:v>
                </c:pt>
                <c:pt idx="219">
                  <c:v>9483.0649576271171</c:v>
                </c:pt>
                <c:pt idx="220">
                  <c:v>9483.0649576271171</c:v>
                </c:pt>
                <c:pt idx="221">
                  <c:v>9483.0649576271171</c:v>
                </c:pt>
                <c:pt idx="222">
                  <c:v>9483.0649576271171</c:v>
                </c:pt>
                <c:pt idx="223">
                  <c:v>9483.0649576271171</c:v>
                </c:pt>
                <c:pt idx="224">
                  <c:v>9483.0649576271171</c:v>
                </c:pt>
                <c:pt idx="225">
                  <c:v>9483.0649576271171</c:v>
                </c:pt>
                <c:pt idx="226">
                  <c:v>9483.0649576271171</c:v>
                </c:pt>
                <c:pt idx="227">
                  <c:v>9483.0649576271171</c:v>
                </c:pt>
                <c:pt idx="228">
                  <c:v>9483.0649576271171</c:v>
                </c:pt>
                <c:pt idx="229">
                  <c:v>9483.0649576271171</c:v>
                </c:pt>
                <c:pt idx="230">
                  <c:v>9483.0649576271171</c:v>
                </c:pt>
                <c:pt idx="231">
                  <c:v>9483.0649576271171</c:v>
                </c:pt>
                <c:pt idx="232">
                  <c:v>9483.0649576271171</c:v>
                </c:pt>
                <c:pt idx="233">
                  <c:v>9483.0649576271171</c:v>
                </c:pt>
                <c:pt idx="234">
                  <c:v>9483.0649576271171</c:v>
                </c:pt>
                <c:pt idx="235">
                  <c:v>9483.0649576271171</c:v>
                </c:pt>
                <c:pt idx="236">
                  <c:v>9483.0649576271171</c:v>
                </c:pt>
                <c:pt idx="237">
                  <c:v>9483.0649576271171</c:v>
                </c:pt>
                <c:pt idx="238">
                  <c:v>9483.0649576271171</c:v>
                </c:pt>
                <c:pt idx="239">
                  <c:v>9483.0649576271171</c:v>
                </c:pt>
                <c:pt idx="240">
                  <c:v>9483.0649576271171</c:v>
                </c:pt>
                <c:pt idx="241">
                  <c:v>9483.0649576271171</c:v>
                </c:pt>
                <c:pt idx="242">
                  <c:v>9483.0649576271171</c:v>
                </c:pt>
                <c:pt idx="243">
                  <c:v>9483.0649576271171</c:v>
                </c:pt>
                <c:pt idx="244">
                  <c:v>9483.0649576271171</c:v>
                </c:pt>
                <c:pt idx="245">
                  <c:v>9483.0649576271171</c:v>
                </c:pt>
                <c:pt idx="246">
                  <c:v>9483.0649576271171</c:v>
                </c:pt>
                <c:pt idx="247">
                  <c:v>9483.0649576271171</c:v>
                </c:pt>
                <c:pt idx="248">
                  <c:v>9483.0649576271171</c:v>
                </c:pt>
                <c:pt idx="249">
                  <c:v>9483.0649576271171</c:v>
                </c:pt>
                <c:pt idx="250">
                  <c:v>9483.0649576271171</c:v>
                </c:pt>
                <c:pt idx="251">
                  <c:v>9483.0649576271171</c:v>
                </c:pt>
                <c:pt idx="252">
                  <c:v>9483.0649576271171</c:v>
                </c:pt>
                <c:pt idx="253">
                  <c:v>9483.0649576271171</c:v>
                </c:pt>
                <c:pt idx="254">
                  <c:v>9483.0649576271171</c:v>
                </c:pt>
                <c:pt idx="255">
                  <c:v>9483.0649576271171</c:v>
                </c:pt>
                <c:pt idx="256">
                  <c:v>9483.0649576271171</c:v>
                </c:pt>
                <c:pt idx="257">
                  <c:v>9483.0649576271171</c:v>
                </c:pt>
                <c:pt idx="258">
                  <c:v>9483.0649576271171</c:v>
                </c:pt>
                <c:pt idx="259">
                  <c:v>9483.0649576271171</c:v>
                </c:pt>
                <c:pt idx="260">
                  <c:v>9483.0649576271171</c:v>
                </c:pt>
                <c:pt idx="261">
                  <c:v>9483.0649576271171</c:v>
                </c:pt>
                <c:pt idx="262">
                  <c:v>9483.0649576271171</c:v>
                </c:pt>
                <c:pt idx="263">
                  <c:v>9483.0649576271171</c:v>
                </c:pt>
                <c:pt idx="264">
                  <c:v>9483.0649576271171</c:v>
                </c:pt>
                <c:pt idx="265">
                  <c:v>9483.0649576271171</c:v>
                </c:pt>
                <c:pt idx="266">
                  <c:v>9483.0649576271171</c:v>
                </c:pt>
                <c:pt idx="267">
                  <c:v>9483.0649576271171</c:v>
                </c:pt>
                <c:pt idx="268">
                  <c:v>9483.0649576271171</c:v>
                </c:pt>
                <c:pt idx="269">
                  <c:v>9483.0649576271171</c:v>
                </c:pt>
                <c:pt idx="270">
                  <c:v>9483.0649576271171</c:v>
                </c:pt>
                <c:pt idx="271">
                  <c:v>9483.0649576271171</c:v>
                </c:pt>
                <c:pt idx="272">
                  <c:v>9483.0649576271171</c:v>
                </c:pt>
                <c:pt idx="273">
                  <c:v>9483.0649576271171</c:v>
                </c:pt>
                <c:pt idx="274">
                  <c:v>9483.0649576271171</c:v>
                </c:pt>
                <c:pt idx="275">
                  <c:v>9483.0649576271171</c:v>
                </c:pt>
                <c:pt idx="276">
                  <c:v>9483.0649576271171</c:v>
                </c:pt>
                <c:pt idx="277">
                  <c:v>9483.0649576271171</c:v>
                </c:pt>
                <c:pt idx="278">
                  <c:v>9483.0649576271171</c:v>
                </c:pt>
                <c:pt idx="279">
                  <c:v>9483.0649576271171</c:v>
                </c:pt>
                <c:pt idx="280">
                  <c:v>9483.0649576271171</c:v>
                </c:pt>
                <c:pt idx="281">
                  <c:v>9483.0649576271171</c:v>
                </c:pt>
                <c:pt idx="282">
                  <c:v>9483.0649576271171</c:v>
                </c:pt>
                <c:pt idx="283">
                  <c:v>9483.0649576271171</c:v>
                </c:pt>
                <c:pt idx="284">
                  <c:v>9483.0649576271171</c:v>
                </c:pt>
                <c:pt idx="285">
                  <c:v>9483.0649576271171</c:v>
                </c:pt>
                <c:pt idx="286">
                  <c:v>9483.0649576271171</c:v>
                </c:pt>
                <c:pt idx="287">
                  <c:v>9483.0649576271171</c:v>
                </c:pt>
                <c:pt idx="288">
                  <c:v>9483.0649576271171</c:v>
                </c:pt>
                <c:pt idx="289">
                  <c:v>9483.0649576271171</c:v>
                </c:pt>
                <c:pt idx="290">
                  <c:v>9483.0649576271171</c:v>
                </c:pt>
                <c:pt idx="291">
                  <c:v>9483.0649576271171</c:v>
                </c:pt>
                <c:pt idx="292">
                  <c:v>9483.0649576271171</c:v>
                </c:pt>
                <c:pt idx="293">
                  <c:v>9483.0649576271171</c:v>
                </c:pt>
                <c:pt idx="294">
                  <c:v>9483.0649576271171</c:v>
                </c:pt>
                <c:pt idx="295">
                  <c:v>9483.0649576271171</c:v>
                </c:pt>
                <c:pt idx="296">
                  <c:v>9483.0649576271171</c:v>
                </c:pt>
                <c:pt idx="297">
                  <c:v>9483.0649576271171</c:v>
                </c:pt>
                <c:pt idx="298">
                  <c:v>9483.0649576271171</c:v>
                </c:pt>
                <c:pt idx="299">
                  <c:v>9483.0649576271171</c:v>
                </c:pt>
                <c:pt idx="300">
                  <c:v>9483.0649576271171</c:v>
                </c:pt>
                <c:pt idx="301">
                  <c:v>9483.0649576271171</c:v>
                </c:pt>
                <c:pt idx="302">
                  <c:v>9483.0649576271171</c:v>
                </c:pt>
                <c:pt idx="303">
                  <c:v>9483.0649576271171</c:v>
                </c:pt>
                <c:pt idx="304">
                  <c:v>9483.0649576271171</c:v>
                </c:pt>
                <c:pt idx="305">
                  <c:v>9483.0649576271171</c:v>
                </c:pt>
                <c:pt idx="306">
                  <c:v>9483.0649576271171</c:v>
                </c:pt>
                <c:pt idx="307">
                  <c:v>9483.0649576271171</c:v>
                </c:pt>
                <c:pt idx="308">
                  <c:v>9483.0649576271171</c:v>
                </c:pt>
                <c:pt idx="309">
                  <c:v>9483.0649576271171</c:v>
                </c:pt>
                <c:pt idx="310">
                  <c:v>9483.0649576271171</c:v>
                </c:pt>
                <c:pt idx="311">
                  <c:v>9483.0649576271171</c:v>
                </c:pt>
                <c:pt idx="312">
                  <c:v>9483.0649576271171</c:v>
                </c:pt>
                <c:pt idx="313">
                  <c:v>9483.0649576271171</c:v>
                </c:pt>
                <c:pt idx="314">
                  <c:v>9483.0649576271171</c:v>
                </c:pt>
                <c:pt idx="315">
                  <c:v>9483.0649576271171</c:v>
                </c:pt>
                <c:pt idx="316">
                  <c:v>9483.0649576271171</c:v>
                </c:pt>
                <c:pt idx="317">
                  <c:v>9483.0649576271171</c:v>
                </c:pt>
                <c:pt idx="318">
                  <c:v>9483.0649576271171</c:v>
                </c:pt>
                <c:pt idx="319">
                  <c:v>9483.0649576271171</c:v>
                </c:pt>
                <c:pt idx="320">
                  <c:v>9483.0649576271171</c:v>
                </c:pt>
                <c:pt idx="321">
                  <c:v>9483.0649576271171</c:v>
                </c:pt>
                <c:pt idx="322">
                  <c:v>9483.0649576271171</c:v>
                </c:pt>
                <c:pt idx="323">
                  <c:v>9483.0649576271171</c:v>
                </c:pt>
                <c:pt idx="324">
                  <c:v>9483.0649576271171</c:v>
                </c:pt>
                <c:pt idx="325">
                  <c:v>9483.0649576271171</c:v>
                </c:pt>
                <c:pt idx="326">
                  <c:v>9483.0649576271171</c:v>
                </c:pt>
                <c:pt idx="327">
                  <c:v>9483.0649576271171</c:v>
                </c:pt>
                <c:pt idx="328">
                  <c:v>9483.0649576271171</c:v>
                </c:pt>
                <c:pt idx="329">
                  <c:v>9483.0649576271171</c:v>
                </c:pt>
                <c:pt idx="330">
                  <c:v>9483.0649576271171</c:v>
                </c:pt>
                <c:pt idx="331">
                  <c:v>9483.0649576271171</c:v>
                </c:pt>
                <c:pt idx="332">
                  <c:v>9483.0649576271171</c:v>
                </c:pt>
                <c:pt idx="333">
                  <c:v>9483.0649576271171</c:v>
                </c:pt>
                <c:pt idx="334">
                  <c:v>9483.0649576271171</c:v>
                </c:pt>
                <c:pt idx="335">
                  <c:v>9483.0649576271171</c:v>
                </c:pt>
                <c:pt idx="336">
                  <c:v>9483.0649576271171</c:v>
                </c:pt>
                <c:pt idx="337">
                  <c:v>9483.0649576271171</c:v>
                </c:pt>
                <c:pt idx="338">
                  <c:v>9483.0649576271171</c:v>
                </c:pt>
                <c:pt idx="339">
                  <c:v>9483.0649576271171</c:v>
                </c:pt>
                <c:pt idx="340">
                  <c:v>9483.0649576271171</c:v>
                </c:pt>
                <c:pt idx="341">
                  <c:v>9483.0649576271171</c:v>
                </c:pt>
                <c:pt idx="342">
                  <c:v>9483.0649576271171</c:v>
                </c:pt>
                <c:pt idx="343">
                  <c:v>9483.0649576271171</c:v>
                </c:pt>
                <c:pt idx="344">
                  <c:v>9483.0649576271171</c:v>
                </c:pt>
                <c:pt idx="345">
                  <c:v>9483.0649576271171</c:v>
                </c:pt>
                <c:pt idx="346">
                  <c:v>9483.0649576271171</c:v>
                </c:pt>
                <c:pt idx="347">
                  <c:v>9483.0649576271171</c:v>
                </c:pt>
                <c:pt idx="348">
                  <c:v>9483.0649576271171</c:v>
                </c:pt>
                <c:pt idx="349">
                  <c:v>9483.0649576271171</c:v>
                </c:pt>
                <c:pt idx="350">
                  <c:v>9483.0649576271171</c:v>
                </c:pt>
                <c:pt idx="351">
                  <c:v>9483.0649576271171</c:v>
                </c:pt>
                <c:pt idx="352">
                  <c:v>9483.0649576271171</c:v>
                </c:pt>
                <c:pt idx="353">
                  <c:v>9483.0649576271171</c:v>
                </c:pt>
                <c:pt idx="354">
                  <c:v>9483.0649576271171</c:v>
                </c:pt>
                <c:pt idx="355">
                  <c:v>9483.0649576271171</c:v>
                </c:pt>
                <c:pt idx="356">
                  <c:v>9483.0649576271171</c:v>
                </c:pt>
                <c:pt idx="357">
                  <c:v>9483.0649576271171</c:v>
                </c:pt>
                <c:pt idx="358">
                  <c:v>9483.0649576271171</c:v>
                </c:pt>
                <c:pt idx="359">
                  <c:v>9483.0649576271171</c:v>
                </c:pt>
                <c:pt idx="360">
                  <c:v>9483.0649576271171</c:v>
                </c:pt>
                <c:pt idx="361">
                  <c:v>9483.0649576271171</c:v>
                </c:pt>
                <c:pt idx="362">
                  <c:v>9483.0649576271171</c:v>
                </c:pt>
                <c:pt idx="363">
                  <c:v>9483.0649576271171</c:v>
                </c:pt>
                <c:pt idx="364">
                  <c:v>9483.0649576271171</c:v>
                </c:pt>
                <c:pt idx="365">
                  <c:v>9483.0649576271171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Maximum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ser>
          <c:idx val="3"/>
          <c:order val="3"/>
          <c:tx>
            <c:v>Average2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38F07E-5E45-4C55-9335-97F2E4C3E7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Glance'!$W$3:$W$368</c:f>
              <c:numCache>
                <c:formatCode>0.00</c:formatCode>
                <c:ptCount val="366"/>
                <c:pt idx="0">
                  <c:v>9483.0649576271171</c:v>
                </c:pt>
                <c:pt idx="1">
                  <c:v>9483.0649576271171</c:v>
                </c:pt>
                <c:pt idx="2">
                  <c:v>9483.0649576271171</c:v>
                </c:pt>
                <c:pt idx="3">
                  <c:v>9483.0649576271171</c:v>
                </c:pt>
                <c:pt idx="4">
                  <c:v>9483.0649576271171</c:v>
                </c:pt>
                <c:pt idx="5">
                  <c:v>9483.0649576271171</c:v>
                </c:pt>
                <c:pt idx="6">
                  <c:v>9483.0649576271171</c:v>
                </c:pt>
                <c:pt idx="7">
                  <c:v>9483.0649576271171</c:v>
                </c:pt>
                <c:pt idx="8">
                  <c:v>9483.0649576271171</c:v>
                </c:pt>
                <c:pt idx="9">
                  <c:v>9483.0649576271171</c:v>
                </c:pt>
                <c:pt idx="10">
                  <c:v>9483.0649576271171</c:v>
                </c:pt>
                <c:pt idx="11">
                  <c:v>9483.0649576271171</c:v>
                </c:pt>
                <c:pt idx="12">
                  <c:v>9483.0649576271171</c:v>
                </c:pt>
                <c:pt idx="13">
                  <c:v>9483.0649576271171</c:v>
                </c:pt>
                <c:pt idx="14">
                  <c:v>9483.0649576271171</c:v>
                </c:pt>
                <c:pt idx="15">
                  <c:v>9483.0649576271171</c:v>
                </c:pt>
                <c:pt idx="16">
                  <c:v>9483.0649576271171</c:v>
                </c:pt>
                <c:pt idx="17">
                  <c:v>9483.0649576271171</c:v>
                </c:pt>
                <c:pt idx="18">
                  <c:v>9483.0649576271171</c:v>
                </c:pt>
                <c:pt idx="19">
                  <c:v>9483.0649576271171</c:v>
                </c:pt>
                <c:pt idx="20">
                  <c:v>9483.0649576271171</c:v>
                </c:pt>
                <c:pt idx="21">
                  <c:v>9483.0649576271171</c:v>
                </c:pt>
                <c:pt idx="22">
                  <c:v>9483.0649576271171</c:v>
                </c:pt>
                <c:pt idx="23">
                  <c:v>9483.0649576271171</c:v>
                </c:pt>
                <c:pt idx="24">
                  <c:v>9483.0649576271171</c:v>
                </c:pt>
                <c:pt idx="25">
                  <c:v>9483.0649576271171</c:v>
                </c:pt>
                <c:pt idx="26">
                  <c:v>9483.0649576271171</c:v>
                </c:pt>
                <c:pt idx="27">
                  <c:v>9483.0649576271171</c:v>
                </c:pt>
                <c:pt idx="28">
                  <c:v>9483.0649576271171</c:v>
                </c:pt>
                <c:pt idx="29">
                  <c:v>9483.0649576271171</c:v>
                </c:pt>
                <c:pt idx="30">
                  <c:v>9483.0649576271171</c:v>
                </c:pt>
                <c:pt idx="31">
                  <c:v>9483.0649576271171</c:v>
                </c:pt>
                <c:pt idx="32">
                  <c:v>9483.0649576271171</c:v>
                </c:pt>
                <c:pt idx="33">
                  <c:v>9483.0649576271171</c:v>
                </c:pt>
                <c:pt idx="34">
                  <c:v>9483.0649576271171</c:v>
                </c:pt>
                <c:pt idx="35">
                  <c:v>9483.0649576271171</c:v>
                </c:pt>
                <c:pt idx="36">
                  <c:v>9483.0649576271171</c:v>
                </c:pt>
                <c:pt idx="37">
                  <c:v>9483.0649576271171</c:v>
                </c:pt>
                <c:pt idx="38">
                  <c:v>9483.0649576271171</c:v>
                </c:pt>
                <c:pt idx="39">
                  <c:v>9483.0649576271171</c:v>
                </c:pt>
                <c:pt idx="40">
                  <c:v>9483.0649576271171</c:v>
                </c:pt>
                <c:pt idx="41">
                  <c:v>9483.0649576271171</c:v>
                </c:pt>
                <c:pt idx="42">
                  <c:v>9483.0649576271171</c:v>
                </c:pt>
                <c:pt idx="43">
                  <c:v>9483.0649576271171</c:v>
                </c:pt>
                <c:pt idx="44">
                  <c:v>9483.0649576271171</c:v>
                </c:pt>
                <c:pt idx="45">
                  <c:v>9483.0649576271171</c:v>
                </c:pt>
                <c:pt idx="46">
                  <c:v>9483.0649576271171</c:v>
                </c:pt>
                <c:pt idx="47">
                  <c:v>9483.0649576271171</c:v>
                </c:pt>
                <c:pt idx="48">
                  <c:v>9483.0649576271171</c:v>
                </c:pt>
                <c:pt idx="49">
                  <c:v>9483.0649576271171</c:v>
                </c:pt>
                <c:pt idx="50">
                  <c:v>9483.0649576271171</c:v>
                </c:pt>
                <c:pt idx="51">
                  <c:v>9483.0649576271171</c:v>
                </c:pt>
                <c:pt idx="52">
                  <c:v>9483.0649576271171</c:v>
                </c:pt>
                <c:pt idx="53">
                  <c:v>9483.0649576271171</c:v>
                </c:pt>
                <c:pt idx="54">
                  <c:v>9483.0649576271171</c:v>
                </c:pt>
                <c:pt idx="55">
                  <c:v>9483.0649576271171</c:v>
                </c:pt>
                <c:pt idx="56">
                  <c:v>9483.0649576271171</c:v>
                </c:pt>
                <c:pt idx="57">
                  <c:v>9483.0649576271171</c:v>
                </c:pt>
                <c:pt idx="58">
                  <c:v>9483.0649576271171</c:v>
                </c:pt>
                <c:pt idx="59">
                  <c:v>9483.0649576271171</c:v>
                </c:pt>
                <c:pt idx="60">
                  <c:v>9483.0649576271171</c:v>
                </c:pt>
                <c:pt idx="61">
                  <c:v>9483.0649576271171</c:v>
                </c:pt>
                <c:pt idx="62">
                  <c:v>9483.0649576271171</c:v>
                </c:pt>
                <c:pt idx="63">
                  <c:v>9483.0649576271171</c:v>
                </c:pt>
                <c:pt idx="64">
                  <c:v>9483.0649576271171</c:v>
                </c:pt>
                <c:pt idx="65">
                  <c:v>9483.0649576271171</c:v>
                </c:pt>
                <c:pt idx="66">
                  <c:v>9483.0649576271171</c:v>
                </c:pt>
                <c:pt idx="67">
                  <c:v>9483.0649576271171</c:v>
                </c:pt>
                <c:pt idx="68">
                  <c:v>9483.0649576271171</c:v>
                </c:pt>
                <c:pt idx="69">
                  <c:v>9483.0649576271171</c:v>
                </c:pt>
                <c:pt idx="70">
                  <c:v>9483.0649576271171</c:v>
                </c:pt>
                <c:pt idx="71">
                  <c:v>9483.0649576271171</c:v>
                </c:pt>
                <c:pt idx="72">
                  <c:v>9483.0649576271171</c:v>
                </c:pt>
                <c:pt idx="73">
                  <c:v>9483.0649576271171</c:v>
                </c:pt>
                <c:pt idx="74">
                  <c:v>9483.0649576271171</c:v>
                </c:pt>
                <c:pt idx="75">
                  <c:v>9483.0649576271171</c:v>
                </c:pt>
                <c:pt idx="76">
                  <c:v>9483.0649576271171</c:v>
                </c:pt>
                <c:pt idx="77">
                  <c:v>9483.0649576271171</c:v>
                </c:pt>
                <c:pt idx="78">
                  <c:v>9483.0649576271171</c:v>
                </c:pt>
                <c:pt idx="79">
                  <c:v>9483.0649576271171</c:v>
                </c:pt>
                <c:pt idx="80">
                  <c:v>9483.0649576271171</c:v>
                </c:pt>
                <c:pt idx="81">
                  <c:v>9483.0649576271171</c:v>
                </c:pt>
                <c:pt idx="82">
                  <c:v>9483.0649576271171</c:v>
                </c:pt>
                <c:pt idx="83">
                  <c:v>9483.0649576271171</c:v>
                </c:pt>
                <c:pt idx="84">
                  <c:v>9483.0649576271171</c:v>
                </c:pt>
                <c:pt idx="85">
                  <c:v>9483.0649576271171</c:v>
                </c:pt>
                <c:pt idx="86">
                  <c:v>9483.0649576271171</c:v>
                </c:pt>
                <c:pt idx="87">
                  <c:v>9483.0649576271171</c:v>
                </c:pt>
                <c:pt idx="88">
                  <c:v>9483.0649576271171</c:v>
                </c:pt>
                <c:pt idx="89">
                  <c:v>9483.0649576271171</c:v>
                </c:pt>
                <c:pt idx="90">
                  <c:v>9483.0649576271171</c:v>
                </c:pt>
                <c:pt idx="91">
                  <c:v>9483.0649576271171</c:v>
                </c:pt>
                <c:pt idx="92">
                  <c:v>9483.0649576271171</c:v>
                </c:pt>
                <c:pt idx="93">
                  <c:v>9483.0649576271171</c:v>
                </c:pt>
                <c:pt idx="94">
                  <c:v>9483.0649576271171</c:v>
                </c:pt>
                <c:pt idx="95">
                  <c:v>9483.0649576271171</c:v>
                </c:pt>
                <c:pt idx="96">
                  <c:v>9483.0649576271171</c:v>
                </c:pt>
                <c:pt idx="97">
                  <c:v>9483.0649576271171</c:v>
                </c:pt>
                <c:pt idx="98">
                  <c:v>9483.0649576271171</c:v>
                </c:pt>
                <c:pt idx="99">
                  <c:v>9483.0649576271171</c:v>
                </c:pt>
                <c:pt idx="100">
                  <c:v>9483.0649576271171</c:v>
                </c:pt>
                <c:pt idx="101">
                  <c:v>9483.0649576271171</c:v>
                </c:pt>
                <c:pt idx="102">
                  <c:v>9483.0649576271171</c:v>
                </c:pt>
                <c:pt idx="103">
                  <c:v>9483.0649576271171</c:v>
                </c:pt>
                <c:pt idx="104">
                  <c:v>9483.0649576271171</c:v>
                </c:pt>
                <c:pt idx="105">
                  <c:v>9483.0649576271171</c:v>
                </c:pt>
                <c:pt idx="106">
                  <c:v>9483.0649576271171</c:v>
                </c:pt>
                <c:pt idx="107">
                  <c:v>9483.0649576271171</c:v>
                </c:pt>
                <c:pt idx="108">
                  <c:v>9483.0649576271171</c:v>
                </c:pt>
                <c:pt idx="109">
                  <c:v>9483.0649576271171</c:v>
                </c:pt>
                <c:pt idx="110">
                  <c:v>9483.0649576271171</c:v>
                </c:pt>
                <c:pt idx="111">
                  <c:v>9483.0649576271171</c:v>
                </c:pt>
                <c:pt idx="112">
                  <c:v>9483.0649576271171</c:v>
                </c:pt>
                <c:pt idx="113">
                  <c:v>9483.0649576271171</c:v>
                </c:pt>
                <c:pt idx="114">
                  <c:v>9483.0649576271171</c:v>
                </c:pt>
                <c:pt idx="115">
                  <c:v>9483.0649576271171</c:v>
                </c:pt>
                <c:pt idx="116">
                  <c:v>9483.0649576271171</c:v>
                </c:pt>
                <c:pt idx="117">
                  <c:v>9483.0649576271171</c:v>
                </c:pt>
                <c:pt idx="118">
                  <c:v>9483.0649576271171</c:v>
                </c:pt>
                <c:pt idx="119">
                  <c:v>9483.0649576271171</c:v>
                </c:pt>
                <c:pt idx="120">
                  <c:v>9483.0649576271171</c:v>
                </c:pt>
                <c:pt idx="121">
                  <c:v>9483.0649576271171</c:v>
                </c:pt>
                <c:pt idx="122">
                  <c:v>9483.0649576271171</c:v>
                </c:pt>
                <c:pt idx="123">
                  <c:v>9483.0649576271171</c:v>
                </c:pt>
                <c:pt idx="124">
                  <c:v>9483.0649576271171</c:v>
                </c:pt>
                <c:pt idx="125">
                  <c:v>9483.0649576271171</c:v>
                </c:pt>
                <c:pt idx="126">
                  <c:v>9483.0649576271171</c:v>
                </c:pt>
                <c:pt idx="127">
                  <c:v>9483.0649576271171</c:v>
                </c:pt>
                <c:pt idx="128">
                  <c:v>9483.0649576271171</c:v>
                </c:pt>
                <c:pt idx="129">
                  <c:v>9483.0649576271171</c:v>
                </c:pt>
                <c:pt idx="130">
                  <c:v>9483.0649576271171</c:v>
                </c:pt>
                <c:pt idx="131">
                  <c:v>9483.0649576271171</c:v>
                </c:pt>
                <c:pt idx="132">
                  <c:v>9483.0649576271171</c:v>
                </c:pt>
                <c:pt idx="133">
                  <c:v>9483.0649576271171</c:v>
                </c:pt>
                <c:pt idx="134">
                  <c:v>9483.0649576271171</c:v>
                </c:pt>
                <c:pt idx="135">
                  <c:v>9483.0649576271171</c:v>
                </c:pt>
                <c:pt idx="136">
                  <c:v>9483.0649576271171</c:v>
                </c:pt>
                <c:pt idx="137">
                  <c:v>9483.0649576271171</c:v>
                </c:pt>
                <c:pt idx="138">
                  <c:v>9483.0649576271171</c:v>
                </c:pt>
                <c:pt idx="139">
                  <c:v>9483.0649576271171</c:v>
                </c:pt>
                <c:pt idx="140">
                  <c:v>9483.0649576271171</c:v>
                </c:pt>
                <c:pt idx="141">
                  <c:v>9483.0649576271171</c:v>
                </c:pt>
                <c:pt idx="142">
                  <c:v>9483.0649576271171</c:v>
                </c:pt>
                <c:pt idx="143">
                  <c:v>9483.0649576271171</c:v>
                </c:pt>
                <c:pt idx="144">
                  <c:v>9483.0649576271171</c:v>
                </c:pt>
                <c:pt idx="145">
                  <c:v>9483.0649576271171</c:v>
                </c:pt>
                <c:pt idx="146">
                  <c:v>9483.0649576271171</c:v>
                </c:pt>
                <c:pt idx="147">
                  <c:v>9483.0649576271171</c:v>
                </c:pt>
                <c:pt idx="148">
                  <c:v>9483.0649576271171</c:v>
                </c:pt>
                <c:pt idx="149">
                  <c:v>9483.0649576271171</c:v>
                </c:pt>
                <c:pt idx="150">
                  <c:v>9483.0649576271171</c:v>
                </c:pt>
                <c:pt idx="151">
                  <c:v>9483.0649576271171</c:v>
                </c:pt>
                <c:pt idx="152">
                  <c:v>9483.0649576271171</c:v>
                </c:pt>
                <c:pt idx="153">
                  <c:v>9483.0649576271171</c:v>
                </c:pt>
                <c:pt idx="154">
                  <c:v>9483.0649576271171</c:v>
                </c:pt>
                <c:pt idx="155">
                  <c:v>9483.0649576271171</c:v>
                </c:pt>
                <c:pt idx="156">
                  <c:v>9483.0649576271171</c:v>
                </c:pt>
                <c:pt idx="157">
                  <c:v>9483.0649576271171</c:v>
                </c:pt>
                <c:pt idx="158">
                  <c:v>9483.0649576271171</c:v>
                </c:pt>
                <c:pt idx="159">
                  <c:v>9483.0649576271171</c:v>
                </c:pt>
                <c:pt idx="160">
                  <c:v>9483.0649576271171</c:v>
                </c:pt>
                <c:pt idx="161">
                  <c:v>9483.0649576271171</c:v>
                </c:pt>
                <c:pt idx="162">
                  <c:v>9483.0649576271171</c:v>
                </c:pt>
                <c:pt idx="163">
                  <c:v>9483.0649576271171</c:v>
                </c:pt>
                <c:pt idx="164">
                  <c:v>9483.0649576271171</c:v>
                </c:pt>
                <c:pt idx="165">
                  <c:v>9483.0649576271171</c:v>
                </c:pt>
                <c:pt idx="166">
                  <c:v>9483.0649576271171</c:v>
                </c:pt>
                <c:pt idx="167">
                  <c:v>9483.0649576271171</c:v>
                </c:pt>
                <c:pt idx="168">
                  <c:v>9483.0649576271171</c:v>
                </c:pt>
                <c:pt idx="169">
                  <c:v>9483.0649576271171</c:v>
                </c:pt>
                <c:pt idx="170">
                  <c:v>9483.0649576271171</c:v>
                </c:pt>
                <c:pt idx="171">
                  <c:v>9483.0649576271171</c:v>
                </c:pt>
                <c:pt idx="172">
                  <c:v>9483.0649576271171</c:v>
                </c:pt>
                <c:pt idx="173">
                  <c:v>9483.0649576271171</c:v>
                </c:pt>
                <c:pt idx="174">
                  <c:v>9483.0649576271171</c:v>
                </c:pt>
                <c:pt idx="175">
                  <c:v>9483.0649576271171</c:v>
                </c:pt>
                <c:pt idx="176">
                  <c:v>9483.0649576271171</c:v>
                </c:pt>
                <c:pt idx="177">
                  <c:v>9483.0649576271171</c:v>
                </c:pt>
                <c:pt idx="178">
                  <c:v>9483.0649576271171</c:v>
                </c:pt>
                <c:pt idx="179">
                  <c:v>9483.0649576271171</c:v>
                </c:pt>
                <c:pt idx="180">
                  <c:v>9483.0649576271171</c:v>
                </c:pt>
                <c:pt idx="181">
                  <c:v>9483.0649576271171</c:v>
                </c:pt>
                <c:pt idx="182">
                  <c:v>9483.0649576271171</c:v>
                </c:pt>
                <c:pt idx="183">
                  <c:v>9483.0649576271171</c:v>
                </c:pt>
                <c:pt idx="184">
                  <c:v>9483.0649576271171</c:v>
                </c:pt>
                <c:pt idx="185">
                  <c:v>9483.0649576271171</c:v>
                </c:pt>
                <c:pt idx="186">
                  <c:v>9483.0649576271171</c:v>
                </c:pt>
                <c:pt idx="187">
                  <c:v>9483.0649576271171</c:v>
                </c:pt>
                <c:pt idx="188">
                  <c:v>9483.0649576271171</c:v>
                </c:pt>
                <c:pt idx="189">
                  <c:v>9483.0649576271171</c:v>
                </c:pt>
                <c:pt idx="190">
                  <c:v>9483.0649576271171</c:v>
                </c:pt>
                <c:pt idx="191">
                  <c:v>9483.0649576271171</c:v>
                </c:pt>
                <c:pt idx="192">
                  <c:v>9483.0649576271171</c:v>
                </c:pt>
                <c:pt idx="193">
                  <c:v>9483.0649576271171</c:v>
                </c:pt>
                <c:pt idx="194">
                  <c:v>9483.0649576271171</c:v>
                </c:pt>
                <c:pt idx="195">
                  <c:v>9483.0649576271171</c:v>
                </c:pt>
                <c:pt idx="196">
                  <c:v>9483.0649576271171</c:v>
                </c:pt>
                <c:pt idx="197">
                  <c:v>9483.0649576271171</c:v>
                </c:pt>
                <c:pt idx="198">
                  <c:v>9483.0649576271171</c:v>
                </c:pt>
                <c:pt idx="199">
                  <c:v>9483.0649576271171</c:v>
                </c:pt>
                <c:pt idx="200">
                  <c:v>9483.0649576271171</c:v>
                </c:pt>
                <c:pt idx="201">
                  <c:v>9483.0649576271171</c:v>
                </c:pt>
                <c:pt idx="202">
                  <c:v>9483.0649576271171</c:v>
                </c:pt>
                <c:pt idx="203">
                  <c:v>9483.0649576271171</c:v>
                </c:pt>
                <c:pt idx="204">
                  <c:v>9483.0649576271171</c:v>
                </c:pt>
                <c:pt idx="205">
                  <c:v>9483.0649576271171</c:v>
                </c:pt>
                <c:pt idx="206">
                  <c:v>9483.0649576271171</c:v>
                </c:pt>
                <c:pt idx="207">
                  <c:v>9483.0649576271171</c:v>
                </c:pt>
                <c:pt idx="208">
                  <c:v>9483.0649576271171</c:v>
                </c:pt>
                <c:pt idx="209">
                  <c:v>9483.0649576271171</c:v>
                </c:pt>
                <c:pt idx="210">
                  <c:v>9483.0649576271171</c:v>
                </c:pt>
                <c:pt idx="211">
                  <c:v>9483.0649576271171</c:v>
                </c:pt>
                <c:pt idx="212">
                  <c:v>9483.0649576271171</c:v>
                </c:pt>
                <c:pt idx="213">
                  <c:v>9483.0649576271171</c:v>
                </c:pt>
                <c:pt idx="214">
                  <c:v>9483.0649576271171</c:v>
                </c:pt>
                <c:pt idx="215">
                  <c:v>9483.0649576271171</c:v>
                </c:pt>
                <c:pt idx="216">
                  <c:v>9483.0649576271171</c:v>
                </c:pt>
                <c:pt idx="217">
                  <c:v>9483.0649576271171</c:v>
                </c:pt>
                <c:pt idx="218">
                  <c:v>9483.0649576271171</c:v>
                </c:pt>
                <c:pt idx="219">
                  <c:v>9483.0649576271171</c:v>
                </c:pt>
                <c:pt idx="220">
                  <c:v>9483.0649576271171</c:v>
                </c:pt>
                <c:pt idx="221">
                  <c:v>9483.0649576271171</c:v>
                </c:pt>
                <c:pt idx="222">
                  <c:v>9483.0649576271171</c:v>
                </c:pt>
                <c:pt idx="223">
                  <c:v>9483.0649576271171</c:v>
                </c:pt>
                <c:pt idx="224">
                  <c:v>9483.0649576271171</c:v>
                </c:pt>
                <c:pt idx="225">
                  <c:v>9483.0649576271171</c:v>
                </c:pt>
                <c:pt idx="226">
                  <c:v>9483.0649576271171</c:v>
                </c:pt>
                <c:pt idx="227">
                  <c:v>9483.0649576271171</c:v>
                </c:pt>
                <c:pt idx="228">
                  <c:v>9483.0649576271171</c:v>
                </c:pt>
                <c:pt idx="229">
                  <c:v>9483.0649576271171</c:v>
                </c:pt>
                <c:pt idx="230">
                  <c:v>9483.0649576271171</c:v>
                </c:pt>
                <c:pt idx="231">
                  <c:v>9483.0649576271171</c:v>
                </c:pt>
                <c:pt idx="232">
                  <c:v>9483.0649576271171</c:v>
                </c:pt>
                <c:pt idx="233">
                  <c:v>9483.0649576271171</c:v>
                </c:pt>
                <c:pt idx="234">
                  <c:v>9483.0649576271171</c:v>
                </c:pt>
                <c:pt idx="235">
                  <c:v>9483.0649576271171</c:v>
                </c:pt>
                <c:pt idx="236">
                  <c:v>9483.0649576271171</c:v>
                </c:pt>
                <c:pt idx="237">
                  <c:v>9483.0649576271171</c:v>
                </c:pt>
                <c:pt idx="238">
                  <c:v>9483.0649576271171</c:v>
                </c:pt>
                <c:pt idx="239">
                  <c:v>9483.0649576271171</c:v>
                </c:pt>
                <c:pt idx="240">
                  <c:v>9483.0649576271171</c:v>
                </c:pt>
                <c:pt idx="241">
                  <c:v>9483.0649576271171</c:v>
                </c:pt>
                <c:pt idx="242">
                  <c:v>9483.0649576271171</c:v>
                </c:pt>
                <c:pt idx="243">
                  <c:v>9483.0649576271171</c:v>
                </c:pt>
                <c:pt idx="244">
                  <c:v>9483.0649576271171</c:v>
                </c:pt>
                <c:pt idx="245">
                  <c:v>9483.0649576271171</c:v>
                </c:pt>
                <c:pt idx="246">
                  <c:v>9483.0649576271171</c:v>
                </c:pt>
                <c:pt idx="247">
                  <c:v>9483.0649576271171</c:v>
                </c:pt>
                <c:pt idx="248">
                  <c:v>9483.0649576271171</c:v>
                </c:pt>
                <c:pt idx="249">
                  <c:v>9483.0649576271171</c:v>
                </c:pt>
                <c:pt idx="250">
                  <c:v>9483.0649576271171</c:v>
                </c:pt>
                <c:pt idx="251">
                  <c:v>9483.0649576271171</c:v>
                </c:pt>
                <c:pt idx="252">
                  <c:v>9483.0649576271171</c:v>
                </c:pt>
                <c:pt idx="253">
                  <c:v>9483.0649576271171</c:v>
                </c:pt>
                <c:pt idx="254">
                  <c:v>9483.0649576271171</c:v>
                </c:pt>
                <c:pt idx="255">
                  <c:v>9483.0649576271171</c:v>
                </c:pt>
                <c:pt idx="256">
                  <c:v>9483.0649576271171</c:v>
                </c:pt>
                <c:pt idx="257">
                  <c:v>9483.0649576271171</c:v>
                </c:pt>
                <c:pt idx="258">
                  <c:v>9483.0649576271171</c:v>
                </c:pt>
                <c:pt idx="259">
                  <c:v>9483.0649576271171</c:v>
                </c:pt>
                <c:pt idx="260">
                  <c:v>9483.0649576271171</c:v>
                </c:pt>
                <c:pt idx="261">
                  <c:v>9483.0649576271171</c:v>
                </c:pt>
                <c:pt idx="262">
                  <c:v>9483.0649576271171</c:v>
                </c:pt>
                <c:pt idx="263">
                  <c:v>9483.0649576271171</c:v>
                </c:pt>
                <c:pt idx="264">
                  <c:v>9483.0649576271171</c:v>
                </c:pt>
                <c:pt idx="265">
                  <c:v>9483.0649576271171</c:v>
                </c:pt>
                <c:pt idx="266">
                  <c:v>9483.0649576271171</c:v>
                </c:pt>
                <c:pt idx="267">
                  <c:v>9483.0649576271171</c:v>
                </c:pt>
                <c:pt idx="268">
                  <c:v>9483.0649576271171</c:v>
                </c:pt>
                <c:pt idx="269">
                  <c:v>9483.0649576271171</c:v>
                </c:pt>
                <c:pt idx="270">
                  <c:v>9483.0649576271171</c:v>
                </c:pt>
                <c:pt idx="271">
                  <c:v>9483.0649576271171</c:v>
                </c:pt>
                <c:pt idx="272">
                  <c:v>9483.0649576271171</c:v>
                </c:pt>
                <c:pt idx="273">
                  <c:v>9483.0649576271171</c:v>
                </c:pt>
                <c:pt idx="274">
                  <c:v>9483.0649576271171</c:v>
                </c:pt>
                <c:pt idx="275">
                  <c:v>9483.0649576271171</c:v>
                </c:pt>
                <c:pt idx="276">
                  <c:v>9483.0649576271171</c:v>
                </c:pt>
                <c:pt idx="277">
                  <c:v>9483.0649576271171</c:v>
                </c:pt>
                <c:pt idx="278">
                  <c:v>9483.0649576271171</c:v>
                </c:pt>
                <c:pt idx="279">
                  <c:v>9483.0649576271171</c:v>
                </c:pt>
                <c:pt idx="280">
                  <c:v>9483.0649576271171</c:v>
                </c:pt>
                <c:pt idx="281">
                  <c:v>9483.0649576271171</c:v>
                </c:pt>
                <c:pt idx="282">
                  <c:v>9483.0649576271171</c:v>
                </c:pt>
                <c:pt idx="283">
                  <c:v>9483.0649576271171</c:v>
                </c:pt>
                <c:pt idx="284">
                  <c:v>9483.0649576271171</c:v>
                </c:pt>
                <c:pt idx="285">
                  <c:v>9483.0649576271171</c:v>
                </c:pt>
                <c:pt idx="286">
                  <c:v>9483.0649576271171</c:v>
                </c:pt>
                <c:pt idx="287">
                  <c:v>9483.0649576271171</c:v>
                </c:pt>
                <c:pt idx="288">
                  <c:v>9483.0649576271171</c:v>
                </c:pt>
                <c:pt idx="289">
                  <c:v>9483.0649576271171</c:v>
                </c:pt>
                <c:pt idx="290">
                  <c:v>9483.0649576271171</c:v>
                </c:pt>
                <c:pt idx="291">
                  <c:v>9483.0649576271171</c:v>
                </c:pt>
                <c:pt idx="292">
                  <c:v>9483.0649576271171</c:v>
                </c:pt>
                <c:pt idx="293">
                  <c:v>9483.0649576271171</c:v>
                </c:pt>
                <c:pt idx="294">
                  <c:v>9483.0649576271171</c:v>
                </c:pt>
                <c:pt idx="295">
                  <c:v>9483.0649576271171</c:v>
                </c:pt>
                <c:pt idx="296">
                  <c:v>9483.0649576271171</c:v>
                </c:pt>
                <c:pt idx="297">
                  <c:v>9483.0649576271171</c:v>
                </c:pt>
                <c:pt idx="298">
                  <c:v>9483.0649576271171</c:v>
                </c:pt>
                <c:pt idx="299">
                  <c:v>9483.0649576271171</c:v>
                </c:pt>
                <c:pt idx="300">
                  <c:v>9483.0649576271171</c:v>
                </c:pt>
                <c:pt idx="301">
                  <c:v>9483.0649576271171</c:v>
                </c:pt>
                <c:pt idx="302">
                  <c:v>9483.0649576271171</c:v>
                </c:pt>
                <c:pt idx="303">
                  <c:v>9483.0649576271171</c:v>
                </c:pt>
                <c:pt idx="304">
                  <c:v>9483.0649576271171</c:v>
                </c:pt>
                <c:pt idx="305">
                  <c:v>9483.0649576271171</c:v>
                </c:pt>
                <c:pt idx="306">
                  <c:v>9483.0649576271171</c:v>
                </c:pt>
                <c:pt idx="307">
                  <c:v>9483.0649576271171</c:v>
                </c:pt>
                <c:pt idx="308">
                  <c:v>9483.0649576271171</c:v>
                </c:pt>
                <c:pt idx="309">
                  <c:v>9483.0649576271171</c:v>
                </c:pt>
                <c:pt idx="310">
                  <c:v>9483.0649576271171</c:v>
                </c:pt>
                <c:pt idx="311">
                  <c:v>9483.0649576271171</c:v>
                </c:pt>
                <c:pt idx="312">
                  <c:v>9483.0649576271171</c:v>
                </c:pt>
                <c:pt idx="313">
                  <c:v>9483.0649576271171</c:v>
                </c:pt>
                <c:pt idx="314">
                  <c:v>9483.0649576271171</c:v>
                </c:pt>
                <c:pt idx="315">
                  <c:v>9483.0649576271171</c:v>
                </c:pt>
                <c:pt idx="316">
                  <c:v>9483.0649576271171</c:v>
                </c:pt>
                <c:pt idx="317">
                  <c:v>9483.0649576271171</c:v>
                </c:pt>
                <c:pt idx="318">
                  <c:v>9483.0649576271171</c:v>
                </c:pt>
                <c:pt idx="319">
                  <c:v>9483.0649576271171</c:v>
                </c:pt>
                <c:pt idx="320">
                  <c:v>9483.0649576271171</c:v>
                </c:pt>
                <c:pt idx="321">
                  <c:v>9483.0649576271171</c:v>
                </c:pt>
                <c:pt idx="322">
                  <c:v>9483.0649576271171</c:v>
                </c:pt>
                <c:pt idx="323">
                  <c:v>9483.0649576271171</c:v>
                </c:pt>
                <c:pt idx="324">
                  <c:v>9483.0649576271171</c:v>
                </c:pt>
                <c:pt idx="325">
                  <c:v>9483.0649576271171</c:v>
                </c:pt>
                <c:pt idx="326">
                  <c:v>9483.0649576271171</c:v>
                </c:pt>
                <c:pt idx="327">
                  <c:v>9483.0649576271171</c:v>
                </c:pt>
                <c:pt idx="328">
                  <c:v>9483.0649576271171</c:v>
                </c:pt>
                <c:pt idx="329">
                  <c:v>9483.0649576271171</c:v>
                </c:pt>
                <c:pt idx="330">
                  <c:v>9483.0649576271171</c:v>
                </c:pt>
                <c:pt idx="331">
                  <c:v>9483.0649576271171</c:v>
                </c:pt>
                <c:pt idx="332">
                  <c:v>9483.0649576271171</c:v>
                </c:pt>
                <c:pt idx="333">
                  <c:v>9483.0649576271171</c:v>
                </c:pt>
                <c:pt idx="334">
                  <c:v>9483.0649576271171</c:v>
                </c:pt>
                <c:pt idx="335">
                  <c:v>9483.0649576271171</c:v>
                </c:pt>
                <c:pt idx="336">
                  <c:v>9483.0649576271171</c:v>
                </c:pt>
                <c:pt idx="337">
                  <c:v>9483.0649576271171</c:v>
                </c:pt>
                <c:pt idx="338">
                  <c:v>9483.0649576271171</c:v>
                </c:pt>
                <c:pt idx="339">
                  <c:v>9483.0649576271171</c:v>
                </c:pt>
                <c:pt idx="340">
                  <c:v>9483.0649576271171</c:v>
                </c:pt>
                <c:pt idx="341">
                  <c:v>9483.0649576271171</c:v>
                </c:pt>
                <c:pt idx="342">
                  <c:v>9483.0649576271171</c:v>
                </c:pt>
                <c:pt idx="343">
                  <c:v>9483.0649576271171</c:v>
                </c:pt>
                <c:pt idx="344">
                  <c:v>9483.0649576271171</c:v>
                </c:pt>
                <c:pt idx="345">
                  <c:v>9483.0649576271171</c:v>
                </c:pt>
                <c:pt idx="346">
                  <c:v>9483.0649576271171</c:v>
                </c:pt>
                <c:pt idx="347">
                  <c:v>9483.0649576271171</c:v>
                </c:pt>
                <c:pt idx="348">
                  <c:v>9483.0649576271171</c:v>
                </c:pt>
                <c:pt idx="349">
                  <c:v>9483.0649576271171</c:v>
                </c:pt>
                <c:pt idx="350">
                  <c:v>9483.0649576271171</c:v>
                </c:pt>
                <c:pt idx="351">
                  <c:v>9483.0649576271171</c:v>
                </c:pt>
                <c:pt idx="352">
                  <c:v>9483.0649576271171</c:v>
                </c:pt>
                <c:pt idx="353">
                  <c:v>9483.0649576271171</c:v>
                </c:pt>
                <c:pt idx="354">
                  <c:v>9483.0649576271171</c:v>
                </c:pt>
                <c:pt idx="355">
                  <c:v>9483.0649576271171</c:v>
                </c:pt>
                <c:pt idx="356">
                  <c:v>9483.0649576271171</c:v>
                </c:pt>
                <c:pt idx="357">
                  <c:v>9483.0649576271171</c:v>
                </c:pt>
                <c:pt idx="358">
                  <c:v>9483.0649576271171</c:v>
                </c:pt>
                <c:pt idx="359">
                  <c:v>9483.0649576271171</c:v>
                </c:pt>
                <c:pt idx="360">
                  <c:v>9483.0649576271171</c:v>
                </c:pt>
                <c:pt idx="361">
                  <c:v>9483.0649576271171</c:v>
                </c:pt>
                <c:pt idx="362">
                  <c:v>9483.0649576271171</c:v>
                </c:pt>
                <c:pt idx="363">
                  <c:v>9483.0649576271171</c:v>
                </c:pt>
                <c:pt idx="364">
                  <c:v>9483.0649576271171</c:v>
                </c:pt>
                <c:pt idx="365">
                  <c:v>9483.0649576271171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Glance'!$W$2</c15:f>
                <c15:dlblRangeCache>
                  <c:ptCount val="1"/>
                  <c:pt idx="0">
                    <c:v>Average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D14-4A83-8868-5580E0D67C67}"/>
            </c:ext>
          </c:extLst>
        </c:ser>
        <c:ser>
          <c:idx val="4"/>
          <c:order val="4"/>
          <c:tx>
            <c:v>Maximum2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AF4732-4BB8-442E-9086-3A5FF6C90D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Glance'!$X$2</c15:f>
                <c15:dlblRangeCache>
                  <c:ptCount val="1"/>
                  <c:pt idx="0">
                    <c:v>Maximum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D14-4A83-8868-5580E0D67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  <c:majorUnit val="500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Forecast'!$AO$52:$AO$55</c:f>
              <c:numCache>
                <c:formatCode>0.00</c:formatCode>
                <c:ptCount val="4"/>
                <c:pt idx="0">
                  <c:v>200030.13</c:v>
                </c:pt>
                <c:pt idx="1">
                  <c:v>162564.79250000001</c:v>
                </c:pt>
                <c:pt idx="2">
                  <c:v>163472.43000000002</c:v>
                </c:pt>
                <c:pt idx="3">
                  <c:v>33433.47999999988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CB-49A3-87F8-F7A454443B33}"/>
            </c:ext>
          </c:extLst>
        </c:ser>
        <c:ser>
          <c:idx val="2"/>
          <c:order val="1"/>
          <c:tx>
            <c:v>Forecasted Revenue</c:v>
          </c:tx>
          <c:spPr>
            <a:noFill/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Forecast'!$AQ$52:$AQ$55</c:f>
              <c:numCache>
                <c:formatCode>General</c:formatCode>
                <c:ptCount val="4"/>
                <c:pt idx="0">
                  <c:v>879969.87</c:v>
                </c:pt>
                <c:pt idx="1">
                  <c:v>677435.20750000002</c:v>
                </c:pt>
                <c:pt idx="2">
                  <c:v>616527.56999999995</c:v>
                </c:pt>
                <c:pt idx="3">
                  <c:v>26566.52000000012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CB-49A3-87F8-F7A454443B33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B9731CC-F12C-4F3F-98F4-0309E41B6C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CB-49A3-87F8-F7A454443B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DF028A-D2B7-49F4-8A6E-3C59A374DF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CB-49A3-87F8-F7A454443B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DA3FA1-A685-45E7-8C86-23B1CBC43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CB-49A3-87F8-F7A454443B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47D9AA-0D66-423A-8D9F-DC0DD39023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CB-49A3-87F8-F7A454443B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Forecast'!$AR$52:$AR$55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'LY &amp; Forecast'!$AS$52:$AS$55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1CB-49A3-87F8-F7A454443B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4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5.emf"/><Relationship Id="rId5" Type="http://schemas.openxmlformats.org/officeDocument/2006/relationships/image" Target="../media/image44.emf"/><Relationship Id="rId4" Type="http://schemas.openxmlformats.org/officeDocument/2006/relationships/image" Target="../media/image4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51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35</xdr:col>
          <xdr:colOff>952500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19050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50</xdr:row>
      <xdr:rowOff>114300</xdr:rowOff>
    </xdr:from>
    <xdr:to>
      <xdr:col>33</xdr:col>
      <xdr:colOff>66673</xdr:colOff>
      <xdr:row>57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314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313"/>
    <tableColumn id="1" xr3:uid="{1BE78C43-2AB0-4395-86E2-25CC2234D2AE}" name="GroupName" totalsRowLabel="Total" dataDxfId="312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311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310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309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308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307" totalsRowDxfId="306">
      <calculatedColumnFormula>_xlfn.MINIFS(MainData[Date],MainData[GroupID],CustomerData[[#This Row],[GroupID]])</calculatedColumnFormula>
    </tableColumn>
    <tableColumn id="10" xr3:uid="{8BC3D77F-60B2-47A7-92D8-BCBDF375CAE4}" name="To" dataDxfId="305" totalsRowDxfId="304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303" totalsRowDxfId="302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301" totalsRowDxfId="300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299" totalsRowDxfId="298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297" totalsRowDxfId="296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295" totalsRowDxfId="294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293" dataDxfId="291" totalsRowDxfId="290" headerRowBorderDxfId="292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89" totalsRowDxfId="288"/>
    <tableColumn id="1" xr3:uid="{4C8FF318-F405-459F-8A45-E0666DCDE764}" name="Date" totalsRowLabel="Total" dataDxfId="287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86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85" totalsRowDxfId="284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83" totalsRowDxfId="282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81" totalsRowDxfId="280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79" totalsRowDxfId="278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77" totalsRowDxfId="276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75" totalsRowDxfId="274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73" totalsRowDxfId="272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71" totalsRowDxfId="270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69" dataDxfId="268" totalsRowDxfId="267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66" totalsRowDxfId="265"/>
    <tableColumn id="3" xr3:uid="{94E8CBB4-5CEF-4FC8-AA29-7267FAD38F0E}" name="EO#" dataDxfId="264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63" totalsRowDxfId="262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61" totalsRowDxfId="260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59" totalsRowDxfId="258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57" totalsRowDxfId="256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55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54" totalsRowDxfId="253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52" totalsRowDxfId="251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50" totalsRowDxfId="249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48" totalsRowDxfId="247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46" dataDxfId="245" totalsRowDxfId="244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43" totalsRowDxfId="242"/>
    <tableColumn id="1" xr3:uid="{3CBEF39C-B30F-4D35-9B86-CD8B94C2ECA4}" name="Date" totalsRowLabel="Total" dataDxfId="241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240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239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238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237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236" totalsRowDxfId="235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234" totalsRowDxfId="233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232" totalsRowDxfId="231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230" totalsRowDxfId="229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228" totalsRowDxfId="227">
      <calculatedColumnFormula>SUM(BeverageCost[[#This Row],[Liquor]:[Other]])</calculatedColumnFormula>
    </tableColumn>
    <tableColumn id="23" xr3:uid="{700B420D-2E49-4986-91B7-99E1F1B1FA09}" name="$Liq" dataDxfId="226" totalsRowDxfId="225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224" totalsRowDxfId="223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222" totalsRowDxfId="221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220" totalsRowDxfId="219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218" totalsRowDxfId="217">
      <calculatedColumnFormula>SUM(BeverageCost[[#This Row],[$Liq]:[$Other]])</calculatedColumnFormula>
    </tableColumn>
    <tableColumn id="28" xr3:uid="{9D965A8E-DAED-4C96-B875-63CC9FD48228}" name="%Liq" dataDxfId="216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215" totalsRowDxfId="214" dataCellStyle="Percent">
      <calculatedColumnFormula>INDEX('LY &amp; Forecast'!$F$30:$AD$49,10,MATCH(BeverageCost[[#This Row],[Date]],'LY &amp; Forecast'!$F$30:$AD$30,1)) / INDEX('LY &amp; Forecast'!$F$30:$AD$49,16,MATCH(BeverageCost[[#This Row],[Date]],'LY &amp; Forecast'!$F$30:$AD$30,1))</calculatedColumnFormula>
    </tableColumn>
    <tableColumn id="6" xr3:uid="{60AA37C0-D5E3-438A-B3CD-B3E924010B37}" name="%Wine" totalsRowFunction="sum" dataDxfId="213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212" dataCellStyle="Percent">
      <calculatedColumnFormula>INDEX('LY &amp; Forecast'!$F$30:$AD$49,11,MATCH(BeverageCost[[#This Row],[Date]],'LY &amp; Forecast'!$F$30:$AD$30,1)) / INDEX('LY &amp; Forecast'!$F$30:$AD$49,17,MATCH(BeverageCost[[#This Row],[Date]],'LY &amp; Forecast'!$F$30:$AD$30,1))</calculatedColumnFormula>
    </tableColumn>
    <tableColumn id="12" xr3:uid="{09C45849-7C07-4234-BB8D-231739CAE21E}" name="%Beer" dataDxfId="211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210" dataCellStyle="Percent">
      <calculatedColumnFormula>INDEX('LY &amp; Forecast'!$F$30:$AD$49,12,MATCH(BeverageCost[[#This Row],[Date]],'LY &amp; Forecast'!$F$30:$AD$30,1)) / INDEX('LY &amp; Forecast'!$F$30:$AD$49,18,MATCH(BeverageCost[[#This Row],[Date]],'LY &amp; Forecast'!$F$30:$AD$30,1))</calculatedColumnFormula>
    </tableColumn>
    <tableColumn id="8" xr3:uid="{9FD0D7D3-9A91-48E4-A47B-E239A7D7F361}" name="%Other" dataDxfId="209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208" totalsRowDxfId="207" dataCellStyle="Percent">
      <calculatedColumnFormula>INDEX('LY &amp; Forecast'!$F$30:$AD$49,13,MATCH(BeverageCost[[#This Row],[Date]],'LY &amp; Forecast'!$F$30:$AD$30,1)) / INDEX('LY &amp; Forecast'!$F$30:$AD$49,19,MATCH(BeverageCost[[#This Row],[Date]],'LY &amp; Forecast'!$F$30:$AD$30,1))</calculatedColumnFormula>
    </tableColumn>
    <tableColumn id="29" xr3:uid="{E181C038-0509-496B-A53D-D8AA176155C3}" name="%Total" dataDxfId="206" totalsRowDxfId="205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204" dataCellStyle="Percent">
      <calculatedColumnFormula>INDEX('LY &amp; Forecast'!$F$30:$AD$49,14,MATCH(BeverageCost[[#This Row],[Date]],'LY &amp; Forecast'!$F$30:$AD$30,1)) / INDEX('LY &amp; Forecast'!$F$30:$AD$49,20,MATCH(BeverageCost[[#This Row],[Date]],'LY &amp; Forecast'!$F$30:$AD$30,1))</calculatedColumnFormula>
    </tableColumn>
    <tableColumn id="5" xr3:uid="{BE0C5C2B-30BD-4C53-853B-B5B65ACEDC6D}" name="Impact" dataDxfId="203" totalsRowDxfId="202" dataCellStyle="Percent">
      <calculatedColumnFormula>IFERROR(BeverageCost[[#This Row],[$Total]]/$Q$5,0)</calculatedColumnFormula>
    </tableColumn>
    <tableColumn id="9" xr3:uid="{E85E9A22-E713-490D-80D2-1C6C38A7FD2F}" name="Notes" totalsRowFunction="count" dataDxfId="201" totalsRowDxfId="20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99" dataDxfId="198">
  <autoFilter ref="B6:P113" xr:uid="{BBF912A7-92CD-48DD-AB76-1A419338211D}">
    <filterColumn colId="1">
      <filters>
        <dateGroupItem year="2022" month="2" dateTimeGrouping="month"/>
      </filters>
    </filterColumn>
  </autoFilter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97"/>
    <tableColumn id="1" xr3:uid="{B33D6793-0234-4602-872C-E69D9C9A4B50}" name="Date" totalsRowLabel="Total" dataDxfId="196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95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94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93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92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91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90" totalsRowDxfId="189">
      <calculatedColumnFormula>SUMIFS(MainData[Item],MainData[EventID],LaborCost[[#This Row],[EventID]],MainData[Product],I$6)</calculatedColumnFormula>
    </tableColumn>
    <tableColumn id="5" xr3:uid="{A7B7C8EF-A811-46B3-9BE2-7FED13FEF372}" name="Bartenders" dataDxfId="188" totalsRowDxfId="187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86" totalsRowDxfId="185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84" totalsRowDxfId="183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82" totalsRowDxfId="181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80" totalsRowDxfId="179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78" totalsRowDxfId="177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76" totalsRowDxfId="175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543" headerRowDxfId="39" dataDxfId="38" tableBorderDxfId="37">
  <autoFilter ref="B6:Q1543" xr:uid="{BBF912A7-92CD-48DD-AB76-1A419338211D}"/>
  <sortState xmlns:xlrd2="http://schemas.microsoft.com/office/spreadsheetml/2017/richdata2" ref="B7:Q1543">
    <sortCondition ref="E6:E1543"/>
    <sortCondition ref="H6:H1543"/>
    <sortCondition ref="F6:F1543"/>
    <sortCondition ref="I6:I1543"/>
    <sortCondition ref="J6:J1543"/>
    <sortCondition ref="K6:K1543" customList="Info,Rental,Labor,Gratuity,Tax,Food,Beverage"/>
    <sortCondition ref="L6:L1543"/>
  </sortState>
  <tableColumns count="16">
    <tableColumn id="13" xr3:uid="{C47E36CF-17BC-47F8-A682-6232E84ECB33}" name="GroupID" dataDxfId="35" totalsRowDxfId="36"/>
    <tableColumn id="12" xr3:uid="{1CF5D960-F98E-462E-80CD-B370D3FCF010}" name="EventID" dataDxfId="33" totalsRowDxfId="34"/>
    <tableColumn id="6" xr3:uid="{8C4D7182-9F87-49FC-A937-812E11DC9976}" name="BillID" dataDxfId="31" totalsRowDxfId="32"/>
    <tableColumn id="1" xr3:uid="{F398CCAC-49D1-4B32-B940-C47280E121BA}" name="Date" totalsRowLabel="Total" dataDxfId="29" totalsRowDxfId="30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27" totalsRowDxfId="28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25" totalsRowDxfId="26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23" totalsRowDxfId="24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21" totalsRowDxfId="22"/>
    <tableColumn id="10" xr3:uid="{047E4B78-82A9-47AB-AAFD-85C451782064}" name="BillTo" totalsRowDxfId="20"/>
    <tableColumn id="5" xr3:uid="{35E23CDB-2115-4C94-9775-FFA64C1BC6B3}" name="Category" dataDxfId="18" totalsRowDxfId="19"/>
    <tableColumn id="11" xr3:uid="{334480F4-D137-4FFD-82D7-E8F35F177CD4}" name="Product" dataDxfId="16" totalsRowDxfId="17"/>
    <tableColumn id="2" xr3:uid="{10339848-5689-4BA6-A858-84BBEBA18F41}" name="Item" dataDxfId="14" totalsRowDxfId="15"/>
    <tableColumn id="4" xr3:uid="{A8169120-5C26-4B09-982C-E0740294F798}" name="Pricing" dataDxfId="12" totalsRowDxfId="13"/>
    <tableColumn id="14" xr3:uid="{3259B98B-C98E-4A5C-A81B-D6DD7B330AC8}" name="Quantity" dataDxfId="10" totalsRowDxfId="11"/>
    <tableColumn id="16" xr3:uid="{47386EE4-AE70-436F-B9F7-F55DC5CA95FC}" name="ExtendedCost" dataDxfId="8" totalsRowDxfId="9"/>
    <tableColumn id="7" xr3:uid="{7E26F182-48F9-407C-A0A6-8AB6D877CED7}" name="ExtendedPrice" totalsRowFunction="sum" dataDxfId="6" totalsRowDxfId="7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74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73"/>
    <tableColumn id="1" xr3:uid="{F18E9535-CBFF-4AC8-9069-3DBA22417A38}" name="Description" totalsRowLabel="Total" dataDxfId="172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71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170"/>
    <tableColumn id="3" xr3:uid="{5B7A5C2F-69AE-46AE-987E-B37D3A332E82}" name="Product" dataDxfId="169"/>
    <tableColumn id="1" xr3:uid="{6CF56712-04D5-46DC-988E-4D9A5ADEAB2C}" name="Description" totalsRowLabel="Total" dataDxfId="168"/>
    <tableColumn id="4" xr3:uid="{17FF1388-F0B8-40FD-A362-6A90E193FC56}" name="DataFields" dataDxfId="167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166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165"/>
    <tableColumn id="1" xr3:uid="{5F594A45-89F6-4335-9D10-4AA3D98A7329}" name="Description" totalsRowLabel="Total" dataDxfId="164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163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62"/>
    <tableColumn id="1" xr3:uid="{B34F1B8A-ADD8-4B9B-A853-BC68DCDBE99A}" name="Description" totalsRowLabel="Total" dataDxfId="16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R370"/>
  <sheetViews>
    <sheetView showGridLines="0" zoomScale="90" zoomScaleNormal="90" workbookViewId="0">
      <selection activeCell="T3" sqref="T3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hidden="1" customWidth="1" outlineLevel="1"/>
    <col min="28" max="28" width="10.5703125" style="18" hidden="1" customWidth="1" outlineLevel="1"/>
    <col min="29" max="41" width="10.7109375" style="18" hidden="1" customWidth="1" outlineLevel="1"/>
    <col min="42" max="43" width="10.7109375" hidden="1" customWidth="1" outlineLevel="1"/>
    <col min="44" max="44" width="10.7109375" customWidth="1" collapsed="1"/>
    <col min="45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Revenue'!$C$1</f>
        <v>BANQUET BEVERAGE REVENUE ANALYSIS</v>
      </c>
      <c r="R1" s="9">
        <f>'YTD Revenue'!$AG$1</f>
        <v>2022</v>
      </c>
      <c r="U1" s="18" t="s">
        <v>444</v>
      </c>
      <c r="Z1" s="18" t="s">
        <v>311</v>
      </c>
      <c r="AP1" s="18"/>
      <c r="AQ1" s="18"/>
    </row>
    <row r="2" spans="2:43" x14ac:dyDescent="0.25">
      <c r="B2" s="16" t="str">
        <f>IF('YTD Revenue'!$AJ$5="Final","Beverage Performance for Year "&amp;'YTD Revenue'!$AG$1,"Year to Date Beverage Performance as of "&amp;TEXT(LARGE(MainData[Date],1),"mm/dd/yyyy"))</f>
        <v>Year to Date Beverage Performance as of 02/28/2022</v>
      </c>
      <c r="U2" s="190" t="s">
        <v>0</v>
      </c>
      <c r="V2" s="190" t="s">
        <v>2</v>
      </c>
      <c r="W2" s="190" t="s">
        <v>515</v>
      </c>
      <c r="X2" s="190" t="s">
        <v>508</v>
      </c>
      <c r="AA2" s="190" t="s">
        <v>242</v>
      </c>
      <c r="AB2" s="190" t="s">
        <v>324</v>
      </c>
      <c r="AC2" s="190" t="s">
        <v>325</v>
      </c>
      <c r="AD2" s="190" t="s">
        <v>326</v>
      </c>
      <c r="AE2" s="190" t="s">
        <v>297</v>
      </c>
      <c r="AF2" s="190" t="s">
        <v>327</v>
      </c>
      <c r="AG2" s="190" t="s">
        <v>328</v>
      </c>
      <c r="AH2" s="190" t="s">
        <v>329</v>
      </c>
      <c r="AI2" s="190" t="s">
        <v>305</v>
      </c>
      <c r="AJ2" s="190" t="s">
        <v>509</v>
      </c>
      <c r="AK2" s="190" t="s">
        <v>510</v>
      </c>
      <c r="AL2" s="190" t="s">
        <v>511</v>
      </c>
      <c r="AM2" s="190" t="s">
        <v>330</v>
      </c>
      <c r="AN2" s="190" t="s">
        <v>331</v>
      </c>
      <c r="AO2" s="190" t="s">
        <v>343</v>
      </c>
      <c r="AP2" s="18"/>
      <c r="AQ2" s="18"/>
    </row>
    <row r="3" spans="2:43" x14ac:dyDescent="0.25">
      <c r="B3" s="199">
        <f>Transactions!$B$3</f>
        <v>44887.394606481481</v>
      </c>
      <c r="C3" s="199"/>
      <c r="D3" s="199"/>
      <c r="E3" s="199"/>
      <c r="F3" s="199"/>
      <c r="G3" s="120"/>
      <c r="H3" s="120"/>
      <c r="I3" s="120"/>
      <c r="J3" s="120"/>
      <c r="R3" s="197" t="str" cm="1">
        <f t="array" ref="R3" xml:space="preserve"> _xlfn.LET(
      _xlpm.fromGroup, 'YTD Revenue'!$AJ$52="Yes",
      _xlpm.fromEPO, 'YTD Revenue'!$AJ$33="Yes",
      _xlpm.fromHotel, 'YTD Revenue'!$AJ$14="Yes",
      _xlpm.SourceCount, SUM(--(_xlfn.VSTACK(_xlpm.fromGroup, _xlpm.fromEPO, _xlpm.fromHotel))),
      IF(_xlpm.SourceCount&gt;0, "Includes ", "") &amp; IF(_xlpm.fromGroup, 'YTD Revenue'!$B$49 &amp; IF(AND(_xlpm.fromEPO,_xlpm.fromHotel), ", ", IF(OR(_xlpm.fromEPO,_xlpm.fromHotel), " and ", "")), "") &amp; IF(_xlpm.fromEPO, 'YTD Revenue'!$B$30 &amp; IF(AND(_xlpm.fromGroup,_xlpm.fromHotel), ", and ", IF(_xlpm.fromHotel, " and ", "")), "") &amp; IF(_xlpm.fromHotel, 'YTD Revenue'!$B$11, "")
      )</f>
        <v>Includes Beverages Billed to Groups and Beverages Purchased by Guests</v>
      </c>
      <c r="U3" s="183">
        <f>'YTD Revenue'!$F$7</f>
        <v>44562</v>
      </c>
      <c r="V3" s="18">
        <f xml:space="preserve"> SUMIFS(MainData[ExtendedPrice], MainData[Date], U3, MainData[Category], "Beverage", MainData[Pricing], "&lt;&gt;"&amp;"*Adjust*", MainData[Pricing], "&lt;&gt;"&amp;"*LY*", MainData[BillTo], IF('YTD Revenue'!$AJ$14="Yes", "Hotel", "999999")) +
   SUMIFS(MainData[ExtendedPrice], MainData[Date], U3, MainData[Category], "Beverage", MainData[Pricing], "&lt;&gt;"&amp;"*Adjust*", MainData[Pricing], "&lt;&gt;"&amp;"*LY*", MainData[BillTo], IF('YTD Revenue'!$AJ$33="Yes", "EPO", "999999")) +
   SUMIFS(MainData[ExtendedPrice], MainData[Date], U3, MainData[Category], "Beverage", MainData[Pricing], "&lt;&gt;"&amp;"*Adjust*", MainData[Pricing], "&lt;&gt;"&amp;"*LY*", MainData[BillTo], IF('YTD Revenue'!$AJ$52="Yes", "Group", "999999")) -
   SUMIFS(MainData[ExtendedPrice], MainData[Date], U3,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" s="185">
        <f>AVERAGEIFS(V3:V368,U3:U368,"&lt;="&amp;MAX(MainData[Date]))</f>
        <v>9483.0649576271171</v>
      </c>
      <c r="X3" s="175">
        <f>MAX(V3:V368)</f>
        <v>73045.8</v>
      </c>
      <c r="Z3" s="18" t="s">
        <v>36</v>
      </c>
      <c r="AA3" s="175">
        <f>'LY &amp; Forecast'!AG22</f>
        <v>839840.97600000002</v>
      </c>
      <c r="AB3" s="175">
        <v>1.17</v>
      </c>
      <c r="AC3" s="175">
        <f>0.5*AA3</f>
        <v>419920.48800000001</v>
      </c>
      <c r="AD3" s="179">
        <f>IF(OR(AA3=0,AC3-0&lt;0.03*MAX($AA$7,$AE$7,$AI$7)),"",AA3)</f>
        <v>839840.97600000002</v>
      </c>
      <c r="AE3" s="175">
        <f>IF('YTD Revenue'!$AJ$14="Yes",'YTD Revenue'!AG23,0) + IF('YTD Revenue'!$AJ$33="Yes",'YTD Revenue'!AG42,0) + IF('YTD Revenue'!$AJ$52="Yes",'YTD Revenue'!AG61,0)</f>
        <v>200030.13</v>
      </c>
      <c r="AF3" s="18">
        <v>2.17</v>
      </c>
      <c r="AG3" s="175">
        <f>0.5*AE3</f>
        <v>100015.065</v>
      </c>
      <c r="AH3" s="179">
        <f>IF(OR(AE3=0,AG3-0&lt;0.03*MAX($AA$7,$AE$7,$AI$7)),"",AE3)</f>
        <v>200030.13</v>
      </c>
      <c r="AI3" s="175">
        <f>'LY &amp; Forecast'!AG45</f>
        <v>1080000</v>
      </c>
      <c r="AJ3" s="18">
        <v>3.17</v>
      </c>
      <c r="AK3" s="175">
        <f>0.5*AI3</f>
        <v>540000</v>
      </c>
      <c r="AL3" s="179">
        <f>IF(OR(AI3=0,AK3-0&lt;0.03*MAX($AA$7,$AE$7,$AI$7)),"",AI3)</f>
        <v>1080000</v>
      </c>
      <c r="AM3" s="18">
        <v>1.8</v>
      </c>
      <c r="AN3" s="175">
        <f>AI7</f>
        <v>2760000</v>
      </c>
      <c r="AO3" s="174"/>
      <c r="AP3" s="18"/>
      <c r="AQ3" s="18"/>
    </row>
    <row r="4" spans="2:43" x14ac:dyDescent="0.25">
      <c r="B4" s="64"/>
      <c r="C4" s="64"/>
      <c r="D4" s="64"/>
      <c r="E4" s="64"/>
      <c r="F4" s="64"/>
      <c r="G4" s="64"/>
      <c r="H4" s="64"/>
      <c r="I4" s="64"/>
      <c r="J4" s="64"/>
      <c r="R4" s="197" t="str" cm="1">
        <f t="array" ref="R4" xml:space="preserve"> _xlfn.LET(
      _xlpm.notfromGroup, 'YTD Revenue'!$AJ$52="No",
      _xlpm.notfromEPO, 'YTD Revenue'!$AJ$33="No",
      _xlpm.notfromHotel, 'YTD Revenue'!$AJ$14="No",
      _xlpm.SourceCount, SUM(--(_xlfn.VSTACK(_xlpm.notfromGroup, _xlpm.notfromEPO, _xlpm.notfromHotel))),
      IF(_xlpm.SourceCount&gt;0, "Does Not Include ", "") &amp; IF(_xlpm.notfromGroup, 'YTD Revenue'!$B$49 &amp; IF(AND(_xlpm.notfromEPO,_xlpm.notfromHotel), ", ", IF(OR(_xlpm.notfromEPO,_xlpm.notfromHotel), " and ", "")), "") &amp; IF(_xlpm.notfromEPO, 'YTD Revenue'!$B$30 &amp; IF(AND(_xlpm.notfromGroup,_xlpm.notfromHotel), ", and ", IF(_xlpm.notfromHotel, " and ", "")), "") &amp; IF(_xlpm.notfromHotel, 'YTD Revenue'!$B$11, "")
      )</f>
        <v>Does Not Include Beverages Billed to Hotel</v>
      </c>
      <c r="U4" s="183">
        <f>U3+1</f>
        <v>44563</v>
      </c>
      <c r="V4" s="18">
        <f xml:space="preserve"> SUMIFS(MainData[ExtendedPrice], MainData[Date], U4, MainData[Category], "Beverage", MainData[Pricing], "&lt;&gt;"&amp;"*Adjust*", MainData[Pricing], "&lt;&gt;"&amp;"*LY*", MainData[BillTo], IF('YTD Revenue'!$AJ$14="Yes", "Hotel", "999999")) +
   SUMIFS(MainData[ExtendedPrice], MainData[Date], U4, MainData[Category], "Beverage", MainData[Pricing], "&lt;&gt;"&amp;"*Adjust*", MainData[Pricing], "&lt;&gt;"&amp;"*LY*", MainData[BillTo], IF('YTD Revenue'!$AJ$33="Yes", "EPO", "999999")) +
   SUMIFS(MainData[ExtendedPrice], MainData[Date], U4, MainData[Category], "Beverage", MainData[Pricing], "&lt;&gt;"&amp;"*Adjust*", MainData[Pricing], "&lt;&gt;"&amp;"*LY*", MainData[BillTo], IF('YTD Revenue'!$AJ$52="Yes", "Group", "999999")) -
   SUMIFS(MainData[ExtendedPrice], MainData[Date], U4,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" s="175">
        <f>W3</f>
        <v>9483.0649576271171</v>
      </c>
      <c r="X4" s="175">
        <f>X3</f>
        <v>73045.8</v>
      </c>
      <c r="Z4" s="18" t="s">
        <v>25</v>
      </c>
      <c r="AA4" s="175">
        <f>'LY &amp; Forecast'!AG23</f>
        <v>721384.08000000007</v>
      </c>
      <c r="AB4" s="175">
        <v>1.17</v>
      </c>
      <c r="AC4" s="175">
        <f>(0.5*AA4)+AA3</f>
        <v>1200533.0160000001</v>
      </c>
      <c r="AD4" s="179">
        <f>IF(OR(AA4=0,AC4-AC3&lt;0.03*MAX($AA$7,$AE$7,$AI$7)),"",AA4)</f>
        <v>721384.08000000007</v>
      </c>
      <c r="AE4" s="175">
        <f>IF('YTD Revenue'!$AJ$14="Yes",'YTD Revenue'!AG24,0) + IF('YTD Revenue'!$AJ$33="Yes",'YTD Revenue'!AG43,0) + IF('YTD Revenue'!$AJ$52="Yes",'YTD Revenue'!AG62,0)</f>
        <v>162564.79250000001</v>
      </c>
      <c r="AF4" s="18">
        <v>2.17</v>
      </c>
      <c r="AG4" s="175">
        <f>(0.5*AE4)+AE3</f>
        <v>281312.52625</v>
      </c>
      <c r="AH4" s="179">
        <f>IF(OR(AE4=0,AG4-AG3&lt;0.03*MAX($AA$7,$AE$7,$AI$7)),"",AE4)</f>
        <v>162564.79250000001</v>
      </c>
      <c r="AI4" s="175">
        <f>'LY &amp; Forecast'!AG46</f>
        <v>840000</v>
      </c>
      <c r="AJ4" s="18">
        <v>3.17</v>
      </c>
      <c r="AK4" s="175">
        <f>(0.5*AI4)+AI3</f>
        <v>1500000</v>
      </c>
      <c r="AL4" s="179">
        <f>IF(OR(AI4=0,AK4-AK3&lt;0.03*MAX($AA$7,$AE$7,$AI$7)),"",AI4)</f>
        <v>840000</v>
      </c>
      <c r="AM4" s="18">
        <v>2.8</v>
      </c>
      <c r="AN4" s="175">
        <f>AI7</f>
        <v>2760000</v>
      </c>
      <c r="AO4" s="174" t="s">
        <v>305</v>
      </c>
      <c r="AP4" s="18"/>
      <c r="AQ4" s="18"/>
    </row>
    <row r="5" spans="2:43" x14ac:dyDescent="0.25">
      <c r="B5" s="64"/>
      <c r="C5" s="64"/>
      <c r="D5" s="64"/>
      <c r="E5" s="64"/>
      <c r="F5" s="64"/>
      <c r="G5" s="64"/>
      <c r="H5" s="64"/>
      <c r="I5" s="64"/>
      <c r="J5" s="64"/>
      <c r="U5" s="183">
        <f t="shared" ref="U5:U68" si="0">U4+1</f>
        <v>44564</v>
      </c>
      <c r="V5" s="18">
        <f xml:space="preserve"> SUMIFS(MainData[ExtendedPrice], MainData[Date], U5, MainData[Category], "Beverage", MainData[Pricing], "&lt;&gt;"&amp;"*Adjust*", MainData[Pricing], "&lt;&gt;"&amp;"*LY*", MainData[BillTo], IF('YTD Revenue'!$AJ$14="Yes", "Hotel", "999999")) +
   SUMIFS(MainData[ExtendedPrice], MainData[Date], U5, MainData[Category], "Beverage", MainData[Pricing], "&lt;&gt;"&amp;"*Adjust*", MainData[Pricing], "&lt;&gt;"&amp;"*LY*", MainData[BillTo], IF('YTD Revenue'!$AJ$33="Yes", "EPO", "999999")) +
   SUMIFS(MainData[ExtendedPrice], MainData[Date], U5, MainData[Category], "Beverage", MainData[Pricing], "&lt;&gt;"&amp;"*Adjust*", MainData[Pricing], "&lt;&gt;"&amp;"*LY*", MainData[BillTo], IF('YTD Revenue'!$AJ$52="Yes", "Group", "999999")) -
   SUMIFS(MainData[ExtendedPrice], MainData[Date], U5,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" s="175">
        <f t="shared" ref="W5:W68" si="1">W4</f>
        <v>9483.0649576271171</v>
      </c>
      <c r="X5" s="175">
        <f t="shared" ref="X5:X68" si="2">X4</f>
        <v>73045.8</v>
      </c>
      <c r="Z5" s="18" t="s">
        <v>35</v>
      </c>
      <c r="AA5" s="175">
        <f>'LY &amp; Forecast'!AG24</f>
        <v>686198.03999999992</v>
      </c>
      <c r="AB5" s="175">
        <v>1.17</v>
      </c>
      <c r="AC5" s="175">
        <f>(0.5*AA5)+SUM(AA3:AA4)</f>
        <v>1904324.0760000001</v>
      </c>
      <c r="AD5" s="179">
        <f>IF(OR(AA5=0,AC5-AC4&lt;0.03*MAX($AA$7,$AE$7,$AI$7)),"",AA5)</f>
        <v>686198.03999999992</v>
      </c>
      <c r="AE5" s="175">
        <f>IF('YTD Revenue'!$AJ$14="Yes",'YTD Revenue'!AG25,0) + IF('YTD Revenue'!$AJ$33="Yes",'YTD Revenue'!AG44,0) + IF('YTD Revenue'!$AJ$52="Yes",'YTD Revenue'!AG63,0)</f>
        <v>163472.43000000002</v>
      </c>
      <c r="AF5" s="18">
        <v>2.17</v>
      </c>
      <c r="AG5" s="175">
        <f>(0.5*AE5)+SUM(AE3:AE4)</f>
        <v>444331.13750000001</v>
      </c>
      <c r="AH5" s="179">
        <f>IF(OR(AE5=0,AG5-AG4&lt;0.03*MAX($AA$7,$AE$7,$AI$7)),"",AE5)</f>
        <v>163472.43000000002</v>
      </c>
      <c r="AI5" s="175">
        <f>'LY &amp; Forecast'!AG47</f>
        <v>780000</v>
      </c>
      <c r="AJ5" s="18">
        <v>3.17</v>
      </c>
      <c r="AK5" s="175">
        <f>(0.5*AI5)+SUM(AI3:AI4)</f>
        <v>2310000</v>
      </c>
      <c r="AL5" s="179">
        <f>IF(OR(AI5=0,AK5-AK4&lt;0.03*MAX($AA$7,$AE$7,$AI$7)),"",AI5)</f>
        <v>780000</v>
      </c>
      <c r="AM5" s="18">
        <v>1.8</v>
      </c>
      <c r="AN5" s="175">
        <f>AN8</f>
        <v>2224155.9139285674</v>
      </c>
      <c r="AO5" s="174"/>
      <c r="AP5" s="18"/>
      <c r="AQ5" s="18"/>
    </row>
    <row r="6" spans="2:43" x14ac:dyDescent="0.25">
      <c r="B6" s="64"/>
      <c r="C6" s="64"/>
      <c r="D6" s="64"/>
      <c r="E6" s="64"/>
      <c r="F6" s="64"/>
      <c r="G6" s="64"/>
      <c r="H6" s="64"/>
      <c r="I6" s="64"/>
      <c r="J6" s="64"/>
      <c r="U6" s="183">
        <f t="shared" si="0"/>
        <v>44565</v>
      </c>
      <c r="V6" s="18">
        <f xml:space="preserve"> SUMIFS(MainData[ExtendedPrice], MainData[Date], U6, MainData[Category], "Beverage", MainData[Pricing], "&lt;&gt;"&amp;"*Adjust*", MainData[Pricing], "&lt;&gt;"&amp;"*LY*", MainData[BillTo], IF('YTD Revenue'!$AJ$14="Yes", "Hotel", "999999")) +
   SUMIFS(MainData[ExtendedPrice], MainData[Date], U6, MainData[Category], "Beverage", MainData[Pricing], "&lt;&gt;"&amp;"*Adjust*", MainData[Pricing], "&lt;&gt;"&amp;"*LY*", MainData[BillTo], IF('YTD Revenue'!$AJ$33="Yes", "EPO", "999999")) +
   SUMIFS(MainData[ExtendedPrice], MainData[Date], U6, MainData[Category], "Beverage", MainData[Pricing], "&lt;&gt;"&amp;"*Adjust*", MainData[Pricing], "&lt;&gt;"&amp;"*LY*", MainData[BillTo], IF('YTD Revenue'!$AJ$52="Yes", "Group", "999999")) -
   SUMIFS(MainData[ExtendedPrice], MainData[Date], U6,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" s="175">
        <f t="shared" si="1"/>
        <v>9483.0649576271171</v>
      </c>
      <c r="X6" s="175">
        <f t="shared" si="2"/>
        <v>73045.8</v>
      </c>
      <c r="Z6" s="18" t="s">
        <v>24</v>
      </c>
      <c r="AA6" s="175">
        <f>'LY &amp; Forecast'!AG25</f>
        <v>68344.800000000017</v>
      </c>
      <c r="AB6" s="175">
        <v>1.17</v>
      </c>
      <c r="AC6" s="175">
        <f>(0.5*AA6)+SUM(AA3:AA5)</f>
        <v>2281595.4959999998</v>
      </c>
      <c r="AD6" s="179">
        <f>IF(OR(AA6=0,AC6-AC5&lt;0.03*MAX($AA$7,$AE$7,$AI$7)),"",AA6)</f>
        <v>68344.800000000017</v>
      </c>
      <c r="AE6" s="175">
        <f>IF('YTD Revenue'!$AJ$14="Yes",'YTD Revenue'!AG26,0) + IF('YTD Revenue'!$AJ$33="Yes",'YTD Revenue'!AG45,0) + IF('YTD Revenue'!$AJ$52="Yes",'YTD Revenue'!AG64,0)</f>
        <v>33433.47999999988</v>
      </c>
      <c r="AF6" s="18">
        <v>2.17</v>
      </c>
      <c r="AG6" s="175">
        <f>(0.5*AE6)+SUM(AE3:AE5)</f>
        <v>542784.09250000003</v>
      </c>
      <c r="AH6" s="179">
        <f>IF(OR(AE6=0,AG6-AG5&lt;0.03*MAX($AA$7,$AE$7,$AI$7)),"",AE6)</f>
        <v>33433.47999999988</v>
      </c>
      <c r="AI6" s="175">
        <f>'LY &amp; Forecast'!AG48</f>
        <v>60000</v>
      </c>
      <c r="AJ6" s="18">
        <v>3.17</v>
      </c>
      <c r="AK6" s="175">
        <f>(0.5*AI6)+SUM(AI3:AI5)</f>
        <v>2730000</v>
      </c>
      <c r="AL6" s="179">
        <f>IF(OR(AI6=0,AK6-AK5&lt;0.03*MAX($AA$7,$AE$7,$AI$7)),"",AI6)</f>
        <v>60000</v>
      </c>
      <c r="AM6" s="18">
        <v>2.4500000000000002</v>
      </c>
      <c r="AN6" s="175">
        <f>AN8</f>
        <v>2224155.9139285674</v>
      </c>
      <c r="AO6" s="174" t="str">
        <f>IF(AP8="", "", "Projected")</f>
        <v>Projected</v>
      </c>
      <c r="AP6" s="18"/>
      <c r="AQ6" s="18"/>
    </row>
    <row r="7" spans="2:43" x14ac:dyDescent="0.25">
      <c r="B7" s="64"/>
      <c r="C7" s="64"/>
      <c r="D7" s="64"/>
      <c r="E7" s="64"/>
      <c r="F7" s="64"/>
      <c r="G7" s="64"/>
      <c r="H7" s="64"/>
      <c r="I7" s="64"/>
      <c r="J7" s="64"/>
      <c r="U7" s="183">
        <f t="shared" si="0"/>
        <v>44566</v>
      </c>
      <c r="V7" s="18">
        <f xml:space="preserve"> SUMIFS(MainData[ExtendedPrice], MainData[Date], U7, MainData[Category], "Beverage", MainData[Pricing], "&lt;&gt;"&amp;"*Adjust*", MainData[Pricing], "&lt;&gt;"&amp;"*LY*", MainData[BillTo], IF('YTD Revenue'!$AJ$14="Yes", "Hotel", "999999")) +
   SUMIFS(MainData[ExtendedPrice], MainData[Date], U7, MainData[Category], "Beverage", MainData[Pricing], "&lt;&gt;"&amp;"*Adjust*", MainData[Pricing], "&lt;&gt;"&amp;"*LY*", MainData[BillTo], IF('YTD Revenue'!$AJ$33="Yes", "EPO", "999999")) +
   SUMIFS(MainData[ExtendedPrice], MainData[Date], U7, MainData[Category], "Beverage", MainData[Pricing], "&lt;&gt;"&amp;"*Adjust*", MainData[Pricing], "&lt;&gt;"&amp;"*LY*", MainData[BillTo], IF('YTD Revenue'!$AJ$52="Yes", "Group", "999999")) -
   SUMIFS(MainData[ExtendedPrice], MainData[Date], U7,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1189.0999999999999</v>
      </c>
      <c r="W7" s="175">
        <f t="shared" si="1"/>
        <v>9483.0649576271171</v>
      </c>
      <c r="X7" s="175">
        <f t="shared" si="2"/>
        <v>73045.8</v>
      </c>
      <c r="Z7" s="18" t="s">
        <v>93</v>
      </c>
      <c r="AA7" s="175">
        <f>'LY &amp; Forecast'!AG26</f>
        <v>2315767.8959999997</v>
      </c>
      <c r="AB7" s="175">
        <v>1</v>
      </c>
      <c r="AC7" s="175">
        <f>AA7-(0.03*MAX($AA$7,$AE$7,$AI$7))</f>
        <v>2232967.8959999997</v>
      </c>
      <c r="AD7" s="180">
        <f>AA7</f>
        <v>2315767.8959999997</v>
      </c>
      <c r="AE7" s="175">
        <f>IF('YTD Revenue'!$AJ$14="Yes",'YTD Revenue'!AG27,0) + IF('YTD Revenue'!$AJ$33="Yes",'YTD Revenue'!AG46,0) + IF('YTD Revenue'!$AJ$52="Yes",'YTD Revenue'!AG65,0)</f>
        <v>559500.8324999999</v>
      </c>
      <c r="AF7" s="175">
        <v>2</v>
      </c>
      <c r="AG7" s="175">
        <f>AE7-(0.03*MAX($AA$7,$AE$7,$AI$7))</f>
        <v>476700.8324999999</v>
      </c>
      <c r="AH7" s="180">
        <f>AE7</f>
        <v>559500.8324999999</v>
      </c>
      <c r="AI7" s="175">
        <f>'LY &amp; Forecast'!AG49</f>
        <v>2760000</v>
      </c>
      <c r="AJ7" s="175">
        <v>3</v>
      </c>
      <c r="AK7" s="175">
        <f>AI7-(0.03*MAX($AA$7,$AE$7,$AI$7))</f>
        <v>2677200</v>
      </c>
      <c r="AL7" s="180">
        <f>AI7</f>
        <v>2760000</v>
      </c>
      <c r="AM7" s="18">
        <v>1.79</v>
      </c>
      <c r="AN7" s="175">
        <f>AE7</f>
        <v>559500.8324999999</v>
      </c>
      <c r="AO7" s="174"/>
      <c r="AP7" s="18"/>
      <c r="AQ7" s="18"/>
    </row>
    <row r="8" spans="2:43" x14ac:dyDescent="0.25">
      <c r="B8" s="64"/>
      <c r="C8" s="64"/>
      <c r="D8" s="64"/>
      <c r="E8" s="64"/>
      <c r="F8" s="64"/>
      <c r="G8" s="64"/>
      <c r="H8" s="64"/>
      <c r="I8" s="64"/>
      <c r="J8" s="64"/>
      <c r="U8" s="183">
        <f t="shared" si="0"/>
        <v>44567</v>
      </c>
      <c r="V8" s="18">
        <f xml:space="preserve"> SUMIFS(MainData[ExtendedPrice], MainData[Date], U8, MainData[Category], "Beverage", MainData[Pricing], "&lt;&gt;"&amp;"*Adjust*", MainData[Pricing], "&lt;&gt;"&amp;"*LY*", MainData[BillTo], IF('YTD Revenue'!$AJ$14="Yes", "Hotel", "999999")) +
   SUMIFS(MainData[ExtendedPrice], MainData[Date], U8, MainData[Category], "Beverage", MainData[Pricing], "&lt;&gt;"&amp;"*Adjust*", MainData[Pricing], "&lt;&gt;"&amp;"*LY*", MainData[BillTo], IF('YTD Revenue'!$AJ$33="Yes", "EPO", "999999")) +
   SUMIFS(MainData[ExtendedPrice], MainData[Date], U8, MainData[Category], "Beverage", MainData[Pricing], "&lt;&gt;"&amp;"*Adjust*", MainData[Pricing], "&lt;&gt;"&amp;"*LY*", MainData[BillTo], IF('YTD Revenue'!$AJ$52="Yes", "Group", "999999")) -
   SUMIFS(MainData[ExtendedPrice], MainData[Date], U8,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48315.252500000002</v>
      </c>
      <c r="W8" s="175">
        <f t="shared" si="1"/>
        <v>9483.0649576271171</v>
      </c>
      <c r="X8" s="175">
        <f t="shared" si="2"/>
        <v>73045.8</v>
      </c>
      <c r="AM8" s="18">
        <v>1.79</v>
      </c>
      <c r="AN8" s="175">
        <f>IF(AE7+(AC25*AH25)&lt;0, 0, IF(AC25*AH25&gt;4*MAX(AA7, AE7, AI7), 4*MAX(AA7, AE7, AI7), AE7+AC25*AH25))</f>
        <v>2224155.9139285674</v>
      </c>
      <c r="AO8" s="174" t="s">
        <v>322</v>
      </c>
      <c r="AP8" s="179">
        <f>IF(AH25*AC25+AD25&lt;0, "", AH25*AC25+AD25)</f>
        <v>2224155.9139285674</v>
      </c>
      <c r="AQ8" s="179"/>
    </row>
    <row r="9" spans="2:43" x14ac:dyDescent="0.25">
      <c r="B9" s="64"/>
      <c r="C9" s="64"/>
      <c r="D9" s="64"/>
      <c r="E9" s="64"/>
      <c r="F9" s="64"/>
      <c r="G9" s="64"/>
      <c r="H9" s="64"/>
      <c r="I9" s="64"/>
      <c r="J9" s="64"/>
      <c r="U9" s="183">
        <f t="shared" si="0"/>
        <v>44568</v>
      </c>
      <c r="V9" s="18">
        <f xml:space="preserve"> SUMIFS(MainData[ExtendedPrice], MainData[Date], U9, MainData[Category], "Beverage", MainData[Pricing], "&lt;&gt;"&amp;"*Adjust*", MainData[Pricing], "&lt;&gt;"&amp;"*LY*", MainData[BillTo], IF('YTD Revenue'!$AJ$14="Yes", "Hotel", "999999")) +
   SUMIFS(MainData[ExtendedPrice], MainData[Date], U9, MainData[Category], "Beverage", MainData[Pricing], "&lt;&gt;"&amp;"*Adjust*", MainData[Pricing], "&lt;&gt;"&amp;"*LY*", MainData[BillTo], IF('YTD Revenue'!$AJ$33="Yes", "EPO", "999999")) +
   SUMIFS(MainData[ExtendedPrice], MainData[Date], U9, MainData[Category], "Beverage", MainData[Pricing], "&lt;&gt;"&amp;"*Adjust*", MainData[Pricing], "&lt;&gt;"&amp;"*LY*", MainData[BillTo], IF('YTD Revenue'!$AJ$52="Yes", "Group", "999999")) -
   SUMIFS(MainData[ExtendedPrice], MainData[Date], U9,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12210</v>
      </c>
      <c r="W9" s="175">
        <f t="shared" si="1"/>
        <v>9483.0649576271171</v>
      </c>
      <c r="X9" s="175">
        <f t="shared" si="2"/>
        <v>73045.8</v>
      </c>
      <c r="AO9" s="174"/>
      <c r="AP9" s="18"/>
      <c r="AQ9" s="18"/>
    </row>
    <row r="10" spans="2:43" x14ac:dyDescent="0.25">
      <c r="B10" s="64"/>
      <c r="C10" s="64"/>
      <c r="D10" s="64"/>
      <c r="E10" s="64"/>
      <c r="F10" s="64"/>
      <c r="G10" s="64"/>
      <c r="H10" s="64"/>
      <c r="I10" s="64"/>
      <c r="J10" s="64"/>
      <c r="U10" s="183">
        <f t="shared" si="0"/>
        <v>44569</v>
      </c>
      <c r="V10" s="18">
        <f xml:space="preserve"> SUMIFS(MainData[ExtendedPrice], MainData[Date], U10, MainData[Category], "Beverage", MainData[Pricing], "&lt;&gt;"&amp;"*Adjust*", MainData[Pricing], "&lt;&gt;"&amp;"*LY*", MainData[BillTo], IF('YTD Revenue'!$AJ$14="Yes", "Hotel", "999999")) +
   SUMIFS(MainData[ExtendedPrice], MainData[Date], U10, MainData[Category], "Beverage", MainData[Pricing], "&lt;&gt;"&amp;"*Adjust*", MainData[Pricing], "&lt;&gt;"&amp;"*LY*", MainData[BillTo], IF('YTD Revenue'!$AJ$33="Yes", "EPO", "999999")) +
   SUMIFS(MainData[ExtendedPrice], MainData[Date], U10, MainData[Category], "Beverage", MainData[Pricing], "&lt;&gt;"&amp;"*Adjust*", MainData[Pricing], "&lt;&gt;"&amp;"*LY*", MainData[BillTo], IF('YTD Revenue'!$AJ$52="Yes", "Group", "999999")) -
   SUMIFS(MainData[ExtendedPrice], MainData[Date], U10,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" s="175">
        <f t="shared" si="1"/>
        <v>9483.0649576271171</v>
      </c>
      <c r="X10" s="175">
        <f t="shared" si="2"/>
        <v>73045.8</v>
      </c>
      <c r="AO10" s="174"/>
      <c r="AP10" s="18"/>
      <c r="AQ10" s="18"/>
    </row>
    <row r="11" spans="2:43" x14ac:dyDescent="0.25">
      <c r="B11" s="64"/>
      <c r="C11" s="64"/>
      <c r="D11" s="64"/>
      <c r="E11" s="64"/>
      <c r="F11" s="64"/>
      <c r="G11" s="64"/>
      <c r="H11" s="64"/>
      <c r="I11" s="64"/>
      <c r="J11" s="64"/>
      <c r="U11" s="183">
        <f t="shared" si="0"/>
        <v>44570</v>
      </c>
      <c r="V11" s="18">
        <f xml:space="preserve"> SUMIFS(MainData[ExtendedPrice], MainData[Date], U11, MainData[Category], "Beverage", MainData[Pricing], "&lt;&gt;"&amp;"*Adjust*", MainData[Pricing], "&lt;&gt;"&amp;"*LY*", MainData[BillTo], IF('YTD Revenue'!$AJ$14="Yes", "Hotel", "999999")) +
   SUMIFS(MainData[ExtendedPrice], MainData[Date], U11, MainData[Category], "Beverage", MainData[Pricing], "&lt;&gt;"&amp;"*Adjust*", MainData[Pricing], "&lt;&gt;"&amp;"*LY*", MainData[BillTo], IF('YTD Revenue'!$AJ$33="Yes", "EPO", "999999")) +
   SUMIFS(MainData[ExtendedPrice], MainData[Date], U11, MainData[Category], "Beverage", MainData[Pricing], "&lt;&gt;"&amp;"*Adjust*", MainData[Pricing], "&lt;&gt;"&amp;"*LY*", MainData[BillTo], IF('YTD Revenue'!$AJ$52="Yes", "Group", "999999")) -
   SUMIFS(MainData[ExtendedPrice], MainData[Date], U11,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" s="175">
        <f t="shared" si="1"/>
        <v>9483.0649576271171</v>
      </c>
      <c r="X11" s="175">
        <f t="shared" si="2"/>
        <v>73045.8</v>
      </c>
      <c r="AO11" s="174"/>
      <c r="AP11" s="18"/>
      <c r="AQ11" s="18"/>
    </row>
    <row r="12" spans="2:43" x14ac:dyDescent="0.25">
      <c r="U12" s="183">
        <f t="shared" si="0"/>
        <v>44571</v>
      </c>
      <c r="V12" s="18">
        <f xml:space="preserve"> SUMIFS(MainData[ExtendedPrice], MainData[Date], U12, MainData[Category], "Beverage", MainData[Pricing], "&lt;&gt;"&amp;"*Adjust*", MainData[Pricing], "&lt;&gt;"&amp;"*LY*", MainData[BillTo], IF('YTD Revenue'!$AJ$14="Yes", "Hotel", "999999")) +
   SUMIFS(MainData[ExtendedPrice], MainData[Date], U12, MainData[Category], "Beverage", MainData[Pricing], "&lt;&gt;"&amp;"*Adjust*", MainData[Pricing], "&lt;&gt;"&amp;"*LY*", MainData[BillTo], IF('YTD Revenue'!$AJ$33="Yes", "EPO", "999999")) +
   SUMIFS(MainData[ExtendedPrice], MainData[Date], U12, MainData[Category], "Beverage", MainData[Pricing], "&lt;&gt;"&amp;"*Adjust*", MainData[Pricing], "&lt;&gt;"&amp;"*LY*", MainData[BillTo], IF('YTD Revenue'!$AJ$52="Yes", "Group", "999999")) -
   SUMIFS(MainData[ExtendedPrice], MainData[Date], U12,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" s="175">
        <f t="shared" si="1"/>
        <v>9483.0649576271171</v>
      </c>
      <c r="X12" s="175">
        <f t="shared" si="2"/>
        <v>73045.8</v>
      </c>
      <c r="Z12" s="18" t="s">
        <v>312</v>
      </c>
      <c r="AO12" s="174"/>
      <c r="AP12" s="18"/>
      <c r="AQ12" s="18"/>
    </row>
    <row r="13" spans="2:43" x14ac:dyDescent="0.25">
      <c r="U13" s="183">
        <f t="shared" si="0"/>
        <v>44572</v>
      </c>
      <c r="V13" s="18">
        <f xml:space="preserve"> SUMIFS(MainData[ExtendedPrice], MainData[Date], U13, MainData[Category], "Beverage", MainData[Pricing], "&lt;&gt;"&amp;"*Adjust*", MainData[Pricing], "&lt;&gt;"&amp;"*LY*", MainData[BillTo], IF('YTD Revenue'!$AJ$14="Yes", "Hotel", "999999")) +
   SUMIFS(MainData[ExtendedPrice], MainData[Date], U13, MainData[Category], "Beverage", MainData[Pricing], "&lt;&gt;"&amp;"*Adjust*", MainData[Pricing], "&lt;&gt;"&amp;"*LY*", MainData[BillTo], IF('YTD Revenue'!$AJ$33="Yes", "EPO", "999999")) +
   SUMIFS(MainData[ExtendedPrice], MainData[Date], U13, MainData[Category], "Beverage", MainData[Pricing], "&lt;&gt;"&amp;"*Adjust*", MainData[Pricing], "&lt;&gt;"&amp;"*LY*", MainData[BillTo], IF('YTD Revenue'!$AJ$52="Yes", "Group", "999999")) -
   SUMIFS(MainData[ExtendedPrice], MainData[Date], U13,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632.48</v>
      </c>
      <c r="W13" s="175">
        <f t="shared" si="1"/>
        <v>9483.0649576271171</v>
      </c>
      <c r="X13" s="175">
        <f t="shared" si="2"/>
        <v>73045.8</v>
      </c>
      <c r="AA13" s="190" t="s">
        <v>242</v>
      </c>
      <c r="AB13" s="190" t="s">
        <v>324</v>
      </c>
      <c r="AC13" s="190" t="s">
        <v>325</v>
      </c>
      <c r="AD13" s="190" t="s">
        <v>326</v>
      </c>
      <c r="AE13" s="190" t="s">
        <v>297</v>
      </c>
      <c r="AF13" s="190" t="s">
        <v>327</v>
      </c>
      <c r="AG13" s="190" t="s">
        <v>328</v>
      </c>
      <c r="AH13" s="190" t="s">
        <v>329</v>
      </c>
      <c r="AI13" s="190" t="s">
        <v>305</v>
      </c>
      <c r="AJ13" s="190" t="s">
        <v>509</v>
      </c>
      <c r="AK13" s="190" t="s">
        <v>510</v>
      </c>
      <c r="AL13" s="190" t="s">
        <v>511</v>
      </c>
      <c r="AM13" s="190" t="s">
        <v>330</v>
      </c>
      <c r="AN13" s="190" t="s">
        <v>331</v>
      </c>
      <c r="AO13" s="190" t="s">
        <v>343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83">
        <f t="shared" si="0"/>
        <v>44573</v>
      </c>
      <c r="V14" s="18">
        <f xml:space="preserve"> SUMIFS(MainData[ExtendedPrice], MainData[Date], U14, MainData[Category], "Beverage", MainData[Pricing], "&lt;&gt;"&amp;"*Adjust*", MainData[Pricing], "&lt;&gt;"&amp;"*LY*", MainData[BillTo], IF('YTD Revenue'!$AJ$14="Yes", "Hotel", "999999")) +
   SUMIFS(MainData[ExtendedPrice], MainData[Date], U14, MainData[Category], "Beverage", MainData[Pricing], "&lt;&gt;"&amp;"*Adjust*", MainData[Pricing], "&lt;&gt;"&amp;"*LY*", MainData[BillTo], IF('YTD Revenue'!$AJ$33="Yes", "EPO", "999999")) +
   SUMIFS(MainData[ExtendedPrice], MainData[Date], U14, MainData[Category], "Beverage", MainData[Pricing], "&lt;&gt;"&amp;"*Adjust*", MainData[Pricing], "&lt;&gt;"&amp;"*LY*", MainData[BillTo], IF('YTD Revenue'!$AJ$52="Yes", "Group", "999999")) -
   SUMIFS(MainData[ExtendedPrice], MainData[Date], U14,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15285</v>
      </c>
      <c r="W14" s="175">
        <f t="shared" si="1"/>
        <v>9483.0649576271171</v>
      </c>
      <c r="X14" s="175">
        <f t="shared" si="2"/>
        <v>73045.8</v>
      </c>
      <c r="Z14" s="18" t="s">
        <v>36</v>
      </c>
      <c r="AA14" s="176">
        <f>'LY &amp; Forecast'!AG10</f>
        <v>4.0574722605965348E-2</v>
      </c>
      <c r="AB14" s="175">
        <v>1.17</v>
      </c>
      <c r="AC14" s="175">
        <f>0.5*AA14</f>
        <v>2.0287361302982674E-2</v>
      </c>
      <c r="AD14" s="181">
        <f>IF(OR(AA14=0,AC14-0&lt;0.03*MAX($AA$18,$AE$18,$AI$18)),"",AA14)</f>
        <v>4.0574722605965348E-2</v>
      </c>
      <c r="AE14" s="176">
        <f>IFERROR((IF('YTD Revenue'!$AJ$14="Yes",'YTD Revenue'!AG17,0) + IF('YTD Revenue'!$AJ$33="Yes",'YTD Revenue'!AG36,0) + IF('YTD Revenue'!$AJ$52="Yes",'YTD Revenue'!AG55,0))/$AE$7,0)</f>
        <v>3.7729613208395026E-2</v>
      </c>
      <c r="AF14" s="18">
        <v>2.17</v>
      </c>
      <c r="AG14" s="175">
        <f>0.5*AE14</f>
        <v>1.8864806604197513E-2</v>
      </c>
      <c r="AH14" s="181">
        <f>IF(OR(AE14=0,AG14-0&lt;0.03*MAX($AA$18,$AE$18,$AI$18)),"",AE14)</f>
        <v>3.7729613208395026E-2</v>
      </c>
      <c r="AI14" s="176">
        <f>'LY &amp; Forecast'!AG33</f>
        <v>4.3478260869565216E-2</v>
      </c>
      <c r="AJ14" s="18">
        <v>3.17</v>
      </c>
      <c r="AK14" s="175">
        <f>0.5*AI14</f>
        <v>2.1739130434782608E-2</v>
      </c>
      <c r="AL14" s="181">
        <f>IF(OR(AI14=0,AK14-0&lt;0.03*MAX($AA$18,$AE$18,$AI$18)),"",AI14)</f>
        <v>4.3478260869565216E-2</v>
      </c>
      <c r="AM14" s="18">
        <v>1.8</v>
      </c>
      <c r="AN14" s="175">
        <f>AI19</f>
        <v>0.1156521739130435</v>
      </c>
      <c r="AO14" s="174"/>
      <c r="AP14" s="18"/>
      <c r="AQ14" s="18"/>
    </row>
    <row r="15" spans="2:43" x14ac:dyDescent="0.25">
      <c r="G15" s="174"/>
      <c r="J15" s="174"/>
      <c r="N15" s="174"/>
      <c r="O15" s="18"/>
      <c r="P15" s="18"/>
      <c r="Q15" s="18"/>
      <c r="R15" s="18"/>
      <c r="U15" s="183">
        <f t="shared" si="0"/>
        <v>44574</v>
      </c>
      <c r="V15" s="18">
        <f xml:space="preserve"> SUMIFS(MainData[ExtendedPrice], MainData[Date], U15, MainData[Category], "Beverage", MainData[Pricing], "&lt;&gt;"&amp;"*Adjust*", MainData[Pricing], "&lt;&gt;"&amp;"*LY*", MainData[BillTo], IF('YTD Revenue'!$AJ$14="Yes", "Hotel", "999999")) +
   SUMIFS(MainData[ExtendedPrice], MainData[Date], U15, MainData[Category], "Beverage", MainData[Pricing], "&lt;&gt;"&amp;"*Adjust*", MainData[Pricing], "&lt;&gt;"&amp;"*LY*", MainData[BillTo], IF('YTD Revenue'!$AJ$33="Yes", "EPO", "999999")) +
   SUMIFS(MainData[ExtendedPrice], MainData[Date], U15, MainData[Category], "Beverage", MainData[Pricing], "&lt;&gt;"&amp;"*Adjust*", MainData[Pricing], "&lt;&gt;"&amp;"*LY*", MainData[BillTo], IF('YTD Revenue'!$AJ$52="Yes", "Group", "999999")) -
   SUMIFS(MainData[ExtendedPrice], MainData[Date], U15,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12130.25</v>
      </c>
      <c r="W15" s="175">
        <f t="shared" si="1"/>
        <v>9483.0649576271171</v>
      </c>
      <c r="X15" s="175">
        <f t="shared" si="2"/>
        <v>73045.8</v>
      </c>
      <c r="Z15" s="18" t="s">
        <v>25</v>
      </c>
      <c r="AA15" s="176">
        <f>'LY &amp; Forecast'!AG11</f>
        <v>3.6671429872866687E-2</v>
      </c>
      <c r="AB15" s="175">
        <v>1.17</v>
      </c>
      <c r="AC15" s="175">
        <f>(0.5*AA15)+AA14</f>
        <v>5.8910437542398691E-2</v>
      </c>
      <c r="AD15" s="181">
        <f>IF(OR(AA15=0,AC15-AC14&lt;0.03*MAX($AA$18,$AE$18,$AI$18)),"",AA15)</f>
        <v>3.6671429872866687E-2</v>
      </c>
      <c r="AE15" s="176">
        <f>IFERROR((IF('YTD Revenue'!$AJ$14="Yes",'YTD Revenue'!AG18,0) + IF('YTD Revenue'!$AJ$33="Yes",'YTD Revenue'!AG37,0) + IF('YTD Revenue'!$AJ$52="Yes",'YTD Revenue'!AG56,0))/$AE$7,0)</f>
        <v>2.7444373820480424E-2</v>
      </c>
      <c r="AF15" s="18">
        <v>2.17</v>
      </c>
      <c r="AG15" s="175">
        <f>(0.5*AE15)+AE14</f>
        <v>5.1451800118635239E-2</v>
      </c>
      <c r="AH15" s="181">
        <f>IF(OR(AE15=0,AG15-AG14&lt;0.03*MAX($AA$18,$AE$18,$AI$18)),"",AE15)</f>
        <v>2.7444373820480424E-2</v>
      </c>
      <c r="AI15" s="176">
        <f>'LY &amp; Forecast'!AG34</f>
        <v>3.0434782608695653E-2</v>
      </c>
      <c r="AJ15" s="18">
        <v>3.17</v>
      </c>
      <c r="AK15" s="175">
        <f>(0.5*AI15)+AI14</f>
        <v>5.8695652173913045E-2</v>
      </c>
      <c r="AL15" s="181">
        <f>IF(OR(AI15=0,AK15-AK14&lt;0.03*MAX($AA$18,$AE$18,$AI$18)),"",AI15)</f>
        <v>3.0434782608695653E-2</v>
      </c>
      <c r="AM15" s="18">
        <v>2.8</v>
      </c>
      <c r="AN15" s="175">
        <f>AI19</f>
        <v>0.1156521739130435</v>
      </c>
      <c r="AO15" s="174" t="s">
        <v>305</v>
      </c>
      <c r="AP15" s="18"/>
      <c r="AQ15" s="18"/>
    </row>
    <row r="16" spans="2:43" x14ac:dyDescent="0.25">
      <c r="G16" s="175"/>
      <c r="J16" s="175"/>
      <c r="N16" s="18"/>
      <c r="O16" s="18"/>
      <c r="P16" s="18"/>
      <c r="Q16" s="18"/>
      <c r="R16" s="18"/>
      <c r="U16" s="183">
        <f t="shared" si="0"/>
        <v>44575</v>
      </c>
      <c r="V16" s="18">
        <f xml:space="preserve"> SUMIFS(MainData[ExtendedPrice], MainData[Date], U16, MainData[Category], "Beverage", MainData[Pricing], "&lt;&gt;"&amp;"*Adjust*", MainData[Pricing], "&lt;&gt;"&amp;"*LY*", MainData[BillTo], IF('YTD Revenue'!$AJ$14="Yes", "Hotel", "999999")) +
   SUMIFS(MainData[ExtendedPrice], MainData[Date], U16, MainData[Category], "Beverage", MainData[Pricing], "&lt;&gt;"&amp;"*Adjust*", MainData[Pricing], "&lt;&gt;"&amp;"*LY*", MainData[BillTo], IF('YTD Revenue'!$AJ$33="Yes", "EPO", "999999")) +
   SUMIFS(MainData[ExtendedPrice], MainData[Date], U16, MainData[Category], "Beverage", MainData[Pricing], "&lt;&gt;"&amp;"*Adjust*", MainData[Pricing], "&lt;&gt;"&amp;"*LY*", MainData[BillTo], IF('YTD Revenue'!$AJ$52="Yes", "Group", "999999")) -
   SUMIFS(MainData[ExtendedPrice], MainData[Date], U16,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8558</v>
      </c>
      <c r="W16" s="175">
        <f t="shared" si="1"/>
        <v>9483.0649576271171</v>
      </c>
      <c r="X16" s="175">
        <f t="shared" si="2"/>
        <v>73045.8</v>
      </c>
      <c r="Z16" s="18" t="s">
        <v>35</v>
      </c>
      <c r="AA16" s="176">
        <f>'LY &amp; Forecast'!AG12</f>
        <v>3.0981878677879385E-2</v>
      </c>
      <c r="AB16" s="175">
        <v>1.17</v>
      </c>
      <c r="AC16" s="175">
        <f>(0.5*AA16)+SUM(AA14:AA15)</f>
        <v>9.2737091817771733E-2</v>
      </c>
      <c r="AD16" s="181">
        <f>IF(OR(AA16=0,AC16-AC15&lt;0.03*MAX($AA$18,$AE$18,$AI$18)),"",AA16)</f>
        <v>3.0981878677879385E-2</v>
      </c>
      <c r="AE16" s="176">
        <f>IFERROR((IF('YTD Revenue'!$AJ$14="Yes",'YTD Revenue'!AG19,0) + IF('YTD Revenue'!$AJ$33="Yes",'YTD Revenue'!AG38,0) + IF('YTD Revenue'!$AJ$52="Yes",'YTD Revenue'!AG57,0))/$AE$7,0)</f>
        <v>2.5556101384353175E-2</v>
      </c>
      <c r="AF16" s="18">
        <v>2.17</v>
      </c>
      <c r="AG16" s="175">
        <f>(0.5*AE16)+SUM(AE14:AE15)</f>
        <v>7.7952037721052039E-2</v>
      </c>
      <c r="AH16" s="181">
        <f>IF(OR(AE16=0,AG16-AG15&lt;0.03*MAX($AA$18,$AE$18,$AI$18)),"",AE16)</f>
        <v>2.5556101384353175E-2</v>
      </c>
      <c r="AI16" s="176">
        <f>'LY &amp; Forecast'!AG35</f>
        <v>3.9130434782608699E-2</v>
      </c>
      <c r="AJ16" s="18">
        <v>3.17</v>
      </c>
      <c r="AK16" s="175">
        <f>(0.5*AI16)+SUM(AI14:AI15)</f>
        <v>9.3478260869565219E-2</v>
      </c>
      <c r="AL16" s="181">
        <f>IF(OR(AI16=0,AK16-AK15&lt;0.03*MAX($AA$18,$AE$18,$AI$18)),"",AI16)</f>
        <v>3.9130434782608699E-2</v>
      </c>
      <c r="AM16" s="18">
        <v>1.8</v>
      </c>
      <c r="AN16" s="175">
        <f>AN19</f>
        <v>0.10408670121828473</v>
      </c>
      <c r="AO16" s="182"/>
      <c r="AP16" s="18"/>
      <c r="AQ16" s="18"/>
    </row>
    <row r="17" spans="7:43" x14ac:dyDescent="0.25">
      <c r="G17" s="175"/>
      <c r="J17" s="175"/>
      <c r="N17" s="18"/>
      <c r="O17" s="18"/>
      <c r="P17" s="18"/>
      <c r="Q17" s="18"/>
      <c r="R17" s="18"/>
      <c r="U17" s="183">
        <f t="shared" si="0"/>
        <v>44576</v>
      </c>
      <c r="V17" s="18">
        <f xml:space="preserve"> SUMIFS(MainData[ExtendedPrice], MainData[Date], U17, MainData[Category], "Beverage", MainData[Pricing], "&lt;&gt;"&amp;"*Adjust*", MainData[Pricing], "&lt;&gt;"&amp;"*LY*", MainData[BillTo], IF('YTD Revenue'!$AJ$14="Yes", "Hotel", "999999")) +
   SUMIFS(MainData[ExtendedPrice], MainData[Date], U17, MainData[Category], "Beverage", MainData[Pricing], "&lt;&gt;"&amp;"*Adjust*", MainData[Pricing], "&lt;&gt;"&amp;"*LY*", MainData[BillTo], IF('YTD Revenue'!$AJ$33="Yes", "EPO", "999999")) +
   SUMIFS(MainData[ExtendedPrice], MainData[Date], U17, MainData[Category], "Beverage", MainData[Pricing], "&lt;&gt;"&amp;"*Adjust*", MainData[Pricing], "&lt;&gt;"&amp;"*LY*", MainData[BillTo], IF('YTD Revenue'!$AJ$52="Yes", "Group", "999999")) -
   SUMIFS(MainData[ExtendedPrice], MainData[Date], U17,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31151</v>
      </c>
      <c r="W17" s="175">
        <f t="shared" si="1"/>
        <v>9483.0649576271171</v>
      </c>
      <c r="X17" s="175">
        <f t="shared" si="2"/>
        <v>73045.8</v>
      </c>
      <c r="Z17" s="18" t="s">
        <v>24</v>
      </c>
      <c r="AA17" s="176">
        <f>'LY &amp; Forecast'!AG13</f>
        <v>4.8169456098203049E-3</v>
      </c>
      <c r="AB17" s="175">
        <v>1.17</v>
      </c>
      <c r="AC17" s="175">
        <f>(0.5*AA17)+SUM(AA14:AA16)</f>
        <v>0.11063650396162157</v>
      </c>
      <c r="AD17" s="181">
        <f>IF(OR(AA17=0,AC17-AC16&lt;0.03*MAX($AA$18,$AE$18,$AI$18)),"",AA17)</f>
        <v>4.8169456098203049E-3</v>
      </c>
      <c r="AE17" s="176">
        <f>IFERROR((IF('YTD Revenue'!$AJ$14="Yes",'YTD Revenue'!AG20,0) + IF('YTD Revenue'!$AJ$33="Yes",'YTD Revenue'!AG39,0) + IF('YTD Revenue'!$AJ$52="Yes",'YTD Revenue'!AG58,0))/$AE$7,0)</f>
        <v>3.0062868583846138E-3</v>
      </c>
      <c r="AF17" s="18">
        <v>2.17</v>
      </c>
      <c r="AG17" s="175">
        <f>(0.5*AE17)+SUM(AE14:AE16)</f>
        <v>9.2233231842420924E-2</v>
      </c>
      <c r="AH17" s="181">
        <f>IF(OR(AE17=0,AG17-AG16&lt;0.03*MAX($AA$18,$AE$18,$AI$18)),"",AE17)</f>
        <v>3.0062868583846138E-3</v>
      </c>
      <c r="AI17" s="176">
        <f>'LY &amp; Forecast'!AG36</f>
        <v>2.6086956521739132E-3</v>
      </c>
      <c r="AJ17" s="18">
        <v>3.17</v>
      </c>
      <c r="AK17" s="175">
        <f>(0.5*AI17)+SUM(AI14:AI16)</f>
        <v>0.11434782608695654</v>
      </c>
      <c r="AL17" s="181">
        <f>IF(OR(AI17=0,AK17-AK16&lt;0.03*MAX($AA$18,$AE$18,$AI$18)),"",AI17)</f>
        <v>2.6086956521739132E-3</v>
      </c>
      <c r="AM17" s="18">
        <v>2.4500000000000002</v>
      </c>
      <c r="AN17" s="175">
        <f>AN19</f>
        <v>0.10408670121828473</v>
      </c>
      <c r="AO17" s="174" t="str">
        <f>IF(AP19="","","Projected")</f>
        <v>Projected</v>
      </c>
      <c r="AP17" s="18"/>
      <c r="AQ17" s="18"/>
    </row>
    <row r="18" spans="7:43" x14ac:dyDescent="0.25">
      <c r="G18" s="175"/>
      <c r="J18" s="175"/>
      <c r="N18" s="18"/>
      <c r="O18" s="18"/>
      <c r="P18" s="18"/>
      <c r="Q18" s="18"/>
      <c r="R18" s="18"/>
      <c r="U18" s="183">
        <f t="shared" si="0"/>
        <v>44577</v>
      </c>
      <c r="V18" s="18">
        <f xml:space="preserve"> SUMIFS(MainData[ExtendedPrice], MainData[Date], U18, MainData[Category], "Beverage", MainData[Pricing], "&lt;&gt;"&amp;"*Adjust*", MainData[Pricing], "&lt;&gt;"&amp;"*LY*", MainData[BillTo], IF('YTD Revenue'!$AJ$14="Yes", "Hotel", "999999")) +
   SUMIFS(MainData[ExtendedPrice], MainData[Date], U18, MainData[Category], "Beverage", MainData[Pricing], "&lt;&gt;"&amp;"*Adjust*", MainData[Pricing], "&lt;&gt;"&amp;"*LY*", MainData[BillTo], IF('YTD Revenue'!$AJ$33="Yes", "EPO", "999999")) +
   SUMIFS(MainData[ExtendedPrice], MainData[Date], U18, MainData[Category], "Beverage", MainData[Pricing], "&lt;&gt;"&amp;"*Adjust*", MainData[Pricing], "&lt;&gt;"&amp;"*LY*", MainData[BillTo], IF('YTD Revenue'!$AJ$52="Yes", "Group", "999999")) -
   SUMIFS(MainData[ExtendedPrice], MainData[Date], U18,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" s="175">
        <f t="shared" si="1"/>
        <v>9483.0649576271171</v>
      </c>
      <c r="X18" s="175">
        <f t="shared" si="2"/>
        <v>73045.8</v>
      </c>
      <c r="Z18" s="18" t="s">
        <v>298</v>
      </c>
      <c r="AA18" s="176">
        <f>'LY &amp; Forecast'!AG14</f>
        <v>0.11304497676653173</v>
      </c>
      <c r="AE18" s="176">
        <f>AE19</f>
        <v>9.3736375271613229E-2</v>
      </c>
      <c r="AI18" s="176">
        <f>'LY &amp; Forecast'!AG37</f>
        <v>0.1156521739130435</v>
      </c>
      <c r="AM18" s="18">
        <v>1.79</v>
      </c>
      <c r="AN18" s="175">
        <f>AE19</f>
        <v>9.3736375271613229E-2</v>
      </c>
      <c r="AO18" s="174"/>
      <c r="AP18" s="18"/>
      <c r="AQ18" s="18"/>
    </row>
    <row r="19" spans="7:43" x14ac:dyDescent="0.25">
      <c r="G19" s="175"/>
      <c r="J19" s="175"/>
      <c r="N19" s="18"/>
      <c r="O19" s="18"/>
      <c r="P19" s="18"/>
      <c r="Q19" s="18"/>
      <c r="R19" s="18"/>
      <c r="U19" s="183">
        <f t="shared" si="0"/>
        <v>44578</v>
      </c>
      <c r="V19" s="18">
        <f xml:space="preserve"> SUMIFS(MainData[ExtendedPrice], MainData[Date], U19, MainData[Category], "Beverage", MainData[Pricing], "&lt;&gt;"&amp;"*Adjust*", MainData[Pricing], "&lt;&gt;"&amp;"*LY*", MainData[BillTo], IF('YTD Revenue'!$AJ$14="Yes", "Hotel", "999999")) +
   SUMIFS(MainData[ExtendedPrice], MainData[Date], U19, MainData[Category], "Beverage", MainData[Pricing], "&lt;&gt;"&amp;"*Adjust*", MainData[Pricing], "&lt;&gt;"&amp;"*LY*", MainData[BillTo], IF('YTD Revenue'!$AJ$33="Yes", "EPO", "999999")) +
   SUMIFS(MainData[ExtendedPrice], MainData[Date], U19, MainData[Category], "Beverage", MainData[Pricing], "&lt;&gt;"&amp;"*Adjust*", MainData[Pricing], "&lt;&gt;"&amp;"*LY*", MainData[BillTo], IF('YTD Revenue'!$AJ$52="Yes", "Group", "999999")) -
   SUMIFS(MainData[ExtendedPrice], MainData[Date], U19,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" s="175">
        <f t="shared" si="1"/>
        <v>9483.0649576271171</v>
      </c>
      <c r="X19" s="175">
        <f t="shared" si="2"/>
        <v>73045.8</v>
      </c>
      <c r="Z19" s="18" t="s">
        <v>93</v>
      </c>
      <c r="AA19" s="176">
        <f>SUM(AA14:AA17)</f>
        <v>0.11304497676653173</v>
      </c>
      <c r="AB19" s="175">
        <v>1</v>
      </c>
      <c r="AC19" s="175">
        <f>AA19-(0.03*MAX($AA$19,$AE$19,$AI$19))</f>
        <v>0.10957541154914043</v>
      </c>
      <c r="AD19" s="176">
        <f>AA18</f>
        <v>0.11304497676653173</v>
      </c>
      <c r="AE19" s="176">
        <f>SUM(AE14:AE17)</f>
        <v>9.3736375271613229E-2</v>
      </c>
      <c r="AF19" s="175">
        <v>2</v>
      </c>
      <c r="AG19" s="175">
        <f>AE19-(0.03*MAX($AA$19,$AE$19,$AI$19))</f>
        <v>9.0266810054221921E-2</v>
      </c>
      <c r="AH19" s="176">
        <f>AE18</f>
        <v>9.3736375271613229E-2</v>
      </c>
      <c r="AI19" s="176">
        <f>SUM(AI14:AI17)</f>
        <v>0.1156521739130435</v>
      </c>
      <c r="AJ19" s="175">
        <v>3</v>
      </c>
      <c r="AK19" s="175">
        <f>AI19-(0.03*MAX($AA$19,$AE$19,$AI$19))</f>
        <v>0.11218260869565219</v>
      </c>
      <c r="AL19" s="176">
        <f>AI18</f>
        <v>0.1156521739130435</v>
      </c>
      <c r="AM19" s="18">
        <v>1.79</v>
      </c>
      <c r="AN19" s="175">
        <f>IF(AE18+(AC26*AH26)&lt;0, 0, IF(AC26*AH26&gt;4*MAX(AA18, AE18, AI18), 4*MAX(AA19, AE19, AI19), (AE18+AC26*AH26)*AE19/AE18))</f>
        <v>0.10408670121828473</v>
      </c>
      <c r="AO19" s="174" t="s">
        <v>322</v>
      </c>
      <c r="AP19" s="176">
        <f>IF(AH26*AC26+AD26&lt;0, "", AH26*AC26+AD26)</f>
        <v>0.10408670121828473</v>
      </c>
      <c r="AQ19" s="176"/>
    </row>
    <row r="20" spans="7:43" x14ac:dyDescent="0.25">
      <c r="N20" s="18"/>
      <c r="O20" s="18"/>
      <c r="P20" s="18"/>
      <c r="Q20" s="18"/>
      <c r="R20" s="18"/>
      <c r="U20" s="183">
        <f t="shared" si="0"/>
        <v>44579</v>
      </c>
      <c r="V20" s="18">
        <f xml:space="preserve"> SUMIFS(MainData[ExtendedPrice], MainData[Date], U20, MainData[Category], "Beverage", MainData[Pricing], "&lt;&gt;"&amp;"*Adjust*", MainData[Pricing], "&lt;&gt;"&amp;"*LY*", MainData[BillTo], IF('YTD Revenue'!$AJ$14="Yes", "Hotel", "999999")) +
   SUMIFS(MainData[ExtendedPrice], MainData[Date], U20, MainData[Category], "Beverage", MainData[Pricing], "&lt;&gt;"&amp;"*Adjust*", MainData[Pricing], "&lt;&gt;"&amp;"*LY*", MainData[BillTo], IF('YTD Revenue'!$AJ$33="Yes", "EPO", "999999")) +
   SUMIFS(MainData[ExtendedPrice], MainData[Date], U20, MainData[Category], "Beverage", MainData[Pricing], "&lt;&gt;"&amp;"*Adjust*", MainData[Pricing], "&lt;&gt;"&amp;"*LY*", MainData[BillTo], IF('YTD Revenue'!$AJ$52="Yes", "Group", "999999")) -
   SUMIFS(MainData[ExtendedPrice], MainData[Date], U20,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" s="175">
        <f t="shared" si="1"/>
        <v>9483.0649576271171</v>
      </c>
      <c r="X20" s="175">
        <f t="shared" si="2"/>
        <v>73045.8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83">
        <f t="shared" si="0"/>
        <v>44580</v>
      </c>
      <c r="V21" s="18">
        <f xml:space="preserve"> SUMIFS(MainData[ExtendedPrice], MainData[Date], U21, MainData[Category], "Beverage", MainData[Pricing], "&lt;&gt;"&amp;"*Adjust*", MainData[Pricing], "&lt;&gt;"&amp;"*LY*", MainData[BillTo], IF('YTD Revenue'!$AJ$14="Yes", "Hotel", "999999")) +
   SUMIFS(MainData[ExtendedPrice], MainData[Date], U21, MainData[Category], "Beverage", MainData[Pricing], "&lt;&gt;"&amp;"*Adjust*", MainData[Pricing], "&lt;&gt;"&amp;"*LY*", MainData[BillTo], IF('YTD Revenue'!$AJ$33="Yes", "EPO", "999999")) +
   SUMIFS(MainData[ExtendedPrice], MainData[Date], U21, MainData[Category], "Beverage", MainData[Pricing], "&lt;&gt;"&amp;"*Adjust*", MainData[Pricing], "&lt;&gt;"&amp;"*LY*", MainData[BillTo], IF('YTD Revenue'!$AJ$52="Yes", "Group", "999999")) -
   SUMIFS(MainData[ExtendedPrice], MainData[Date], U21,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" s="175">
        <f t="shared" si="1"/>
        <v>9483.0649576271171</v>
      </c>
      <c r="X21" s="175">
        <f t="shared" si="2"/>
        <v>73045.8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83">
        <f t="shared" si="0"/>
        <v>44581</v>
      </c>
      <c r="V22" s="18">
        <f xml:space="preserve"> SUMIFS(MainData[ExtendedPrice], MainData[Date], U22, MainData[Category], "Beverage", MainData[Pricing], "&lt;&gt;"&amp;"*Adjust*", MainData[Pricing], "&lt;&gt;"&amp;"*LY*", MainData[BillTo], IF('YTD Revenue'!$AJ$14="Yes", "Hotel", "999999")) +
   SUMIFS(MainData[ExtendedPrice], MainData[Date], U22, MainData[Category], "Beverage", MainData[Pricing], "&lt;&gt;"&amp;"*Adjust*", MainData[Pricing], "&lt;&gt;"&amp;"*LY*", MainData[BillTo], IF('YTD Revenue'!$AJ$33="Yes", "EPO", "999999")) +
   SUMIFS(MainData[ExtendedPrice], MainData[Date], U22, MainData[Category], "Beverage", MainData[Pricing], "&lt;&gt;"&amp;"*Adjust*", MainData[Pricing], "&lt;&gt;"&amp;"*LY*", MainData[BillTo], IF('YTD Revenue'!$AJ$52="Yes", "Group", "999999")) -
   SUMIFS(MainData[ExtendedPrice], MainData[Date], U22,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" s="175">
        <f t="shared" si="1"/>
        <v>9483.0649576271171</v>
      </c>
      <c r="X22" s="175">
        <f t="shared" si="2"/>
        <v>73045.8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83">
        <f t="shared" si="0"/>
        <v>44582</v>
      </c>
      <c r="V23" s="18">
        <f xml:space="preserve"> SUMIFS(MainData[ExtendedPrice], MainData[Date], U23, MainData[Category], "Beverage", MainData[Pricing], "&lt;&gt;"&amp;"*Adjust*", MainData[Pricing], "&lt;&gt;"&amp;"*LY*", MainData[BillTo], IF('YTD Revenue'!$AJ$14="Yes", "Hotel", "999999")) +
   SUMIFS(MainData[ExtendedPrice], MainData[Date], U23, MainData[Category], "Beverage", MainData[Pricing], "&lt;&gt;"&amp;"*Adjust*", MainData[Pricing], "&lt;&gt;"&amp;"*LY*", MainData[BillTo], IF('YTD Revenue'!$AJ$33="Yes", "EPO", "999999")) +
   SUMIFS(MainData[ExtendedPrice], MainData[Date], U23, MainData[Category], "Beverage", MainData[Pricing], "&lt;&gt;"&amp;"*Adjust*", MainData[Pricing], "&lt;&gt;"&amp;"*LY*", MainData[BillTo], IF('YTD Revenue'!$AJ$52="Yes", "Group", "999999")) -
   SUMIFS(MainData[ExtendedPrice], MainData[Date], U23,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50701.94</v>
      </c>
      <c r="W23" s="175">
        <f t="shared" si="1"/>
        <v>9483.0649576271171</v>
      </c>
      <c r="X23" s="175">
        <f t="shared" si="2"/>
        <v>73045.8</v>
      </c>
      <c r="Z23" s="18" t="s">
        <v>310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83">
        <f t="shared" si="0"/>
        <v>44583</v>
      </c>
      <c r="V24" s="18">
        <f xml:space="preserve"> SUMIFS(MainData[ExtendedPrice], MainData[Date], U24, MainData[Category], "Beverage", MainData[Pricing], "&lt;&gt;"&amp;"*Adjust*", MainData[Pricing], "&lt;&gt;"&amp;"*LY*", MainData[BillTo], IF('YTD Revenue'!$AJ$14="Yes", "Hotel", "999999")) +
   SUMIFS(MainData[ExtendedPrice], MainData[Date], U24, MainData[Category], "Beverage", MainData[Pricing], "&lt;&gt;"&amp;"*Adjust*", MainData[Pricing], "&lt;&gt;"&amp;"*LY*", MainData[BillTo], IF('YTD Revenue'!$AJ$33="Yes", "EPO", "999999")) +
   SUMIFS(MainData[ExtendedPrice], MainData[Date], U24, MainData[Category], "Beverage", MainData[Pricing], "&lt;&gt;"&amp;"*Adjust*", MainData[Pricing], "&lt;&gt;"&amp;"*LY*", MainData[BillTo], IF('YTD Revenue'!$AJ$52="Yes", "Group", "999999")) -
   SUMIFS(MainData[ExtendedPrice], MainData[Date], U24,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2712.59</v>
      </c>
      <c r="W24" s="175">
        <f t="shared" si="1"/>
        <v>9483.0649576271171</v>
      </c>
      <c r="X24" s="175">
        <f t="shared" si="2"/>
        <v>73045.8</v>
      </c>
      <c r="AA24" s="190" t="s">
        <v>301</v>
      </c>
      <c r="AB24" s="190" t="s">
        <v>302</v>
      </c>
      <c r="AC24" s="190" t="s">
        <v>303</v>
      </c>
      <c r="AD24" s="190" t="s">
        <v>304</v>
      </c>
      <c r="AE24" s="190" t="s">
        <v>305</v>
      </c>
      <c r="AF24" s="190" t="s">
        <v>337</v>
      </c>
      <c r="AG24" s="190" t="s">
        <v>338</v>
      </c>
      <c r="AH24" s="190" t="s">
        <v>340</v>
      </c>
      <c r="AI24" s="190" t="s">
        <v>339</v>
      </c>
      <c r="AJ24" s="190" t="s">
        <v>341</v>
      </c>
      <c r="AK24" s="190" t="s">
        <v>309</v>
      </c>
      <c r="AL24" s="190" t="s">
        <v>308</v>
      </c>
      <c r="AM24" s="190" t="s">
        <v>342</v>
      </c>
      <c r="AN24" s="190" t="s">
        <v>306</v>
      </c>
      <c r="AO24" s="190" t="s">
        <v>307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83">
        <f t="shared" si="0"/>
        <v>44584</v>
      </c>
      <c r="V25" s="18">
        <f xml:space="preserve"> SUMIFS(MainData[ExtendedPrice], MainData[Date], U25, MainData[Category], "Beverage", MainData[Pricing], "&lt;&gt;"&amp;"*Adjust*", MainData[Pricing], "&lt;&gt;"&amp;"*LY*", MainData[BillTo], IF('YTD Revenue'!$AJ$14="Yes", "Hotel", "999999")) +
   SUMIFS(MainData[ExtendedPrice], MainData[Date], U25, MainData[Category], "Beverage", MainData[Pricing], "&lt;&gt;"&amp;"*Adjust*", MainData[Pricing], "&lt;&gt;"&amp;"*LY*", MainData[BillTo], IF('YTD Revenue'!$AJ$33="Yes", "EPO", "999999")) +
   SUMIFS(MainData[ExtendedPrice], MainData[Date], U25, MainData[Category], "Beverage", MainData[Pricing], "&lt;&gt;"&amp;"*Adjust*", MainData[Pricing], "&lt;&gt;"&amp;"*LY*", MainData[BillTo], IF('YTD Revenue'!$AJ$52="Yes", "Group", "999999")) -
   SUMIFS(MainData[ExtendedPrice], MainData[Date], U25,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38208.400000000001</v>
      </c>
      <c r="W25" s="175">
        <f t="shared" si="1"/>
        <v>9483.0649576271171</v>
      </c>
      <c r="X25" s="175">
        <f t="shared" si="2"/>
        <v>73045.8</v>
      </c>
      <c r="Z25" s="18" t="s">
        <v>2</v>
      </c>
      <c r="AA25" s="183">
        <f>'YTD Revenue'!F7</f>
        <v>44562</v>
      </c>
      <c r="AB25" s="184">
        <f>MAX(MainData[Date])-AA25</f>
        <v>58</v>
      </c>
      <c r="AC25" s="184">
        <f>EOMONTH(AA25,11)-AA25-AB25</f>
        <v>306</v>
      </c>
      <c r="AD25" s="175">
        <f>AE7</f>
        <v>559500.8324999999</v>
      </c>
      <c r="AE25" s="175">
        <f>'LY &amp; Forecast'!$AG$49</f>
        <v>2760000</v>
      </c>
      <c r="AF25" s="174" t="s">
        <v>335</v>
      </c>
      <c r="AG25" s="174" t="str">
        <f>IF(AD25&gt;=AE25,"Above","Below")</f>
        <v>Below</v>
      </c>
      <c r="AH25" s="18">
        <f xml:space="preserve"> (
      $AD$25 -
      (
         IF('YTD Revenue'!$AJ$14="Yes",
            SUMIFS(MainData[ExtendedPrice],MainData[Date],"&gt;="&amp;'YTD Revenue'!$F$7,MainData[Date],"&lt;="&amp;(MAX(MainData[Date])-14),MainData[BillTo],"Hotel",MainData[BillTo],"&lt;&gt;"&amp;"Nobody",MainData[Billable?],"Y",MainData[Category],"Beverage")-
            SUMIFS(MainData[ExtendedPrice],MainData[Date],"&gt;="&amp;'YTD Revenue'!$F$7,MainData[Date],"&lt;="&amp;(MAX(MainData[Date])-14),MainData[BillTo],"Hotel",MainData[BillTo],"&lt;&gt;"&amp;"Nobody",MainData[Billable?],"Y",MainData[Product],IF('YTD Revenue'!$AJ$20="No","SoftDrink","999999")),0)+
         IF('YTD Revenue'!$AJ$33="Yes",
            SUMIFS(MainData[ExtendedPrice],MainData[Date],"&gt;="&amp;'YTD Revenue'!$F$7,MainData[Date],"&lt;="&amp;(MAX(MainData[Date])-14),MainData[BillTo],"EPO",MainData[BillTo],"&lt;&gt;"&amp;"Nobody",MainData[Billable?],"Y",MainData[Category],"Beverage")-
            SUMIFS(MainData[ExtendedPrice],MainData[Date],"&gt;="&amp;'YTD Revenue'!$F$7,MainData[Date],"&lt;="&amp;(MAX(MainData[Date])-14),MainData[BillTo],"EPO",MainData[BillTo],"&lt;&gt;"&amp;"Nobody",MainData[Billable?],"Y",MainData[Product],IF('YTD Revenue'!$AJ$39="No","SoftDrink","999999")),0)+
         IF('YTD Revenue'!$AJ$52="Yes",
            SUMIFS(MainData[ExtendedPrice],MainData[Date],"&gt;="&amp;'YTD Revenue'!$F$7,MainData[Date],"&lt;="&amp;(MAX(MainData[Date])-14),MainData[BillTo],"Group",MainData[BillTo],"&lt;&gt;"&amp;"Nobody",MainData[Billable?],"Y",MainData[Category],"Beverage")-
            SUMIFS(MainData[ExtendedPrice],MainData[Date],"&gt;="&amp;'YTD Revenue'!$F$7,MainData[Date],"&lt;="&amp;(MAX(MainData[Date])-14),MainData[BillTo],"Group",MainData[BillTo],"&lt;&gt;"&amp;"Nobody",MainData[Billable?],"Y",MainData[Product],IF('YTD Revenue'!$AJ$58="No","SoftDrink","999999")),0)
      )
   )
   /
   IF($AB$25&lt;14,$AB$25,14)</f>
        <v>5440.0492857142735</v>
      </c>
      <c r="AI25" s="175">
        <f>(AE25-AD25)/AC25</f>
        <v>7191.1737499999999</v>
      </c>
      <c r="AJ25" s="185">
        <f>2*AE25/365</f>
        <v>15123.287671232876</v>
      </c>
      <c r="AK25" s="174" t="str">
        <f>IF(AH25&lt;=0,"Down","Up")</f>
        <v>Up</v>
      </c>
      <c r="AL25" s="174" t="str">
        <f>IF(OR(AND(AF25="Above", AH25&gt;0), AND(AF25="Below", AH25&lt;0)), "Yes", "No")</f>
        <v>Yes</v>
      </c>
      <c r="AM25" s="184">
        <f>IFERROR(ABS((AE25-AD25)/AH25), 999)</f>
        <v>404.49985871976827</v>
      </c>
      <c r="AN25" s="174" t="str">
        <f>IF(AG25=AF25, "Gained", IF(AND(AL25="Yes", AM25&lt;=AC25), "Yes", "No"))</f>
        <v>No</v>
      </c>
      <c r="AO25" s="174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83">
        <f t="shared" si="0"/>
        <v>44585</v>
      </c>
      <c r="V26" s="18">
        <f xml:space="preserve"> SUMIFS(MainData[ExtendedPrice], MainData[Date], U26, MainData[Category], "Beverage", MainData[Pricing], "&lt;&gt;"&amp;"*Adjust*", MainData[Pricing], "&lt;&gt;"&amp;"*LY*", MainData[BillTo], IF('YTD Revenue'!$AJ$14="Yes", "Hotel", "999999")) +
   SUMIFS(MainData[ExtendedPrice], MainData[Date], U26, MainData[Category], "Beverage", MainData[Pricing], "&lt;&gt;"&amp;"*Adjust*", MainData[Pricing], "&lt;&gt;"&amp;"*LY*", MainData[BillTo], IF('YTD Revenue'!$AJ$33="Yes", "EPO", "999999")) +
   SUMIFS(MainData[ExtendedPrice], MainData[Date], U26, MainData[Category], "Beverage", MainData[Pricing], "&lt;&gt;"&amp;"*Adjust*", MainData[Pricing], "&lt;&gt;"&amp;"*LY*", MainData[BillTo], IF('YTD Revenue'!$AJ$52="Yes", "Group", "999999")) -
   SUMIFS(MainData[ExtendedPrice], MainData[Date], U26,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" s="175">
        <f t="shared" si="1"/>
        <v>9483.0649576271171</v>
      </c>
      <c r="X26" s="175">
        <f t="shared" si="2"/>
        <v>73045.8</v>
      </c>
      <c r="Z26" s="18" t="s">
        <v>202</v>
      </c>
      <c r="AA26" s="183">
        <f>AA25</f>
        <v>44562</v>
      </c>
      <c r="AB26" s="184">
        <f>MAX(MainData[Date])-AA26</f>
        <v>58</v>
      </c>
      <c r="AC26" s="184">
        <f>EOMONTH(AA26,11)-AA26-AB26</f>
        <v>306</v>
      </c>
      <c r="AD26" s="186">
        <f>AE19</f>
        <v>9.3736375271613229E-2</v>
      </c>
      <c r="AE26" s="186">
        <f>'LY &amp; Forecast'!$AG$37</f>
        <v>0.1156521739130435</v>
      </c>
      <c r="AF26" s="174" t="s">
        <v>336</v>
      </c>
      <c r="AG26" s="174" t="str">
        <f>IF(AD26&gt;=AE26,"Above","Below")</f>
        <v>Below</v>
      </c>
      <c r="AH26" s="18">
        <f xml:space="preserve"> (
       $AE$19 - IFERROR(
       (
          IF('YTD Revenue'!$AJ$14="Yes",
             SUMIFS(MainData[ExtendedCost],MainData[Date],"&gt;="&amp;'YTD Revenue'!$F$7,MainData[Date],"&lt;="&amp;(MAX(MainData[Date])-14),MainData[BillTo],"Hotel",MainData[BillTo],"&lt;&gt;"&amp;"Nobody",MainData[Billable?],"Y",MainData[Category],"Beverage" )-
             SUMIFS(MainData[ExtendedCost],MainData[Date],"&gt;="&amp;'YTD Revenue'!$F$7,MainData[Date],"&lt;="&amp;(MAX(MainData[Date])-14),MainData[BillTo],"Hotel",MainData[BillTo],"&lt;&gt;"&amp;"Nobody",MainData[Billable?],"Y",MainData[Product],IF('YTD Revenue'!$AJ$20="No","SoftDrink","999999")),0) +
          IF('YTD Revenue'!$AJ$33="Yes",
             SUMIFS(MainData[ExtendedCost],MainData[Date],"&gt;="&amp;'YTD Revenue'!$F$7,MainData[Date],"&lt;="&amp;(MAX(MainData[Date])-14),MainData[BillTo],"EPO",MainData[BillTo],"&lt;&gt;"&amp;"Nobody",MainData[Billable?],"Y",MainData[Category],"Beverage") -
             SUMIFS(MainData[ExtendedCost],MainData[Date],"&gt;="&amp;'YTD Revenue'!$F$7,MainData[Date],"&lt;="&amp;(MAX(MainData[Date])-14),MainData[BillTo],"EPO",MainData[BillTo],"&lt;&gt;"&amp;"Nobody",MainData[Billable?],"Y",MainData[Product],IF('YTD Revenue'!$AJ$39="No","SoftDrink","999999")),0) +
          IF('YTD Revenue'!$AJ$52="Yes",
             SUMIFS(MainData[ExtendedCost],MainData[Date],"&gt;="&amp;'YTD Revenue'!$F$7,MainData[Date],"&lt;="&amp;(MAX(MainData[Date])-14),MainData[BillTo],"Group",MainData[BillTo],"&lt;&gt;"&amp;"Nobody",MainData[Billable?],"Y",MainData[Category],"Beverage") -
             SUMIFS(MainData[ExtendedCost],MainData[Date],"&gt;="&amp;'YTD Revenue'!$F$7,MainData[Date],"&lt;="&amp;(MAX(MainData[Date])-14),MainData[BillTo],"Group",MainData[BillTo],"&lt;&gt;"&amp;"Nobody",MainData[Billable?],"Y",MainData[Product],IF('YTD Revenue'!$AJ$58="No","SoftDrink","999999")),0)
       )
       /
       (
          IF('YTD Revenue'!$AJ$14="Yes",
             SUMIFS(MainData[ExtendedPrice],MainData[Date],"&gt;="&amp;'YTD Revenue'!$F$7,MainData[Date],"&lt;="&amp;(MAX(MainData[Date])-14),MainData[BillTo],"Hotel",MainData[BillTo],"&lt;&gt;"&amp;"Nobody",MainData[Billable?],"Y",MainData[Category],"Beverage" )-
             SUMIFS(MainData[ExtendedPrice],MainData[Date],"&gt;="&amp;'YTD Revenue'!$F$7,MainData[Date],"&lt;="&amp;(MAX(MainData[Date])-14),MainData[BillTo],"Hotel",MainData[BillTo],"&lt;&gt;"&amp;"Nobody",MainData[Billable?],"Y",MainData[Product],IF('YTD Revenue'!$AJ$20="No","SoftDrink","999999")),0) +
          IF('YTD Revenue'!$AJ$33="Yes",
             SUMIFS(MainData[ExtendedPrice],MainData[Date],"&gt;="&amp;'YTD Revenue'!$F$7,MainData[Date],"&lt;="&amp;(MAX(MainData[Date])-14),MainData[BillTo],"EPO",MainData[BillTo],"&lt;&gt;"&amp;"Nobody",MainData[Billable?],"Y",MainData[Category],"Beverage") -
             SUMIFS(MainData[ExtendedPrice],MainData[Date],"&gt;="&amp;'YTD Revenue'!$F$7,MainData[Date],"&lt;="&amp;(MAX(MainData[Date])-14),MainData[BillTo],"EPO",MainData[BillTo],"&lt;&gt;"&amp;"Nobody",MainData[Billable?],"Y",MainData[Product],IF('YTD Revenue'!$AJ$39="No","SoftDrink","999999")),0) +
          IF('YTD Revenue'!$AJ$52="Yes",
             SUMIFS(MainData[ExtendedPrice],MainData[Date],"&gt;="&amp;'YTD Revenue'!$F$7,MainData[Date],"&lt;="&amp;(MAX(MainData[Date])-14),MainData[BillTo],"Group",MainData[BillTo],"&lt;&gt;"&amp;"Nobody",MainData[Billable?],"Y",MainData[Category],"Beverage") -
             SUMIFS(MainData[ExtendedPrice],MainData[Date],"&gt;="&amp;'YTD Revenue'!$F$7,MainData[Date],"&lt;="&amp;(MAX(MainData[Date])-14),MainData[BillTo],"Group",MainData[BillTo],"&lt;&gt;"&amp;"Nobody",MainData[Billable?],"Y",MainData[Product],IF('YTD Revenue'!$AJ$58="No","SoftDrink","999999")),0)
       ),0)
   )
   /
   IF($AB$26&lt;14,$AB$26,14)</f>
        <v>3.3824594596965672E-5</v>
      </c>
      <c r="AI26" s="186">
        <f>(AE26-AD26)/AC26</f>
        <v>7.1620256998138139E-5</v>
      </c>
      <c r="AJ26" s="174">
        <f>2*AE26/365</f>
        <v>6.3371054198927941E-4</v>
      </c>
      <c r="AK26" s="174" t="str">
        <f>IF(AH26&lt;=0,"Down","Up")</f>
        <v>Up</v>
      </c>
      <c r="AL26" s="174" t="str">
        <f>IF(OR(AND(AF26="Above", AH26&gt;0), AND(AF26="Below", AH26&lt;0)), "Yes", "No")</f>
        <v>No</v>
      </c>
      <c r="AM26" s="184">
        <f>IFERROR(ABS((AE26-AD26)/AH26), 999)</f>
        <v>647.92494640560415</v>
      </c>
      <c r="AN26" s="174" t="str">
        <f>IF(AG26=AF26, "Gained", IF(AND(AL26="Yes", AM26&lt;=AC26), "Yes", "No"))</f>
        <v>Gained</v>
      </c>
      <c r="AO26" s="174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83">
        <f t="shared" si="0"/>
        <v>44586</v>
      </c>
      <c r="V27" s="18">
        <f xml:space="preserve"> SUMIFS(MainData[ExtendedPrice], MainData[Date], U27, MainData[Category], "Beverage", MainData[Pricing], "&lt;&gt;"&amp;"*Adjust*", MainData[Pricing], "&lt;&gt;"&amp;"*LY*", MainData[BillTo], IF('YTD Revenue'!$AJ$14="Yes", "Hotel", "999999")) +
   SUMIFS(MainData[ExtendedPrice], MainData[Date], U27, MainData[Category], "Beverage", MainData[Pricing], "&lt;&gt;"&amp;"*Adjust*", MainData[Pricing], "&lt;&gt;"&amp;"*LY*", MainData[BillTo], IF('YTD Revenue'!$AJ$33="Yes", "EPO", "999999")) +
   SUMIFS(MainData[ExtendedPrice], MainData[Date], U27, MainData[Category], "Beverage", MainData[Pricing], "&lt;&gt;"&amp;"*Adjust*", MainData[Pricing], "&lt;&gt;"&amp;"*LY*", MainData[BillTo], IF('YTD Revenue'!$AJ$52="Yes", "Group", "999999")) -
   SUMIFS(MainData[ExtendedPrice], MainData[Date], U27,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8640.67</v>
      </c>
      <c r="W27" s="175">
        <f t="shared" si="1"/>
        <v>9483.0649576271171</v>
      </c>
      <c r="X27" s="175">
        <f t="shared" si="2"/>
        <v>73045.8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83">
        <f t="shared" si="0"/>
        <v>44587</v>
      </c>
      <c r="V28" s="18">
        <f xml:space="preserve"> SUMIFS(MainData[ExtendedPrice], MainData[Date], U28, MainData[Category], "Beverage", MainData[Pricing], "&lt;&gt;"&amp;"*Adjust*", MainData[Pricing], "&lt;&gt;"&amp;"*LY*", MainData[BillTo], IF('YTD Revenue'!$AJ$14="Yes", "Hotel", "999999")) +
   SUMIFS(MainData[ExtendedPrice], MainData[Date], U28, MainData[Category], "Beverage", MainData[Pricing], "&lt;&gt;"&amp;"*Adjust*", MainData[Pricing], "&lt;&gt;"&amp;"*LY*", MainData[BillTo], IF('YTD Revenue'!$AJ$33="Yes", "EPO", "999999")) +
   SUMIFS(MainData[ExtendedPrice], MainData[Date], U28, MainData[Category], "Beverage", MainData[Pricing], "&lt;&gt;"&amp;"*Adjust*", MainData[Pricing], "&lt;&gt;"&amp;"*LY*", MainData[BillTo], IF('YTD Revenue'!$AJ$52="Yes", "Group", "999999")) -
   SUMIFS(MainData[ExtendedPrice], MainData[Date], U28,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</v>
      </c>
      <c r="W28" s="175">
        <f t="shared" si="1"/>
        <v>9483.0649576271171</v>
      </c>
      <c r="X28" s="175">
        <f t="shared" si="2"/>
        <v>73045.8</v>
      </c>
      <c r="Z28" s="18" t="s">
        <v>68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83">
        <f t="shared" si="0"/>
        <v>44588</v>
      </c>
      <c r="V29" s="18">
        <f xml:space="preserve"> SUMIFS(MainData[ExtendedPrice], MainData[Date], U29, MainData[Category], "Beverage", MainData[Pricing], "&lt;&gt;"&amp;"*Adjust*", MainData[Pricing], "&lt;&gt;"&amp;"*LY*", MainData[BillTo], IF('YTD Revenue'!$AJ$14="Yes", "Hotel", "999999")) +
   SUMIFS(MainData[ExtendedPrice], MainData[Date], U29, MainData[Category], "Beverage", MainData[Pricing], "&lt;&gt;"&amp;"*Adjust*", MainData[Pricing], "&lt;&gt;"&amp;"*LY*", MainData[BillTo], IF('YTD Revenue'!$AJ$33="Yes", "EPO", "999999")) +
   SUMIFS(MainData[ExtendedPrice], MainData[Date], U29, MainData[Category], "Beverage", MainData[Pricing], "&lt;&gt;"&amp;"*Adjust*", MainData[Pricing], "&lt;&gt;"&amp;"*LY*", MainData[BillTo], IF('YTD Revenue'!$AJ$52="Yes", "Group", "999999")) -
   SUMIFS(MainData[ExtendedPrice], MainData[Date], U29,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2026</v>
      </c>
      <c r="W29" s="175">
        <f t="shared" si="1"/>
        <v>9483.0649576271171</v>
      </c>
      <c r="X29" s="175">
        <f t="shared" si="2"/>
        <v>73045.8</v>
      </c>
      <c r="Z29" s="18" t="s">
        <v>333</v>
      </c>
      <c r="AA29" s="175">
        <f>IF(90+AI25/AJ25*90 &gt;= 180, 179, IF(90+AI25/AJ25*90 &lt; 0, 0, 90+AI25/AJ25*90))</f>
        <v>132.79530030570652</v>
      </c>
      <c r="AB29" s="175">
        <f>180-AA29</f>
        <v>47.204699694293481</v>
      </c>
      <c r="AC29" s="175">
        <v>180</v>
      </c>
      <c r="AJ29" s="186"/>
      <c r="AK29" s="186"/>
      <c r="AL29" s="186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83">
        <f t="shared" si="0"/>
        <v>44589</v>
      </c>
      <c r="V30" s="18">
        <f xml:space="preserve"> SUMIFS(MainData[ExtendedPrice], MainData[Date], U30, MainData[Category], "Beverage", MainData[Pricing], "&lt;&gt;"&amp;"*Adjust*", MainData[Pricing], "&lt;&gt;"&amp;"*LY*", MainData[BillTo], IF('YTD Revenue'!$AJ$14="Yes", "Hotel", "999999")) +
   SUMIFS(MainData[ExtendedPrice], MainData[Date], U30, MainData[Category], "Beverage", MainData[Pricing], "&lt;&gt;"&amp;"*Adjust*", MainData[Pricing], "&lt;&gt;"&amp;"*LY*", MainData[BillTo], IF('YTD Revenue'!$AJ$33="Yes", "EPO", "999999")) +
   SUMIFS(MainData[ExtendedPrice], MainData[Date], U30, MainData[Category], "Beverage", MainData[Pricing], "&lt;&gt;"&amp;"*Adjust*", MainData[Pricing], "&lt;&gt;"&amp;"*LY*", MainData[BillTo], IF('YTD Revenue'!$AJ$52="Yes", "Group", "999999")) -
   SUMIFS(MainData[ExtendedPrice], MainData[Date], U30,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15347.5</v>
      </c>
      <c r="W30" s="175">
        <f t="shared" si="1"/>
        <v>9483.0649576271171</v>
      </c>
      <c r="X30" s="175">
        <f t="shared" si="2"/>
        <v>73045.8</v>
      </c>
      <c r="Z30" s="18" t="s">
        <v>334</v>
      </c>
      <c r="AA30" s="175">
        <f>IF(90+AH25/AJ25*90 &gt;= 180, 179, IF(90+AH25/AJ25*90 &lt; 0, 0, 90+AH25/AJ25*90))</f>
        <v>122.37420634704962</v>
      </c>
      <c r="AB30" s="175">
        <v>1</v>
      </c>
      <c r="AC30" s="175">
        <f>AC29-AA30-AB30</f>
        <v>56.625793652950378</v>
      </c>
      <c r="AD30" s="175">
        <f>AC29</f>
        <v>180</v>
      </c>
      <c r="AF30" s="18" t="str">
        <f>TEXT(AH25, "$#,##0") &amp; " per Day"</f>
        <v>$5,440 per Day</v>
      </c>
      <c r="AJ30" s="175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83">
        <f t="shared" si="0"/>
        <v>44590</v>
      </c>
      <c r="V31" s="18">
        <f xml:space="preserve"> SUMIFS(MainData[ExtendedPrice], MainData[Date], U31, MainData[Category], "Beverage", MainData[Pricing], "&lt;&gt;"&amp;"*Adjust*", MainData[Pricing], "&lt;&gt;"&amp;"*LY*", MainData[BillTo], IF('YTD Revenue'!$AJ$14="Yes", "Hotel", "999999")) +
   SUMIFS(MainData[ExtendedPrice], MainData[Date], U31, MainData[Category], "Beverage", MainData[Pricing], "&lt;&gt;"&amp;"*Adjust*", MainData[Pricing], "&lt;&gt;"&amp;"*LY*", MainData[BillTo], IF('YTD Revenue'!$AJ$33="Yes", "EPO", "999999")) +
   SUMIFS(MainData[ExtendedPrice], MainData[Date], U31, MainData[Category], "Beverage", MainData[Pricing], "&lt;&gt;"&amp;"*Adjust*", MainData[Pricing], "&lt;&gt;"&amp;"*LY*", MainData[BillTo], IF('YTD Revenue'!$AJ$52="Yes", "Group", "999999")) -
   SUMIFS(MainData[ExtendedPrice], MainData[Date], U31,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35099</v>
      </c>
      <c r="W31" s="175">
        <f t="shared" si="1"/>
        <v>9483.0649576271171</v>
      </c>
      <c r="X31" s="175">
        <f t="shared" si="2"/>
        <v>73045.8</v>
      </c>
      <c r="Z31" s="18" t="s">
        <v>332</v>
      </c>
      <c r="AA31" s="175">
        <f>AA29</f>
        <v>132.79530030570652</v>
      </c>
      <c r="AB31" s="175">
        <f>AB29</f>
        <v>47.204699694293481</v>
      </c>
      <c r="AC31" s="175">
        <f>AC29</f>
        <v>180</v>
      </c>
      <c r="AF31" s="18" t="str">
        <f>IF(AG25="Below", "Revenue Goal Not Attainable", "Revenue Goal Losable")</f>
        <v>Revenue Goal Not Attainable</v>
      </c>
      <c r="AG31" s="18" t="str">
        <f>IF(AG25="Below", "Revenue Goal Attainable", "Revenue Goal Not Losable")</f>
        <v>Revenue Goal Attainable</v>
      </c>
      <c r="AH31" s="18" t="str">
        <f>IF(AN25="Yes", "Revenue will increase above the goal level by " &amp; TEXT(AM25+AA25+AB25, "mm/dd/yyyy") &amp; ".", IF(AN25="No", TEXT(AI25,"$###,###") &amp; " per day is needed for revenue to increase above the goal level by end of year.", IF(AO25="Yes", "Revenue will decrease below the goal level by " &amp; TEXT(AM25+AA25+AB25, "mm/dd/yyyy") &amp; ".", "Revenue has surpassed the goal level and will likely remain there.")))</f>
        <v>$7,191 per day is needed for revenue to increase above the goal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83">
        <f t="shared" si="0"/>
        <v>44591</v>
      </c>
      <c r="V32" s="18">
        <f xml:space="preserve"> SUMIFS(MainData[ExtendedPrice], MainData[Date], U32, MainData[Category], "Beverage", MainData[Pricing], "&lt;&gt;"&amp;"*Adjust*", MainData[Pricing], "&lt;&gt;"&amp;"*LY*", MainData[BillTo], IF('YTD Revenue'!$AJ$14="Yes", "Hotel", "999999")) +
   SUMIFS(MainData[ExtendedPrice], MainData[Date], U32, MainData[Category], "Beverage", MainData[Pricing], "&lt;&gt;"&amp;"*Adjust*", MainData[Pricing], "&lt;&gt;"&amp;"*LY*", MainData[BillTo], IF('YTD Revenue'!$AJ$33="Yes", "EPO", "999999")) +
   SUMIFS(MainData[ExtendedPrice], MainData[Date], U32, MainData[Category], "Beverage", MainData[Pricing], "&lt;&gt;"&amp;"*Adjust*", MainData[Pricing], "&lt;&gt;"&amp;"*LY*", MainData[BillTo], IF('YTD Revenue'!$AJ$52="Yes", "Group", "999999")) -
   SUMIFS(MainData[ExtendedPrice], MainData[Date], U32,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1845.75</v>
      </c>
      <c r="W32" s="175">
        <f t="shared" si="1"/>
        <v>9483.0649576271171</v>
      </c>
      <c r="X32" s="175">
        <f t="shared" si="2"/>
        <v>73045.8</v>
      </c>
      <c r="AA32" s="175"/>
      <c r="AB32" s="175"/>
      <c r="AC32" s="175"/>
      <c r="AD32" s="175"/>
      <c r="AG32" s="193"/>
      <c r="AI32" s="193"/>
      <c r="AP32" s="18"/>
      <c r="AQ32" s="18"/>
    </row>
    <row r="33" spans="21:43" x14ac:dyDescent="0.25">
      <c r="U33" s="183">
        <f t="shared" si="0"/>
        <v>44592</v>
      </c>
      <c r="V33" s="18">
        <f xml:space="preserve"> SUMIFS(MainData[ExtendedPrice], MainData[Date], U33, MainData[Category], "Beverage", MainData[Pricing], "&lt;&gt;"&amp;"*Adjust*", MainData[Pricing], "&lt;&gt;"&amp;"*LY*", MainData[BillTo], IF('YTD Revenue'!$AJ$14="Yes", "Hotel", "999999")) +
   SUMIFS(MainData[ExtendedPrice], MainData[Date], U33, MainData[Category], "Beverage", MainData[Pricing], "&lt;&gt;"&amp;"*Adjust*", MainData[Pricing], "&lt;&gt;"&amp;"*LY*", MainData[BillTo], IF('YTD Revenue'!$AJ$33="Yes", "EPO", "999999")) +
   SUMIFS(MainData[ExtendedPrice], MainData[Date], U33, MainData[Category], "Beverage", MainData[Pricing], "&lt;&gt;"&amp;"*Adjust*", MainData[Pricing], "&lt;&gt;"&amp;"*LY*", MainData[BillTo], IF('YTD Revenue'!$AJ$52="Yes", "Group", "999999")) -
   SUMIFS(MainData[ExtendedPrice], MainData[Date], U33,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" s="175">
        <f t="shared" si="1"/>
        <v>9483.0649576271171</v>
      </c>
      <c r="X33" s="175">
        <f t="shared" si="2"/>
        <v>73045.8</v>
      </c>
      <c r="AP33" s="18"/>
      <c r="AQ33" s="18"/>
    </row>
    <row r="34" spans="21:43" x14ac:dyDescent="0.25">
      <c r="U34" s="183">
        <f t="shared" si="0"/>
        <v>44593</v>
      </c>
      <c r="V34" s="18">
        <f xml:space="preserve"> SUMIFS(MainData[ExtendedPrice], MainData[Date], U34, MainData[Category], "Beverage", MainData[Pricing], "&lt;&gt;"&amp;"*Adjust*", MainData[Pricing], "&lt;&gt;"&amp;"*LY*", MainData[BillTo], IF('YTD Revenue'!$AJ$14="Yes", "Hotel", "999999")) +
   SUMIFS(MainData[ExtendedPrice], MainData[Date], U34, MainData[Category], "Beverage", MainData[Pricing], "&lt;&gt;"&amp;"*Adjust*", MainData[Pricing], "&lt;&gt;"&amp;"*LY*", MainData[BillTo], IF('YTD Revenue'!$AJ$33="Yes", "EPO", "999999")) +
   SUMIFS(MainData[ExtendedPrice], MainData[Date], U34, MainData[Category], "Beverage", MainData[Pricing], "&lt;&gt;"&amp;"*Adjust*", MainData[Pricing], "&lt;&gt;"&amp;"*LY*", MainData[BillTo], IF('YTD Revenue'!$AJ$52="Yes", "Group", "999999")) -
   SUMIFS(MainData[ExtendedPrice], MainData[Date], U34,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" s="175">
        <f t="shared" si="1"/>
        <v>9483.0649576271171</v>
      </c>
      <c r="X34" s="175">
        <f t="shared" si="2"/>
        <v>73045.8</v>
      </c>
      <c r="Z34" s="18" t="s">
        <v>447</v>
      </c>
      <c r="AP34" s="18"/>
      <c r="AQ34" s="18"/>
    </row>
    <row r="35" spans="21:43" x14ac:dyDescent="0.25">
      <c r="U35" s="183">
        <f t="shared" si="0"/>
        <v>44594</v>
      </c>
      <c r="V35" s="18">
        <f xml:space="preserve"> SUMIFS(MainData[ExtendedPrice], MainData[Date], U35, MainData[Category], "Beverage", MainData[Pricing], "&lt;&gt;"&amp;"*Adjust*", MainData[Pricing], "&lt;&gt;"&amp;"*LY*", MainData[BillTo], IF('YTD Revenue'!$AJ$14="Yes", "Hotel", "999999")) +
   SUMIFS(MainData[ExtendedPrice], MainData[Date], U35, MainData[Category], "Beverage", MainData[Pricing], "&lt;&gt;"&amp;"*Adjust*", MainData[Pricing], "&lt;&gt;"&amp;"*LY*", MainData[BillTo], IF('YTD Revenue'!$AJ$33="Yes", "EPO", "999999")) +
   SUMIFS(MainData[ExtendedPrice], MainData[Date], U35, MainData[Category], "Beverage", MainData[Pricing], "&lt;&gt;"&amp;"*Adjust*", MainData[Pricing], "&lt;&gt;"&amp;"*LY*", MainData[BillTo], IF('YTD Revenue'!$AJ$52="Yes", "Group", "999999")) -
   SUMIFS(MainData[ExtendedPrice], MainData[Date], U35,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" s="175">
        <f t="shared" si="1"/>
        <v>9483.0649576271171</v>
      </c>
      <c r="X35" s="175">
        <f t="shared" si="2"/>
        <v>73045.8</v>
      </c>
      <c r="Z35" s="18" t="s">
        <v>333</v>
      </c>
      <c r="AA35" s="175">
        <f>IF(90+AI26/AJ26*90 &gt;= 180, 179, IF(90+AI26/AJ26*90 &lt; 0, 0, 90+AI26/AJ26*90))</f>
        <v>100.17155736371114</v>
      </c>
      <c r="AB35" s="175">
        <f>180-AA35</f>
        <v>79.828442636288855</v>
      </c>
      <c r="AC35" s="175">
        <v>180</v>
      </c>
      <c r="AP35" s="18"/>
      <c r="AQ35" s="18"/>
    </row>
    <row r="36" spans="21:43" x14ac:dyDescent="0.25">
      <c r="U36" s="183">
        <f t="shared" si="0"/>
        <v>44595</v>
      </c>
      <c r="V36" s="18">
        <f xml:space="preserve"> SUMIFS(MainData[ExtendedPrice], MainData[Date], U36, MainData[Category], "Beverage", MainData[Pricing], "&lt;&gt;"&amp;"*Adjust*", MainData[Pricing], "&lt;&gt;"&amp;"*LY*", MainData[BillTo], IF('YTD Revenue'!$AJ$14="Yes", "Hotel", "999999")) +
   SUMIFS(MainData[ExtendedPrice], MainData[Date], U36, MainData[Category], "Beverage", MainData[Pricing], "&lt;&gt;"&amp;"*Adjust*", MainData[Pricing], "&lt;&gt;"&amp;"*LY*", MainData[BillTo], IF('YTD Revenue'!$AJ$33="Yes", "EPO", "999999")) +
   SUMIFS(MainData[ExtendedPrice], MainData[Date], U36, MainData[Category], "Beverage", MainData[Pricing], "&lt;&gt;"&amp;"*Adjust*", MainData[Pricing], "&lt;&gt;"&amp;"*LY*", MainData[BillTo], IF('YTD Revenue'!$AJ$52="Yes", "Group", "999999")) -
   SUMIFS(MainData[ExtendedPrice], MainData[Date], U36,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4078.81</v>
      </c>
      <c r="W36" s="175">
        <f t="shared" si="1"/>
        <v>9483.0649576271171</v>
      </c>
      <c r="X36" s="175">
        <f t="shared" si="2"/>
        <v>73045.8</v>
      </c>
      <c r="Z36" s="18" t="s">
        <v>334</v>
      </c>
      <c r="AA36" s="175">
        <f>IF(90+AH26/AJ26*90 &gt;= 180, 179, IF(90+AH26/AJ26*90 &lt; 0, 0, 90+AH26/AJ26*90))</f>
        <v>94.80379181348448</v>
      </c>
      <c r="AB36" s="175">
        <v>1</v>
      </c>
      <c r="AC36" s="175">
        <f>AC35-AA36-AB36</f>
        <v>84.19620818651552</v>
      </c>
      <c r="AD36" s="175">
        <f>AC35</f>
        <v>180</v>
      </c>
      <c r="AF36" s="18" t="str">
        <f>TEXT(AH26,"0.0##%") &amp; " per Day"</f>
        <v>0.003% per Day</v>
      </c>
      <c r="AP36" s="18"/>
      <c r="AQ36" s="18"/>
    </row>
    <row r="37" spans="21:43" x14ac:dyDescent="0.25">
      <c r="U37" s="183">
        <f t="shared" si="0"/>
        <v>44596</v>
      </c>
      <c r="V37" s="18">
        <f xml:space="preserve"> SUMIFS(MainData[ExtendedPrice], MainData[Date], U37, MainData[Category], "Beverage", MainData[Pricing], "&lt;&gt;"&amp;"*Adjust*", MainData[Pricing], "&lt;&gt;"&amp;"*LY*", MainData[BillTo], IF('YTD Revenue'!$AJ$14="Yes", "Hotel", "999999")) +
   SUMIFS(MainData[ExtendedPrice], MainData[Date], U37, MainData[Category], "Beverage", MainData[Pricing], "&lt;&gt;"&amp;"*Adjust*", MainData[Pricing], "&lt;&gt;"&amp;"*LY*", MainData[BillTo], IF('YTD Revenue'!$AJ$33="Yes", "EPO", "999999")) +
   SUMIFS(MainData[ExtendedPrice], MainData[Date], U37, MainData[Category], "Beverage", MainData[Pricing], "&lt;&gt;"&amp;"*Adjust*", MainData[Pricing], "&lt;&gt;"&amp;"*LY*", MainData[BillTo], IF('YTD Revenue'!$AJ$52="Yes", "Group", "999999")) -
   SUMIFS(MainData[ExtendedPrice], MainData[Date], U37,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20375.38</v>
      </c>
      <c r="W37" s="175">
        <f t="shared" si="1"/>
        <v>9483.0649576271171</v>
      </c>
      <c r="X37" s="175">
        <f t="shared" si="2"/>
        <v>73045.8</v>
      </c>
      <c r="Z37" s="18" t="s">
        <v>332</v>
      </c>
      <c r="AA37" s="175">
        <f>AA35</f>
        <v>100.17155736371114</v>
      </c>
      <c r="AB37" s="175">
        <f>AB35</f>
        <v>79.828442636288855</v>
      </c>
      <c r="AC37" s="175">
        <f>AC35</f>
        <v>180</v>
      </c>
      <c r="AD37" s="175"/>
      <c r="AF37" s="18" t="str">
        <f>IF(AG26="Above", "Efficiency Goal Attainable", "Efficiency Goal Not Losable")</f>
        <v>Efficiency Goal Not Losable</v>
      </c>
      <c r="AG37" s="18" t="str">
        <f>IF(AG26="Above", "Efficiency Goal Not Attainable", "Efficiency Goal Losable")</f>
        <v>Efficiency Goal Losable</v>
      </c>
      <c r="AH37" s="18" t="str">
        <f>IF(AN26="Yes", "Cost efficiency will decrease below the goal rate on "&amp;TEXT(AA26+AB26+AM26,"mm/dd/yyyy")&amp;".", IF(AN26="No", TEXT(AI26, "0.0##%")&amp;" per day is needed for cost efficiency to decrease below the goal rate by end of year.", IF(AO26="Yes", "Cost efficiency will increase above the goal rate on "&amp;TEXT(AA26+AB26+AM26,"mm/dd/yyyy")&amp;".", "Cost efficiency has passed below the goal rate and will likely remain there.")))</f>
        <v>Cost efficiency has passed below the goal rate and will likely remain there.</v>
      </c>
      <c r="AP37" s="18"/>
      <c r="AQ37" s="18"/>
    </row>
    <row r="38" spans="21:43" x14ac:dyDescent="0.25">
      <c r="U38" s="183">
        <f t="shared" si="0"/>
        <v>44597</v>
      </c>
      <c r="V38" s="18">
        <f xml:space="preserve"> SUMIFS(MainData[ExtendedPrice], MainData[Date], U38, MainData[Category], "Beverage", MainData[Pricing], "&lt;&gt;"&amp;"*Adjust*", MainData[Pricing], "&lt;&gt;"&amp;"*LY*", MainData[BillTo], IF('YTD Revenue'!$AJ$14="Yes", "Hotel", "999999")) +
   SUMIFS(MainData[ExtendedPrice], MainData[Date], U38, MainData[Category], "Beverage", MainData[Pricing], "&lt;&gt;"&amp;"*Adjust*", MainData[Pricing], "&lt;&gt;"&amp;"*LY*", MainData[BillTo], IF('YTD Revenue'!$AJ$33="Yes", "EPO", "999999")) +
   SUMIFS(MainData[ExtendedPrice], MainData[Date], U38, MainData[Category], "Beverage", MainData[Pricing], "&lt;&gt;"&amp;"*Adjust*", MainData[Pricing], "&lt;&gt;"&amp;"*LY*", MainData[BillTo], IF('YTD Revenue'!$AJ$52="Yes", "Group", "999999")) -
   SUMIFS(MainData[ExtendedPrice], MainData[Date], U38,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18425.07</v>
      </c>
      <c r="W38" s="175">
        <f t="shared" si="1"/>
        <v>9483.0649576271171</v>
      </c>
      <c r="X38" s="175">
        <f t="shared" si="2"/>
        <v>73045.8</v>
      </c>
      <c r="AP38" s="18"/>
      <c r="AQ38" s="18"/>
    </row>
    <row r="39" spans="21:43" x14ac:dyDescent="0.25">
      <c r="U39" s="183">
        <f t="shared" si="0"/>
        <v>44598</v>
      </c>
      <c r="V39" s="18">
        <f xml:space="preserve"> SUMIFS(MainData[ExtendedPrice], MainData[Date], U39, MainData[Category], "Beverage", MainData[Pricing], "&lt;&gt;"&amp;"*Adjust*", MainData[Pricing], "&lt;&gt;"&amp;"*LY*", MainData[BillTo], IF('YTD Revenue'!$AJ$14="Yes", "Hotel", "999999")) +
   SUMIFS(MainData[ExtendedPrice], MainData[Date], U39, MainData[Category], "Beverage", MainData[Pricing], "&lt;&gt;"&amp;"*Adjust*", MainData[Pricing], "&lt;&gt;"&amp;"*LY*", MainData[BillTo], IF('YTD Revenue'!$AJ$33="Yes", "EPO", "999999")) +
   SUMIFS(MainData[ExtendedPrice], MainData[Date], U39, MainData[Category], "Beverage", MainData[Pricing], "&lt;&gt;"&amp;"*Adjust*", MainData[Pricing], "&lt;&gt;"&amp;"*LY*", MainData[BillTo], IF('YTD Revenue'!$AJ$52="Yes", "Group", "999999")) -
   SUMIFS(MainData[ExtendedPrice], MainData[Date], U39,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12927.42</v>
      </c>
      <c r="W39" s="175">
        <f t="shared" si="1"/>
        <v>9483.0649576271171</v>
      </c>
      <c r="X39" s="175">
        <f t="shared" si="2"/>
        <v>73045.8</v>
      </c>
      <c r="AP39" s="18"/>
      <c r="AQ39" s="18"/>
    </row>
    <row r="40" spans="21:43" x14ac:dyDescent="0.25">
      <c r="U40" s="183">
        <f t="shared" si="0"/>
        <v>44599</v>
      </c>
      <c r="V40" s="18">
        <f xml:space="preserve"> SUMIFS(MainData[ExtendedPrice], MainData[Date], U40, MainData[Category], "Beverage", MainData[Pricing], "&lt;&gt;"&amp;"*Adjust*", MainData[Pricing], "&lt;&gt;"&amp;"*LY*", MainData[BillTo], IF('YTD Revenue'!$AJ$14="Yes", "Hotel", "999999")) +
   SUMIFS(MainData[ExtendedPrice], MainData[Date], U40, MainData[Category], "Beverage", MainData[Pricing], "&lt;&gt;"&amp;"*Adjust*", MainData[Pricing], "&lt;&gt;"&amp;"*LY*", MainData[BillTo], IF('YTD Revenue'!$AJ$33="Yes", "EPO", "999999")) +
   SUMIFS(MainData[ExtendedPrice], MainData[Date], U40, MainData[Category], "Beverage", MainData[Pricing], "&lt;&gt;"&amp;"*Adjust*", MainData[Pricing], "&lt;&gt;"&amp;"*LY*", MainData[BillTo], IF('YTD Revenue'!$AJ$52="Yes", "Group", "999999")) -
   SUMIFS(MainData[ExtendedPrice], MainData[Date], U40,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3951.9800000000005</v>
      </c>
      <c r="W40" s="175">
        <f t="shared" si="1"/>
        <v>9483.0649576271171</v>
      </c>
      <c r="X40" s="175">
        <f t="shared" si="2"/>
        <v>73045.8</v>
      </c>
      <c r="AP40" s="18"/>
      <c r="AQ40" s="18"/>
    </row>
    <row r="41" spans="21:43" x14ac:dyDescent="0.25">
      <c r="U41" s="183">
        <f t="shared" si="0"/>
        <v>44600</v>
      </c>
      <c r="V41" s="18">
        <f xml:space="preserve"> SUMIFS(MainData[ExtendedPrice], MainData[Date], U41, MainData[Category], "Beverage", MainData[Pricing], "&lt;&gt;"&amp;"*Adjust*", MainData[Pricing], "&lt;&gt;"&amp;"*LY*", MainData[BillTo], IF('YTD Revenue'!$AJ$14="Yes", "Hotel", "999999")) +
   SUMIFS(MainData[ExtendedPrice], MainData[Date], U41, MainData[Category], "Beverage", MainData[Pricing], "&lt;&gt;"&amp;"*Adjust*", MainData[Pricing], "&lt;&gt;"&amp;"*LY*", MainData[BillTo], IF('YTD Revenue'!$AJ$33="Yes", "EPO", "999999")) +
   SUMIFS(MainData[ExtendedPrice], MainData[Date], U41, MainData[Category], "Beverage", MainData[Pricing], "&lt;&gt;"&amp;"*Adjust*", MainData[Pricing], "&lt;&gt;"&amp;"*LY*", MainData[BillTo], IF('YTD Revenue'!$AJ$52="Yes", "Group", "999999")) -
   SUMIFS(MainData[ExtendedPrice], MainData[Date], U41,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1" s="175">
        <f t="shared" si="1"/>
        <v>9483.0649576271171</v>
      </c>
      <c r="X41" s="175">
        <f t="shared" si="2"/>
        <v>73045.8</v>
      </c>
      <c r="AP41" s="18"/>
      <c r="AQ41" s="18"/>
    </row>
    <row r="42" spans="21:43" x14ac:dyDescent="0.25">
      <c r="U42" s="183">
        <f t="shared" si="0"/>
        <v>44601</v>
      </c>
      <c r="V42" s="18">
        <f xml:space="preserve"> SUMIFS(MainData[ExtendedPrice], MainData[Date], U42, MainData[Category], "Beverage", MainData[Pricing], "&lt;&gt;"&amp;"*Adjust*", MainData[Pricing], "&lt;&gt;"&amp;"*LY*", MainData[BillTo], IF('YTD Revenue'!$AJ$14="Yes", "Hotel", "999999")) +
   SUMIFS(MainData[ExtendedPrice], MainData[Date], U42, MainData[Category], "Beverage", MainData[Pricing], "&lt;&gt;"&amp;"*Adjust*", MainData[Pricing], "&lt;&gt;"&amp;"*LY*", MainData[BillTo], IF('YTD Revenue'!$AJ$33="Yes", "EPO", "999999")) +
   SUMIFS(MainData[ExtendedPrice], MainData[Date], U42, MainData[Category], "Beverage", MainData[Pricing], "&lt;&gt;"&amp;"*Adjust*", MainData[Pricing], "&lt;&gt;"&amp;"*LY*", MainData[BillTo], IF('YTD Revenue'!$AJ$52="Yes", "Group", "999999")) -
   SUMIFS(MainData[ExtendedPrice], MainData[Date], U42,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5293.2</v>
      </c>
      <c r="W42" s="175">
        <f t="shared" si="1"/>
        <v>9483.0649576271171</v>
      </c>
      <c r="X42" s="175">
        <f t="shared" si="2"/>
        <v>73045.8</v>
      </c>
      <c r="AP42" s="18"/>
      <c r="AQ42" s="18"/>
    </row>
    <row r="43" spans="21:43" x14ac:dyDescent="0.25">
      <c r="U43" s="183">
        <f t="shared" si="0"/>
        <v>44602</v>
      </c>
      <c r="V43" s="18">
        <f xml:space="preserve"> SUMIFS(MainData[ExtendedPrice], MainData[Date], U43, MainData[Category], "Beverage", MainData[Pricing], "&lt;&gt;"&amp;"*Adjust*", MainData[Pricing], "&lt;&gt;"&amp;"*LY*", MainData[BillTo], IF('YTD Revenue'!$AJ$14="Yes", "Hotel", "999999")) +
   SUMIFS(MainData[ExtendedPrice], MainData[Date], U43, MainData[Category], "Beverage", MainData[Pricing], "&lt;&gt;"&amp;"*Adjust*", MainData[Pricing], "&lt;&gt;"&amp;"*LY*", MainData[BillTo], IF('YTD Revenue'!$AJ$33="Yes", "EPO", "999999")) +
   SUMIFS(MainData[ExtendedPrice], MainData[Date], U43, MainData[Category], "Beverage", MainData[Pricing], "&lt;&gt;"&amp;"*Adjust*", MainData[Pricing], "&lt;&gt;"&amp;"*LY*", MainData[BillTo], IF('YTD Revenue'!$AJ$52="Yes", "Group", "999999")) -
   SUMIFS(MainData[ExtendedPrice], MainData[Date], U43,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54667</v>
      </c>
      <c r="W43" s="175">
        <f t="shared" si="1"/>
        <v>9483.0649576271171</v>
      </c>
      <c r="X43" s="175">
        <f t="shared" si="2"/>
        <v>73045.8</v>
      </c>
      <c r="AP43" s="18"/>
      <c r="AQ43" s="18"/>
    </row>
    <row r="44" spans="21:43" x14ac:dyDescent="0.25">
      <c r="U44" s="183">
        <f t="shared" si="0"/>
        <v>44603</v>
      </c>
      <c r="V44" s="18">
        <f xml:space="preserve"> SUMIFS(MainData[ExtendedPrice], MainData[Date], U44, MainData[Category], "Beverage", MainData[Pricing], "&lt;&gt;"&amp;"*Adjust*", MainData[Pricing], "&lt;&gt;"&amp;"*LY*", MainData[BillTo], IF('YTD Revenue'!$AJ$14="Yes", "Hotel", "999999")) +
   SUMIFS(MainData[ExtendedPrice], MainData[Date], U44, MainData[Category], "Beverage", MainData[Pricing], "&lt;&gt;"&amp;"*Adjust*", MainData[Pricing], "&lt;&gt;"&amp;"*LY*", MainData[BillTo], IF('YTD Revenue'!$AJ$33="Yes", "EPO", "999999")) +
   SUMIFS(MainData[ExtendedPrice], MainData[Date], U44, MainData[Category], "Beverage", MainData[Pricing], "&lt;&gt;"&amp;"*Adjust*", MainData[Pricing], "&lt;&gt;"&amp;"*LY*", MainData[BillTo], IF('YTD Revenue'!$AJ$52="Yes", "Group", "999999")) -
   SUMIFS(MainData[ExtendedPrice], MainData[Date], U44,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4924.55</v>
      </c>
      <c r="W44" s="175">
        <f t="shared" si="1"/>
        <v>9483.0649576271171</v>
      </c>
      <c r="X44" s="175">
        <f t="shared" si="2"/>
        <v>73045.8</v>
      </c>
      <c r="Z44" s="187" t="s">
        <v>314</v>
      </c>
      <c r="AP44" s="18"/>
      <c r="AQ44" s="18"/>
    </row>
    <row r="45" spans="21:43" x14ac:dyDescent="0.25">
      <c r="U45" s="183">
        <f t="shared" si="0"/>
        <v>44604</v>
      </c>
      <c r="V45" s="18">
        <f xml:space="preserve"> SUMIFS(MainData[ExtendedPrice], MainData[Date], U45, MainData[Category], "Beverage", MainData[Pricing], "&lt;&gt;"&amp;"*Adjust*", MainData[Pricing], "&lt;&gt;"&amp;"*LY*", MainData[BillTo], IF('YTD Revenue'!$AJ$14="Yes", "Hotel", "999999")) +
   SUMIFS(MainData[ExtendedPrice], MainData[Date], U45, MainData[Category], "Beverage", MainData[Pricing], "&lt;&gt;"&amp;"*Adjust*", MainData[Pricing], "&lt;&gt;"&amp;"*LY*", MainData[BillTo], IF('YTD Revenue'!$AJ$33="Yes", "EPO", "999999")) +
   SUMIFS(MainData[ExtendedPrice], MainData[Date], U45, MainData[Category], "Beverage", MainData[Pricing], "&lt;&gt;"&amp;"*Adjust*", MainData[Pricing], "&lt;&gt;"&amp;"*LY*", MainData[BillTo], IF('YTD Revenue'!$AJ$52="Yes", "Group", "999999")) -
   SUMIFS(MainData[ExtendedPrice], MainData[Date], U45,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73045.8</v>
      </c>
      <c r="W45" s="175">
        <f t="shared" si="1"/>
        <v>9483.0649576271171</v>
      </c>
      <c r="X45" s="175">
        <f t="shared" si="2"/>
        <v>73045.8</v>
      </c>
      <c r="Z45" s="190" t="s">
        <v>110</v>
      </c>
      <c r="AA45" s="190" t="s">
        <v>21</v>
      </c>
      <c r="AB45" s="190" t="s">
        <v>22</v>
      </c>
      <c r="AC45" s="190" t="s">
        <v>20</v>
      </c>
      <c r="AD45" s="190" t="s">
        <v>299</v>
      </c>
      <c r="AE45" s="190" t="s">
        <v>93</v>
      </c>
      <c r="AF45" s="192" t="s">
        <v>20</v>
      </c>
      <c r="AG45" s="191"/>
      <c r="AH45" s="191"/>
      <c r="AI45" s="191"/>
      <c r="AP45" s="18"/>
      <c r="AQ45" s="18"/>
    </row>
    <row r="46" spans="21:43" x14ac:dyDescent="0.25">
      <c r="U46" s="183">
        <f t="shared" si="0"/>
        <v>44605</v>
      </c>
      <c r="V46" s="18">
        <f xml:space="preserve"> SUMIFS(MainData[ExtendedPrice], MainData[Date], U46, MainData[Category], "Beverage", MainData[Pricing], "&lt;&gt;"&amp;"*Adjust*", MainData[Pricing], "&lt;&gt;"&amp;"*LY*", MainData[BillTo], IF('YTD Revenue'!$AJ$14="Yes", "Hotel", "999999")) +
   SUMIFS(MainData[ExtendedPrice], MainData[Date], U46, MainData[Category], "Beverage", MainData[Pricing], "&lt;&gt;"&amp;"*Adjust*", MainData[Pricing], "&lt;&gt;"&amp;"*LY*", MainData[BillTo], IF('YTD Revenue'!$AJ$33="Yes", "EPO", "999999")) +
   SUMIFS(MainData[ExtendedPrice], MainData[Date], U46, MainData[Category], "Beverage", MainData[Pricing], "&lt;&gt;"&amp;"*Adjust*", MainData[Pricing], "&lt;&gt;"&amp;"*LY*", MainData[BillTo], IF('YTD Revenue'!$AJ$52="Yes", "Group", "999999")) -
   SUMIFS(MainData[ExtendedPrice], MainData[Date], U46,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1548</v>
      </c>
      <c r="W46" s="175">
        <f t="shared" si="1"/>
        <v>9483.0649576271171</v>
      </c>
      <c r="X46" s="175">
        <f t="shared" si="2"/>
        <v>73045.8</v>
      </c>
      <c r="Z46" s="188" cm="1">
        <f t="array" ref="Z46">INDEX(CustomerData[],MATCH(LARGE(IF('YTD Revenue'!$AJ$52="Yes",CustomerData[Group],0)+IF('YTD Revenue'!$AJ$33="Yes",CustomerData[EPO],0)+IF('YTD Revenue'!$AJ$14="Yes",CustomerData[Hotel],0),10),IF('YTD Revenue'!$AJ$52="Yes",CustomerData[Group],0)+IF('YTD Revenue'!$AJ$33="Yes",CustomerData[EPO],0)+IF('YTD Revenue'!$AJ$14="Yes",CustomerData[Hotel],0),0),1)</f>
        <v>29</v>
      </c>
      <c r="AA46" s="175">
        <f>IF('YTD Revenue'!$AJ$14="Yes",VLOOKUP($Z46,CustomerData[],11,FALSE),0)</f>
        <v>0</v>
      </c>
      <c r="AB46" s="175">
        <f>IF('YTD Revenue'!$AJ$33="Yes",VLOOKUP($Z46,CustomerData[],12,FALSE),0)</f>
        <v>0</v>
      </c>
      <c r="AC46" s="175">
        <f>IF('YTD Revenue'!$AJ$52="Yes",VLOOKUP($Z46,CustomerData[],13,FALSE),0)</f>
        <v>17494</v>
      </c>
      <c r="AD46" s="18">
        <v>1</v>
      </c>
      <c r="AE46" s="179">
        <f t="shared" ref="AE46:AE55" si="3">SUM(AA46:AC46)</f>
        <v>17494</v>
      </c>
      <c r="AF46" s="189" t="str">
        <f>VLOOKUP($Z46,CustomerData[],2,FALSE)</f>
        <v>New Graduate Unemployment Center</v>
      </c>
      <c r="AP46" s="18"/>
      <c r="AQ46" s="18"/>
    </row>
    <row r="47" spans="21:43" x14ac:dyDescent="0.25">
      <c r="U47" s="183">
        <f t="shared" si="0"/>
        <v>44606</v>
      </c>
      <c r="V47" s="18">
        <f xml:space="preserve"> SUMIFS(MainData[ExtendedPrice], MainData[Date], U47, MainData[Category], "Beverage", MainData[Pricing], "&lt;&gt;"&amp;"*Adjust*", MainData[Pricing], "&lt;&gt;"&amp;"*LY*", MainData[BillTo], IF('YTD Revenue'!$AJ$14="Yes", "Hotel", "999999")) +
   SUMIFS(MainData[ExtendedPrice], MainData[Date], U47, MainData[Category], "Beverage", MainData[Pricing], "&lt;&gt;"&amp;"*Adjust*", MainData[Pricing], "&lt;&gt;"&amp;"*LY*", MainData[BillTo], IF('YTD Revenue'!$AJ$33="Yes", "EPO", "999999")) +
   SUMIFS(MainData[ExtendedPrice], MainData[Date], U47, MainData[Category], "Beverage", MainData[Pricing], "&lt;&gt;"&amp;"*Adjust*", MainData[Pricing], "&lt;&gt;"&amp;"*LY*", MainData[BillTo], IF('YTD Revenue'!$AJ$52="Yes", "Group", "999999")) -
   SUMIFS(MainData[ExtendedPrice], MainData[Date], U47,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7" s="175">
        <f t="shared" si="1"/>
        <v>9483.0649576271171</v>
      </c>
      <c r="X47" s="175">
        <f t="shared" si="2"/>
        <v>73045.8</v>
      </c>
      <c r="Z47" s="188" cm="1">
        <f t="array" ref="Z47">INDEX(CustomerData[],MATCH(LARGE(IF('YTD Revenue'!$AJ$52="Yes",CustomerData[Group],0)+IF('YTD Revenue'!$AJ$33="Yes",CustomerData[EPO],0)+IF('YTD Revenue'!$AJ$14="Yes",CustomerData[Hotel],0),9),IF('YTD Revenue'!$AJ$52="Yes",CustomerData[Group],0)+IF('YTD Revenue'!$AJ$33="Yes",CustomerData[EPO],0)+IF('YTD Revenue'!$AJ$14="Yes",CustomerData[Hotel],0),0),1)</f>
        <v>25</v>
      </c>
      <c r="AA47" s="175">
        <f>IF('YTD Revenue'!$AJ$14="Yes",VLOOKUP($Z47,CustomerData[],11,FALSE),0)</f>
        <v>0</v>
      </c>
      <c r="AB47" s="175">
        <f>IF('YTD Revenue'!$AJ$33="Yes",VLOOKUP($Z47,CustomerData[],12,FALSE),0)</f>
        <v>0</v>
      </c>
      <c r="AC47" s="175">
        <f>IF('YTD Revenue'!$AJ$52="Yes",VLOOKUP($Z47,CustomerData[],13,FALSE),0)</f>
        <v>19157</v>
      </c>
      <c r="AD47" s="18">
        <v>1</v>
      </c>
      <c r="AE47" s="179">
        <f t="shared" si="3"/>
        <v>19157</v>
      </c>
      <c r="AF47" s="189" t="str">
        <f>VLOOKUP($Z47,CustomerData[],2,FALSE)</f>
        <v>Sticky Fingers Financial Inc.</v>
      </c>
      <c r="AP47" s="18"/>
      <c r="AQ47" s="18"/>
    </row>
    <row r="48" spans="21:43" x14ac:dyDescent="0.25">
      <c r="U48" s="183">
        <f t="shared" si="0"/>
        <v>44607</v>
      </c>
      <c r="V48" s="18">
        <f xml:space="preserve"> SUMIFS(MainData[ExtendedPrice], MainData[Date], U48, MainData[Category], "Beverage", MainData[Pricing], "&lt;&gt;"&amp;"*Adjust*", MainData[Pricing], "&lt;&gt;"&amp;"*LY*", MainData[BillTo], IF('YTD Revenue'!$AJ$14="Yes", "Hotel", "999999")) +
   SUMIFS(MainData[ExtendedPrice], MainData[Date], U48, MainData[Category], "Beverage", MainData[Pricing], "&lt;&gt;"&amp;"*Adjust*", MainData[Pricing], "&lt;&gt;"&amp;"*LY*", MainData[BillTo], IF('YTD Revenue'!$AJ$33="Yes", "EPO", "999999")) +
   SUMIFS(MainData[ExtendedPrice], MainData[Date], U48, MainData[Category], "Beverage", MainData[Pricing], "&lt;&gt;"&amp;"*Adjust*", MainData[Pricing], "&lt;&gt;"&amp;"*LY*", MainData[BillTo], IF('YTD Revenue'!$AJ$52="Yes", "Group", "999999")) -
   SUMIFS(MainData[ExtendedPrice], MainData[Date], U48,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2660</v>
      </c>
      <c r="W48" s="175">
        <f t="shared" si="1"/>
        <v>9483.0649576271171</v>
      </c>
      <c r="X48" s="175">
        <f t="shared" si="2"/>
        <v>73045.8</v>
      </c>
      <c r="Z48" s="188" cm="1">
        <f t="array" ref="Z48">INDEX(CustomerData[],MATCH(LARGE(IF('YTD Revenue'!$AJ$52="Yes",CustomerData[Group],0)+IF('YTD Revenue'!$AJ$33="Yes",CustomerData[EPO],0)+IF('YTD Revenue'!$AJ$14="Yes",CustomerData[Hotel],0),8),IF('YTD Revenue'!$AJ$52="Yes",CustomerData[Group],0)+IF('YTD Revenue'!$AJ$33="Yes",CustomerData[EPO],0)+IF('YTD Revenue'!$AJ$14="Yes",CustomerData[Hotel],0),0),1)</f>
        <v>23</v>
      </c>
      <c r="AA48" s="175">
        <f>IF('YTD Revenue'!$AJ$14="Yes",VLOOKUP($Z48,CustomerData[],11,FALSE),0)</f>
        <v>0</v>
      </c>
      <c r="AB48" s="175">
        <f>IF('YTD Revenue'!$AJ$33="Yes",VLOOKUP($Z48,CustomerData[],12,FALSE),0)</f>
        <v>0</v>
      </c>
      <c r="AC48" s="175">
        <f>IF('YTD Revenue'!$AJ$52="Yes",VLOOKUP($Z48,CustomerData[],13,FALSE),0)</f>
        <v>24944</v>
      </c>
      <c r="AD48" s="18">
        <v>1</v>
      </c>
      <c r="AE48" s="179">
        <f t="shared" si="3"/>
        <v>24944</v>
      </c>
      <c r="AF48" s="189" t="str">
        <f>VLOOKUP($Z48,CustomerData[],2,FALSE)</f>
        <v>Rolda Dice Investment Corp.</v>
      </c>
      <c r="AP48" s="18"/>
      <c r="AQ48" s="18"/>
    </row>
    <row r="49" spans="21:43" x14ac:dyDescent="0.25">
      <c r="U49" s="183">
        <f t="shared" si="0"/>
        <v>44608</v>
      </c>
      <c r="V49" s="18">
        <f xml:space="preserve"> SUMIFS(MainData[ExtendedPrice], MainData[Date], U49, MainData[Category], "Beverage", MainData[Pricing], "&lt;&gt;"&amp;"*Adjust*", MainData[Pricing], "&lt;&gt;"&amp;"*LY*", MainData[BillTo], IF('YTD Revenue'!$AJ$14="Yes", "Hotel", "999999")) +
   SUMIFS(MainData[ExtendedPrice], MainData[Date], U49, MainData[Category], "Beverage", MainData[Pricing], "&lt;&gt;"&amp;"*Adjust*", MainData[Pricing], "&lt;&gt;"&amp;"*LY*", MainData[BillTo], IF('YTD Revenue'!$AJ$33="Yes", "EPO", "999999")) +
   SUMIFS(MainData[ExtendedPrice], MainData[Date], U49, MainData[Category], "Beverage", MainData[Pricing], "&lt;&gt;"&amp;"*Adjust*", MainData[Pricing], "&lt;&gt;"&amp;"*LY*", MainData[BillTo], IF('YTD Revenue'!$AJ$52="Yes", "Group", "999999")) -
   SUMIFS(MainData[ExtendedPrice], MainData[Date], U49,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9" s="175">
        <f t="shared" si="1"/>
        <v>9483.0649576271171</v>
      </c>
      <c r="X49" s="175">
        <f t="shared" si="2"/>
        <v>73045.8</v>
      </c>
      <c r="Z49" s="188" cm="1">
        <f t="array" ref="Z49">INDEX(CustomerData[],MATCH(LARGE(IF('YTD Revenue'!$AJ$52="Yes",CustomerData[Group],0)+IF('YTD Revenue'!$AJ$33="Yes",CustomerData[EPO],0)+IF('YTD Revenue'!$AJ$14="Yes",CustomerData[Hotel],0),7),IF('YTD Revenue'!$AJ$52="Yes",CustomerData[Group],0)+IF('YTD Revenue'!$AJ$33="Yes",CustomerData[EPO],0)+IF('YTD Revenue'!$AJ$14="Yes",CustomerData[Hotel],0),0),1)</f>
        <v>10</v>
      </c>
      <c r="AA49" s="175">
        <f>IF('YTD Revenue'!$AJ$14="Yes",VLOOKUP($Z49,CustomerData[],11,FALSE),0)</f>
        <v>0</v>
      </c>
      <c r="AB49" s="175">
        <f>IF('YTD Revenue'!$AJ$33="Yes",VLOOKUP($Z49,CustomerData[],12,FALSE),0)</f>
        <v>0</v>
      </c>
      <c r="AC49" s="175">
        <f>IF('YTD Revenue'!$AJ$52="Yes",VLOOKUP($Z49,CustomerData[],13,FALSE),0)</f>
        <v>26506</v>
      </c>
      <c r="AD49" s="18">
        <v>1</v>
      </c>
      <c r="AE49" s="179">
        <f t="shared" si="3"/>
        <v>26506</v>
      </c>
      <c r="AF49" s="189" t="str">
        <f>VLOOKUP($Z49,CustomerData[],2,FALSE)</f>
        <v>Meteoric Airlines</v>
      </c>
      <c r="AP49" s="18"/>
      <c r="AQ49" s="18"/>
    </row>
    <row r="50" spans="21:43" x14ac:dyDescent="0.25">
      <c r="U50" s="183">
        <f t="shared" si="0"/>
        <v>44609</v>
      </c>
      <c r="V50" s="18">
        <f xml:space="preserve"> SUMIFS(MainData[ExtendedPrice], MainData[Date], U50, MainData[Category], "Beverage", MainData[Pricing], "&lt;&gt;"&amp;"*Adjust*", MainData[Pricing], "&lt;&gt;"&amp;"*LY*", MainData[BillTo], IF('YTD Revenue'!$AJ$14="Yes", "Hotel", "999999")) +
   SUMIFS(MainData[ExtendedPrice], MainData[Date], U50, MainData[Category], "Beverage", MainData[Pricing], "&lt;&gt;"&amp;"*Adjust*", MainData[Pricing], "&lt;&gt;"&amp;"*LY*", MainData[BillTo], IF('YTD Revenue'!$AJ$33="Yes", "EPO", "999999")) +
   SUMIFS(MainData[ExtendedPrice], MainData[Date], U50, MainData[Category], "Beverage", MainData[Pricing], "&lt;&gt;"&amp;"*Adjust*", MainData[Pricing], "&lt;&gt;"&amp;"*LY*", MainData[BillTo], IF('YTD Revenue'!$AJ$52="Yes", "Group", "999999")) -
   SUMIFS(MainData[ExtendedPrice], MainData[Date], U50,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0" s="175">
        <f t="shared" si="1"/>
        <v>9483.0649576271171</v>
      </c>
      <c r="X50" s="175">
        <f t="shared" si="2"/>
        <v>73045.8</v>
      </c>
      <c r="Z50" s="188" cm="1">
        <f t="array" ref="Z50">INDEX(CustomerData[],MATCH(LARGE(IF('YTD Revenue'!$AJ$52="Yes",CustomerData[Group],0)+IF('YTD Revenue'!$AJ$33="Yes",CustomerData[EPO],0)+IF('YTD Revenue'!$AJ$14="Yes",CustomerData[Hotel],0),6),IF('YTD Revenue'!$AJ$52="Yes",CustomerData[Group],0)+IF('YTD Revenue'!$AJ$33="Yes",CustomerData[EPO],0)+IF('YTD Revenue'!$AJ$14="Yes",CustomerData[Hotel],0),0),1)</f>
        <v>1</v>
      </c>
      <c r="AA50" s="175">
        <f>IF('YTD Revenue'!$AJ$14="Yes",VLOOKUP($Z50,CustomerData[],11,FALSE),0)</f>
        <v>0</v>
      </c>
      <c r="AB50" s="175">
        <f>IF('YTD Revenue'!$AJ$33="Yes",VLOOKUP($Z50,CustomerData[],12,FALSE),0)</f>
        <v>0</v>
      </c>
      <c r="AC50" s="175">
        <f>IF('YTD Revenue'!$AJ$52="Yes",VLOOKUP($Z50,CustomerData[],13,FALSE),0)</f>
        <v>30698.3</v>
      </c>
      <c r="AD50" s="18">
        <v>1</v>
      </c>
      <c r="AE50" s="179">
        <f t="shared" si="3"/>
        <v>30698.3</v>
      </c>
      <c r="AF50" s="189" t="str">
        <f>VLOOKUP($Z50,CustomerData[],2,FALSE)</f>
        <v>Whee R Broke Financial Co.</v>
      </c>
      <c r="AP50" s="18"/>
      <c r="AQ50" s="18"/>
    </row>
    <row r="51" spans="21:43" x14ac:dyDescent="0.25">
      <c r="U51" s="183">
        <f t="shared" si="0"/>
        <v>44610</v>
      </c>
      <c r="V51" s="18">
        <f xml:space="preserve"> SUMIFS(MainData[ExtendedPrice], MainData[Date], U51, MainData[Category], "Beverage", MainData[Pricing], "&lt;&gt;"&amp;"*Adjust*", MainData[Pricing], "&lt;&gt;"&amp;"*LY*", MainData[BillTo], IF('YTD Revenue'!$AJ$14="Yes", "Hotel", "999999")) +
   SUMIFS(MainData[ExtendedPrice], MainData[Date], U51, MainData[Category], "Beverage", MainData[Pricing], "&lt;&gt;"&amp;"*Adjust*", MainData[Pricing], "&lt;&gt;"&amp;"*LY*", MainData[BillTo], IF('YTD Revenue'!$AJ$33="Yes", "EPO", "999999")) +
   SUMIFS(MainData[ExtendedPrice], MainData[Date], U51, MainData[Category], "Beverage", MainData[Pricing], "&lt;&gt;"&amp;"*Adjust*", MainData[Pricing], "&lt;&gt;"&amp;"*LY*", MainData[BillTo], IF('YTD Revenue'!$AJ$52="Yes", "Group", "999999")) -
   SUMIFS(MainData[ExtendedPrice], MainData[Date], U51,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35646.5</v>
      </c>
      <c r="W51" s="175">
        <f t="shared" si="1"/>
        <v>9483.0649576271171</v>
      </c>
      <c r="X51" s="175">
        <f t="shared" si="2"/>
        <v>73045.8</v>
      </c>
      <c r="Z51" s="188" cm="1">
        <f t="array" ref="Z51">INDEX(CustomerData[],MATCH(LARGE(IF('YTD Revenue'!$AJ$52="Yes",CustomerData[Group],0)+IF('YTD Revenue'!$AJ$33="Yes",CustomerData[EPO],0)+IF('YTD Revenue'!$AJ$14="Yes",CustomerData[Hotel],0),5),IF('YTD Revenue'!$AJ$52="Yes",CustomerData[Group],0)+IF('YTD Revenue'!$AJ$33="Yes",CustomerData[EPO],0)+IF('YTD Revenue'!$AJ$14="Yes",CustomerData[Hotel],0),0),1)</f>
        <v>11</v>
      </c>
      <c r="AA51" s="175">
        <f>IF('YTD Revenue'!$AJ$14="Yes",VLOOKUP($Z51,CustomerData[],11,FALSE),0)</f>
        <v>0</v>
      </c>
      <c r="AB51" s="175">
        <f>IF('YTD Revenue'!$AJ$33="Yes",VLOOKUP($Z51,CustomerData[],12,FALSE),0)</f>
        <v>0</v>
      </c>
      <c r="AC51" s="175">
        <f>IF('YTD Revenue'!$AJ$52="Yes",VLOOKUP($Z51,CustomerData[],13,FALSE),0)</f>
        <v>33510.75</v>
      </c>
      <c r="AD51" s="18">
        <v>1</v>
      </c>
      <c r="AE51" s="179">
        <f t="shared" si="3"/>
        <v>33510.75</v>
      </c>
      <c r="AF51" s="189" t="str">
        <f>VLOOKUP($Z51,CustomerData[],2,FALSE)</f>
        <v>Corncobb Hygenic Products</v>
      </c>
      <c r="AP51" s="18"/>
      <c r="AQ51" s="18"/>
    </row>
    <row r="52" spans="21:43" x14ac:dyDescent="0.25">
      <c r="U52" s="183">
        <f t="shared" si="0"/>
        <v>44611</v>
      </c>
      <c r="V52" s="18">
        <f xml:space="preserve"> SUMIFS(MainData[ExtendedPrice], MainData[Date], U52, MainData[Category], "Beverage", MainData[Pricing], "&lt;&gt;"&amp;"*Adjust*", MainData[Pricing], "&lt;&gt;"&amp;"*LY*", MainData[BillTo], IF('YTD Revenue'!$AJ$14="Yes", "Hotel", "999999")) +
   SUMIFS(MainData[ExtendedPrice], MainData[Date], U52, MainData[Category], "Beverage", MainData[Pricing], "&lt;&gt;"&amp;"*Adjust*", MainData[Pricing], "&lt;&gt;"&amp;"*LY*", MainData[BillTo], IF('YTD Revenue'!$AJ$33="Yes", "EPO", "999999")) +
   SUMIFS(MainData[ExtendedPrice], MainData[Date], U52, MainData[Category], "Beverage", MainData[Pricing], "&lt;&gt;"&amp;"*Adjust*", MainData[Pricing], "&lt;&gt;"&amp;"*LY*", MainData[BillTo], IF('YTD Revenue'!$AJ$52="Yes", "Group", "999999")) -
   SUMIFS(MainData[ExtendedPrice], MainData[Date], U52,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883.1</v>
      </c>
      <c r="W52" s="175">
        <f t="shared" si="1"/>
        <v>9483.0649576271171</v>
      </c>
      <c r="X52" s="175">
        <f t="shared" si="2"/>
        <v>73045.8</v>
      </c>
      <c r="Z52" s="188" cm="1">
        <f t="array" ref="Z52">INDEX(CustomerData[],MATCH(LARGE(IF('YTD Revenue'!$AJ$52="Yes",CustomerData[Group],0)+IF('YTD Revenue'!$AJ$33="Yes",CustomerData[EPO],0)+IF('YTD Revenue'!$AJ$14="Yes",CustomerData[Hotel],0),4),IF('YTD Revenue'!$AJ$52="Yes",CustomerData[Group],0)+IF('YTD Revenue'!$AJ$33="Yes",CustomerData[EPO],0)+IF('YTD Revenue'!$AJ$14="Yes",CustomerData[Hotel],0),0),1)</f>
        <v>12</v>
      </c>
      <c r="AA52" s="175">
        <f>IF('YTD Revenue'!$AJ$14="Yes",VLOOKUP($Z52,CustomerData[],11,FALSE),0)</f>
        <v>0</v>
      </c>
      <c r="AB52" s="175">
        <f>IF('YTD Revenue'!$AJ$33="Yes",VLOOKUP($Z52,CustomerData[],12,FALSE),0)</f>
        <v>0</v>
      </c>
      <c r="AC52" s="175">
        <f>IF('YTD Revenue'!$AJ$52="Yes",VLOOKUP($Z52,CustomerData[],13,FALSE),0)</f>
        <v>38429.600000000006</v>
      </c>
      <c r="AD52" s="18">
        <v>1</v>
      </c>
      <c r="AE52" s="179">
        <f t="shared" si="3"/>
        <v>38429.600000000006</v>
      </c>
      <c r="AF52" s="189" t="str">
        <f>VLOOKUP($Z52,CustomerData[],2,FALSE)</f>
        <v>Innumerate Accounting Service</v>
      </c>
      <c r="AP52" s="18"/>
      <c r="AQ52" s="18"/>
    </row>
    <row r="53" spans="21:43" x14ac:dyDescent="0.25">
      <c r="U53" s="183">
        <f t="shared" si="0"/>
        <v>44612</v>
      </c>
      <c r="V53" s="18">
        <f xml:space="preserve"> SUMIFS(MainData[ExtendedPrice], MainData[Date], U53, MainData[Category], "Beverage", MainData[Pricing], "&lt;&gt;"&amp;"*Adjust*", MainData[Pricing], "&lt;&gt;"&amp;"*LY*", MainData[BillTo], IF('YTD Revenue'!$AJ$14="Yes", "Hotel", "999999")) +
   SUMIFS(MainData[ExtendedPrice], MainData[Date], U53, MainData[Category], "Beverage", MainData[Pricing], "&lt;&gt;"&amp;"*Adjust*", MainData[Pricing], "&lt;&gt;"&amp;"*LY*", MainData[BillTo], IF('YTD Revenue'!$AJ$33="Yes", "EPO", "999999")) +
   SUMIFS(MainData[ExtendedPrice], MainData[Date], U53, MainData[Category], "Beverage", MainData[Pricing], "&lt;&gt;"&amp;"*Adjust*", MainData[Pricing], "&lt;&gt;"&amp;"*LY*", MainData[BillTo], IF('YTD Revenue'!$AJ$52="Yes", "Group", "999999")) -
   SUMIFS(MainData[ExtendedPrice], MainData[Date], U53,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1252.31</v>
      </c>
      <c r="W53" s="175">
        <f t="shared" si="1"/>
        <v>9483.0649576271171</v>
      </c>
      <c r="X53" s="175">
        <f t="shared" si="2"/>
        <v>73045.8</v>
      </c>
      <c r="Z53" s="188" cm="1">
        <f t="array" ref="Z53">INDEX(CustomerData[],MATCH(LARGE(IF('YTD Revenue'!$AJ$52="Yes",CustomerData[Group],0)+IF('YTD Revenue'!$AJ$33="Yes",CustomerData[EPO],0)+IF('YTD Revenue'!$AJ$14="Yes",CustomerData[Hotel],0),3),IF('YTD Revenue'!$AJ$52="Yes",CustomerData[Group],0)+IF('YTD Revenue'!$AJ$33="Yes",CustomerData[EPO],0)+IF('YTD Revenue'!$AJ$14="Yes",CustomerData[Hotel],0),0),1)</f>
        <v>31</v>
      </c>
      <c r="AA53" s="175">
        <f>IF('YTD Revenue'!$AJ$14="Yes",VLOOKUP($Z53,CustomerData[],11,FALSE),0)</f>
        <v>0</v>
      </c>
      <c r="AB53" s="175">
        <f>IF('YTD Revenue'!$AJ$33="Yes",VLOOKUP($Z53,CustomerData[],12,FALSE),0)</f>
        <v>0</v>
      </c>
      <c r="AC53" s="175">
        <f>IF('YTD Revenue'!$AJ$52="Yes",VLOOKUP($Z53,CustomerData[],13,FALSE),0)</f>
        <v>51204.352499999994</v>
      </c>
      <c r="AD53" s="18">
        <v>1</v>
      </c>
      <c r="AE53" s="179">
        <f t="shared" si="3"/>
        <v>51204.352499999994</v>
      </c>
      <c r="AF53" s="189" t="str">
        <f>VLOOKUP($Z53,CustomerData[],2,FALSE)</f>
        <v>Dewey Cheatam &amp; Howe</v>
      </c>
      <c r="AP53" s="18"/>
      <c r="AQ53" s="18"/>
    </row>
    <row r="54" spans="21:43" x14ac:dyDescent="0.25">
      <c r="U54" s="183">
        <f t="shared" si="0"/>
        <v>44613</v>
      </c>
      <c r="V54" s="18">
        <f xml:space="preserve"> SUMIFS(MainData[ExtendedPrice], MainData[Date], U54, MainData[Category], "Beverage", MainData[Pricing], "&lt;&gt;"&amp;"*Adjust*", MainData[Pricing], "&lt;&gt;"&amp;"*LY*", MainData[BillTo], IF('YTD Revenue'!$AJ$14="Yes", "Hotel", "999999")) +
   SUMIFS(MainData[ExtendedPrice], MainData[Date], U54, MainData[Category], "Beverage", MainData[Pricing], "&lt;&gt;"&amp;"*Adjust*", MainData[Pricing], "&lt;&gt;"&amp;"*LY*", MainData[BillTo], IF('YTD Revenue'!$AJ$33="Yes", "EPO", "999999")) +
   SUMIFS(MainData[ExtendedPrice], MainData[Date], U54, MainData[Category], "Beverage", MainData[Pricing], "&lt;&gt;"&amp;"*Adjust*", MainData[Pricing], "&lt;&gt;"&amp;"*LY*", MainData[BillTo], IF('YTD Revenue'!$AJ$52="Yes", "Group", "999999")) -
   SUMIFS(MainData[ExtendedPrice], MainData[Date], U54,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3631.0200000000004</v>
      </c>
      <c r="W54" s="175">
        <f t="shared" si="1"/>
        <v>9483.0649576271171</v>
      </c>
      <c r="X54" s="175">
        <f t="shared" si="2"/>
        <v>73045.8</v>
      </c>
      <c r="Z54" s="188" cm="1">
        <f t="array" ref="Z54">INDEX(CustomerData[],MATCH(LARGE(IF('YTD Revenue'!$AJ$52="Yes",CustomerData[Group],0)+IF('YTD Revenue'!$AJ$33="Yes",CustomerData[EPO],0)+IF('YTD Revenue'!$AJ$14="Yes",CustomerData[Hotel],0),2),IF('YTD Revenue'!$AJ$52="Yes",CustomerData[Group],0)+IF('YTD Revenue'!$AJ$33="Yes",CustomerData[EPO],0)+IF('YTD Revenue'!$AJ$14="Yes",CustomerData[Hotel],0),0),1)</f>
        <v>26</v>
      </c>
      <c r="AA54" s="175">
        <f>IF('YTD Revenue'!$AJ$14="Yes",VLOOKUP($Z54,CustomerData[],11,FALSE),0)</f>
        <v>0</v>
      </c>
      <c r="AB54" s="175">
        <f>IF('YTD Revenue'!$AJ$33="Yes",VLOOKUP($Z54,CustomerData[],12,FALSE),0)</f>
        <v>0</v>
      </c>
      <c r="AC54" s="175">
        <f>IF('YTD Revenue'!$AJ$52="Yes",VLOOKUP($Z54,CustomerData[],13,FALSE),0)</f>
        <v>95022.93</v>
      </c>
      <c r="AD54" s="18">
        <v>1</v>
      </c>
      <c r="AE54" s="179">
        <f t="shared" si="3"/>
        <v>95022.93</v>
      </c>
      <c r="AF54" s="189" t="str">
        <f>VLOOKUP($Z54,CustomerData[],2,FALSE)</f>
        <v>Risky Business Risk Solutions</v>
      </c>
      <c r="AP54" s="18"/>
      <c r="AQ54" s="18"/>
    </row>
    <row r="55" spans="21:43" x14ac:dyDescent="0.25">
      <c r="U55" s="183">
        <f t="shared" si="0"/>
        <v>44614</v>
      </c>
      <c r="V55" s="18">
        <f xml:space="preserve"> SUMIFS(MainData[ExtendedPrice], MainData[Date], U55, MainData[Category], "Beverage", MainData[Pricing], "&lt;&gt;"&amp;"*Adjust*", MainData[Pricing], "&lt;&gt;"&amp;"*LY*", MainData[BillTo], IF('YTD Revenue'!$AJ$14="Yes", "Hotel", "999999")) +
   SUMIFS(MainData[ExtendedPrice], MainData[Date], U55, MainData[Category], "Beverage", MainData[Pricing], "&lt;&gt;"&amp;"*Adjust*", MainData[Pricing], "&lt;&gt;"&amp;"*LY*", MainData[BillTo], IF('YTD Revenue'!$AJ$33="Yes", "EPO", "999999")) +
   SUMIFS(MainData[ExtendedPrice], MainData[Date], U55, MainData[Category], "Beverage", MainData[Pricing], "&lt;&gt;"&amp;"*Adjust*", MainData[Pricing], "&lt;&gt;"&amp;"*LY*", MainData[BillTo], IF('YTD Revenue'!$AJ$52="Yes", "Group", "999999")) -
   SUMIFS(MainData[ExtendedPrice], MainData[Date], U55,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5362.74</v>
      </c>
      <c r="W55" s="175">
        <f t="shared" si="1"/>
        <v>9483.0649576271171</v>
      </c>
      <c r="X55" s="175">
        <f t="shared" si="2"/>
        <v>73045.8</v>
      </c>
      <c r="Z55" s="188" cm="1">
        <f t="array" ref="Z55">INDEX(CustomerData[],MATCH(LARGE(IF('YTD Revenue'!$AJ$52="Yes",CustomerData[Group],0)+IF('YTD Revenue'!$AJ$33="Yes",CustomerData[EPO],0)+IF('YTD Revenue'!$AJ$14="Yes",CustomerData[Hotel],0),1),IF('YTD Revenue'!$AJ$52="Yes",CustomerData[Group],0)+IF('YTD Revenue'!$AJ$33="Yes",CustomerData[EPO],0)+IF('YTD Revenue'!$AJ$14="Yes",CustomerData[Hotel],0),0),1)</f>
        <v>13</v>
      </c>
      <c r="AA55" s="175">
        <f>IF('YTD Revenue'!$AJ$14="Yes",VLOOKUP($Z55,CustomerData[],11,FALSE),0)</f>
        <v>0</v>
      </c>
      <c r="AB55" s="175">
        <f>IF('YTD Revenue'!$AJ$33="Yes",VLOOKUP($Z55,CustomerData[],12,FALSE),0)</f>
        <v>0</v>
      </c>
      <c r="AC55" s="175">
        <f>IF('YTD Revenue'!$AJ$52="Yes",VLOOKUP($Z55,CustomerData[],13,FALSE),0)</f>
        <v>118411.99999999999</v>
      </c>
      <c r="AD55" s="18">
        <v>1</v>
      </c>
      <c r="AE55" s="179">
        <f t="shared" si="3"/>
        <v>118411.99999999999</v>
      </c>
      <c r="AF55" s="189" t="str">
        <f>VLOOKUP($Z55,CustomerData[],2,FALSE)</f>
        <v>Watts DePoint Pencil Manufacturing</v>
      </c>
      <c r="AP55" s="18"/>
      <c r="AQ55" s="18"/>
    </row>
    <row r="56" spans="21:43" x14ac:dyDescent="0.25">
      <c r="U56" s="183">
        <f t="shared" si="0"/>
        <v>44615</v>
      </c>
      <c r="V56" s="18">
        <f xml:space="preserve"> SUMIFS(MainData[ExtendedPrice], MainData[Date], U56, MainData[Category], "Beverage", MainData[Pricing], "&lt;&gt;"&amp;"*Adjust*", MainData[Pricing], "&lt;&gt;"&amp;"*LY*", MainData[BillTo], IF('YTD Revenue'!$AJ$14="Yes", "Hotel", "999999")) +
   SUMIFS(MainData[ExtendedPrice], MainData[Date], U56, MainData[Category], "Beverage", MainData[Pricing], "&lt;&gt;"&amp;"*Adjust*", MainData[Pricing], "&lt;&gt;"&amp;"*LY*", MainData[BillTo], IF('YTD Revenue'!$AJ$33="Yes", "EPO", "999999")) +
   SUMIFS(MainData[ExtendedPrice], MainData[Date], U56, MainData[Category], "Beverage", MainData[Pricing], "&lt;&gt;"&amp;"*Adjust*", MainData[Pricing], "&lt;&gt;"&amp;"*LY*", MainData[BillTo], IF('YTD Revenue'!$AJ$52="Yes", "Group", "999999")) -
   SUMIFS(MainData[ExtendedPrice], MainData[Date], U56,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2304.02</v>
      </c>
      <c r="W56" s="175">
        <f t="shared" si="1"/>
        <v>9483.0649576271171</v>
      </c>
      <c r="X56" s="175">
        <f t="shared" si="2"/>
        <v>73045.8</v>
      </c>
      <c r="AB56" s="185"/>
      <c r="AC56" s="175"/>
      <c r="AD56" s="175"/>
      <c r="AE56" s="175"/>
      <c r="AF56" s="179"/>
      <c r="AP56" s="18"/>
      <c r="AQ56" s="18"/>
    </row>
    <row r="57" spans="21:43" x14ac:dyDescent="0.25">
      <c r="U57" s="183">
        <f t="shared" si="0"/>
        <v>44616</v>
      </c>
      <c r="V57" s="18">
        <f xml:space="preserve"> SUMIFS(MainData[ExtendedPrice], MainData[Date], U57, MainData[Category], "Beverage", MainData[Pricing], "&lt;&gt;"&amp;"*Adjust*", MainData[Pricing], "&lt;&gt;"&amp;"*LY*", MainData[BillTo], IF('YTD Revenue'!$AJ$14="Yes", "Hotel", "999999")) +
   SUMIFS(MainData[ExtendedPrice], MainData[Date], U57, MainData[Category], "Beverage", MainData[Pricing], "&lt;&gt;"&amp;"*Adjust*", MainData[Pricing], "&lt;&gt;"&amp;"*LY*", MainData[BillTo], IF('YTD Revenue'!$AJ$33="Yes", "EPO", "999999")) +
   SUMIFS(MainData[ExtendedPrice], MainData[Date], U57, MainData[Category], "Beverage", MainData[Pricing], "&lt;&gt;"&amp;"*Adjust*", MainData[Pricing], "&lt;&gt;"&amp;"*LY*", MainData[BillTo], IF('YTD Revenue'!$AJ$52="Yes", "Group", "999999")) -
   SUMIFS(MainData[ExtendedPrice], MainData[Date], U57,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928</v>
      </c>
      <c r="W57" s="175">
        <f t="shared" si="1"/>
        <v>9483.0649576271171</v>
      </c>
      <c r="X57" s="175">
        <f t="shared" si="2"/>
        <v>73045.8</v>
      </c>
      <c r="AB57" s="185"/>
      <c r="AC57" s="175"/>
      <c r="AD57" s="175"/>
      <c r="AE57" s="175"/>
      <c r="AF57" s="179"/>
      <c r="AP57" s="18"/>
      <c r="AQ57" s="18"/>
    </row>
    <row r="58" spans="21:43" x14ac:dyDescent="0.25">
      <c r="U58" s="183">
        <f t="shared" si="0"/>
        <v>44617</v>
      </c>
      <c r="V58" s="18">
        <f xml:space="preserve"> SUMIFS(MainData[ExtendedPrice], MainData[Date], U58, MainData[Category], "Beverage", MainData[Pricing], "&lt;&gt;"&amp;"*Adjust*", MainData[Pricing], "&lt;&gt;"&amp;"*LY*", MainData[BillTo], IF('YTD Revenue'!$AJ$14="Yes", "Hotel", "999999")) +
   SUMIFS(MainData[ExtendedPrice], MainData[Date], U58, MainData[Category], "Beverage", MainData[Pricing], "&lt;&gt;"&amp;"*Adjust*", MainData[Pricing], "&lt;&gt;"&amp;"*LY*", MainData[BillTo], IF('YTD Revenue'!$AJ$33="Yes", "EPO", "999999")) +
   SUMIFS(MainData[ExtendedPrice], MainData[Date], U58, MainData[Category], "Beverage", MainData[Pricing], "&lt;&gt;"&amp;"*Adjust*", MainData[Pricing], "&lt;&gt;"&amp;"*LY*", MainData[BillTo], IF('YTD Revenue'!$AJ$52="Yes", "Group", "999999")) -
   SUMIFS(MainData[ExtendedPrice], MainData[Date], U58,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16993</v>
      </c>
      <c r="W58" s="175">
        <f t="shared" si="1"/>
        <v>9483.0649576271171</v>
      </c>
      <c r="X58" s="175">
        <f t="shared" si="2"/>
        <v>73045.8</v>
      </c>
      <c r="AP58" s="18"/>
      <c r="AQ58" s="18"/>
    </row>
    <row r="59" spans="21:43" x14ac:dyDescent="0.25">
      <c r="U59" s="183">
        <f t="shared" si="0"/>
        <v>44618</v>
      </c>
      <c r="V59" s="18">
        <f xml:space="preserve"> SUMIFS(MainData[ExtendedPrice], MainData[Date], U59, MainData[Category], "Beverage", MainData[Pricing], "&lt;&gt;"&amp;"*Adjust*", MainData[Pricing], "&lt;&gt;"&amp;"*LY*", MainData[BillTo], IF('YTD Revenue'!$AJ$14="Yes", "Hotel", "999999")) +
   SUMIFS(MainData[ExtendedPrice], MainData[Date], U59, MainData[Category], "Beverage", MainData[Pricing], "&lt;&gt;"&amp;"*Adjust*", MainData[Pricing], "&lt;&gt;"&amp;"*LY*", MainData[BillTo], IF('YTD Revenue'!$AJ$33="Yes", "EPO", "999999")) +
   SUMIFS(MainData[ExtendedPrice], MainData[Date], U59, MainData[Category], "Beverage", MainData[Pricing], "&lt;&gt;"&amp;"*Adjust*", MainData[Pricing], "&lt;&gt;"&amp;"*LY*", MainData[BillTo], IF('YTD Revenue'!$AJ$52="Yes", "Group", "999999")) -
   SUMIFS(MainData[ExtendedPrice], MainData[Date], U59,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9" s="175">
        <f t="shared" si="1"/>
        <v>9483.0649576271171</v>
      </c>
      <c r="X59" s="175">
        <f t="shared" si="2"/>
        <v>73045.8</v>
      </c>
      <c r="AP59" s="18"/>
      <c r="AQ59" s="18"/>
    </row>
    <row r="60" spans="21:43" x14ac:dyDescent="0.25">
      <c r="U60" s="183">
        <f t="shared" si="0"/>
        <v>44619</v>
      </c>
      <c r="V60" s="18">
        <f xml:space="preserve"> SUMIFS(MainData[ExtendedPrice], MainData[Date], U60, MainData[Category], "Beverage", MainData[Pricing], "&lt;&gt;"&amp;"*Adjust*", MainData[Pricing], "&lt;&gt;"&amp;"*LY*", MainData[BillTo], IF('YTD Revenue'!$AJ$14="Yes", "Hotel", "999999")) +
   SUMIFS(MainData[ExtendedPrice], MainData[Date], U60, MainData[Category], "Beverage", MainData[Pricing], "&lt;&gt;"&amp;"*Adjust*", MainData[Pricing], "&lt;&gt;"&amp;"*LY*", MainData[BillTo], IF('YTD Revenue'!$AJ$33="Yes", "EPO", "999999")) +
   SUMIFS(MainData[ExtendedPrice], MainData[Date], U60, MainData[Category], "Beverage", MainData[Pricing], "&lt;&gt;"&amp;"*Adjust*", MainData[Pricing], "&lt;&gt;"&amp;"*LY*", MainData[BillTo], IF('YTD Revenue'!$AJ$52="Yes", "Group", "999999")) -
   SUMIFS(MainData[ExtendedPrice], MainData[Date], U60,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6500</v>
      </c>
      <c r="W60" s="175">
        <f t="shared" si="1"/>
        <v>9483.0649576271171</v>
      </c>
      <c r="X60" s="175">
        <f t="shared" si="2"/>
        <v>73045.8</v>
      </c>
      <c r="AP60" s="18"/>
      <c r="AQ60" s="18"/>
    </row>
    <row r="61" spans="21:43" x14ac:dyDescent="0.25">
      <c r="U61" s="183">
        <f t="shared" si="0"/>
        <v>44620</v>
      </c>
      <c r="V61" s="18">
        <f xml:space="preserve"> SUMIFS(MainData[ExtendedPrice], MainData[Date], U61, MainData[Category], "Beverage", MainData[Pricing], "&lt;&gt;"&amp;"*Adjust*", MainData[Pricing], "&lt;&gt;"&amp;"*LY*", MainData[BillTo], IF('YTD Revenue'!$AJ$14="Yes", "Hotel", "999999")) +
   SUMIFS(MainData[ExtendedPrice], MainData[Date], U61, MainData[Category], "Beverage", MainData[Pricing], "&lt;&gt;"&amp;"*Adjust*", MainData[Pricing], "&lt;&gt;"&amp;"*LY*", MainData[BillTo], IF('YTD Revenue'!$AJ$33="Yes", "EPO", "999999")) +
   SUMIFS(MainData[ExtendedPrice], MainData[Date], U61, MainData[Category], "Beverage", MainData[Pricing], "&lt;&gt;"&amp;"*Adjust*", MainData[Pricing], "&lt;&gt;"&amp;"*LY*", MainData[BillTo], IF('YTD Revenue'!$AJ$52="Yes", "Group", "999999")) -
   SUMIFS(MainData[ExtendedPrice], MainData[Date], U61,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1" s="175">
        <f t="shared" si="1"/>
        <v>9483.0649576271171</v>
      </c>
      <c r="X61" s="175">
        <f t="shared" si="2"/>
        <v>73045.8</v>
      </c>
      <c r="Z61" s="187" t="s">
        <v>313</v>
      </c>
      <c r="AP61" s="18"/>
      <c r="AQ61" s="18"/>
    </row>
    <row r="62" spans="21:43" x14ac:dyDescent="0.25">
      <c r="U62" s="183">
        <f t="shared" si="0"/>
        <v>44621</v>
      </c>
      <c r="V62" s="18">
        <f xml:space="preserve"> SUMIFS(MainData[ExtendedPrice], MainData[Date], U62, MainData[Category], "Beverage", MainData[Pricing], "&lt;&gt;"&amp;"*Adjust*", MainData[Pricing], "&lt;&gt;"&amp;"*LY*", MainData[BillTo], IF('YTD Revenue'!$AJ$14="Yes", "Hotel", "999999")) +
   SUMIFS(MainData[ExtendedPrice], MainData[Date], U62, MainData[Category], "Beverage", MainData[Pricing], "&lt;&gt;"&amp;"*Adjust*", MainData[Pricing], "&lt;&gt;"&amp;"*LY*", MainData[BillTo], IF('YTD Revenue'!$AJ$33="Yes", "EPO", "999999")) +
   SUMIFS(MainData[ExtendedPrice], MainData[Date], U62, MainData[Category], "Beverage", MainData[Pricing], "&lt;&gt;"&amp;"*Adjust*", MainData[Pricing], "&lt;&gt;"&amp;"*LY*", MainData[BillTo], IF('YTD Revenue'!$AJ$52="Yes", "Group", "999999")) -
   SUMIFS(MainData[ExtendedPrice], MainData[Date], U62,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2" s="175">
        <f t="shared" si="1"/>
        <v>9483.0649576271171</v>
      </c>
      <c r="X62" s="175">
        <f t="shared" si="2"/>
        <v>73045.8</v>
      </c>
      <c r="Z62" s="190" t="s">
        <v>112</v>
      </c>
      <c r="AA62" s="190" t="s">
        <v>299</v>
      </c>
      <c r="AB62" s="190" t="s">
        <v>323</v>
      </c>
      <c r="AC62" s="190" t="s">
        <v>299</v>
      </c>
      <c r="AD62" s="190" t="s">
        <v>82</v>
      </c>
      <c r="AE62" s="190" t="s">
        <v>0</v>
      </c>
      <c r="AF62" s="190" t="s">
        <v>36</v>
      </c>
      <c r="AG62" s="190" t="s">
        <v>25</v>
      </c>
      <c r="AH62" s="190" t="s">
        <v>35</v>
      </c>
      <c r="AI62" s="190" t="s">
        <v>24</v>
      </c>
      <c r="AJ62" s="190" t="s">
        <v>299</v>
      </c>
      <c r="AK62" s="190" t="s">
        <v>93</v>
      </c>
      <c r="AL62" s="190" t="s">
        <v>300</v>
      </c>
      <c r="AM62" s="190" t="s">
        <v>3</v>
      </c>
      <c r="AN62" s="192" t="s">
        <v>20</v>
      </c>
      <c r="AO62" s="191"/>
      <c r="AP62" s="191"/>
      <c r="AQ62" s="191"/>
    </row>
    <row r="63" spans="21:43" x14ac:dyDescent="0.25">
      <c r="U63" s="183">
        <f t="shared" si="0"/>
        <v>44622</v>
      </c>
      <c r="V63" s="18">
        <f xml:space="preserve"> SUMIFS(MainData[ExtendedPrice], MainData[Date], U63, MainData[Category], "Beverage", MainData[Pricing], "&lt;&gt;"&amp;"*Adjust*", MainData[Pricing], "&lt;&gt;"&amp;"*LY*", MainData[BillTo], IF('YTD Revenue'!$AJ$14="Yes", "Hotel", "999999")) +
   SUMIFS(MainData[ExtendedPrice], MainData[Date], U63, MainData[Category], "Beverage", MainData[Pricing], "&lt;&gt;"&amp;"*Adjust*", MainData[Pricing], "&lt;&gt;"&amp;"*LY*", MainData[BillTo], IF('YTD Revenue'!$AJ$33="Yes", "EPO", "999999")) +
   SUMIFS(MainData[ExtendedPrice], MainData[Date], U63, MainData[Category], "Beverage", MainData[Pricing], "&lt;&gt;"&amp;"*Adjust*", MainData[Pricing], "&lt;&gt;"&amp;"*LY*", MainData[BillTo], IF('YTD Revenue'!$AJ$52="Yes", "Group", "999999")) -
   SUMIFS(MainData[ExtendedPrice], MainData[Date], U63,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3" s="175">
        <f t="shared" si="1"/>
        <v>9483.0649576271171</v>
      </c>
      <c r="X63" s="175">
        <f t="shared" si="2"/>
        <v>73045.8</v>
      </c>
      <c r="Z63" s="188" cm="1">
        <f t="array" ref="Z63">INDEX(BeverageCost[],MATCH(LARGE(IF(IF(BeverageCost[BillTo]="Group",IF('YTD Revenue'!$AJ$52="Yes",1,0),0)+IF(BeverageCost[BillTo]="EPO",IF('YTD Revenue'!$AJ$33="Yes",1,0),0)+IF(BeverageCost[BillTo]="Hotel",IF('YTD Revenue'!$AJ$14="Yes",1,0),0)=0,0,1)*BeverageCost[Impact],10),IF(IF(BeverageCost[BillTo]="Group",IF('YTD Revenue'!$AJ$52="Yes",1,0),0)+IF(BeverageCost[BillTo]="EPO",IF('YTD Revenue'!$AJ$33="Yes",1,0),0)+IF(BeverageCost[BillTo]="Hotel",IF('YTD Revenue'!$AJ$14="Yes",1,0),0)=0,0,1)*BeverageCost[Impact],0),1)</f>
        <v>111</v>
      </c>
      <c r="AA63" s="18">
        <f>0.1*MAX($AK$63:$AK$72)</f>
        <v>623.49600000000009</v>
      </c>
      <c r="AB63" s="174" t="str">
        <f t="shared" ref="AB63:AB72" si="4">IF(AL63&gt;=$AD$26, "▲", "▼")</f>
        <v>▼</v>
      </c>
      <c r="AC63" s="18">
        <f>0.3*MAX($AK$63:$AK$72)</f>
        <v>1870.4879999999998</v>
      </c>
      <c r="AD63" s="184">
        <f>VLOOKUP($Z63,BeverageCost[],3,FALSE)</f>
        <v>689552</v>
      </c>
      <c r="AE63" s="183">
        <f>VLOOKUP($Z63,BeverageCost[],2,FALSE)</f>
        <v>44617</v>
      </c>
      <c r="AF63" s="175">
        <f>VLOOKUP($Z63,BeverageCost[],12,FALSE)</f>
        <v>244.13</v>
      </c>
      <c r="AG63" s="175">
        <f>VLOOKUP($Z63,BeverageCost[],13,FALSE)</f>
        <v>670</v>
      </c>
      <c r="AH63" s="175">
        <f>VLOOKUP($Z63,BeverageCost[],14,FALSE)</f>
        <v>480</v>
      </c>
      <c r="AI63" s="175">
        <f>VLOOKUP($Z63,BeverageCost[],15,FALSE)</f>
        <v>50</v>
      </c>
      <c r="AJ63" s="18">
        <v>1</v>
      </c>
      <c r="AK63" s="175">
        <f>SUM(AF63:AI63)</f>
        <v>1444.13</v>
      </c>
      <c r="AL63" s="176">
        <f>VLOOKUP($Z63,BeverageCost[],25,FALSE)</f>
        <v>8.4983816865768266E-2</v>
      </c>
      <c r="AM63" s="176">
        <f>VLOOKUP($Z63,BeverageCost[],27,FALSE)</f>
        <v>2.5203780575812663E-2</v>
      </c>
      <c r="AN63" s="175" t="str">
        <f>VLOOKUP($Z63,BeverageCost[],5,FALSE)</f>
        <v>Rainbow Bridge Vetinary Clinics</v>
      </c>
      <c r="AP63" s="18"/>
      <c r="AQ63" s="18"/>
    </row>
    <row r="64" spans="21:43" x14ac:dyDescent="0.25">
      <c r="U64" s="183">
        <f t="shared" si="0"/>
        <v>44623</v>
      </c>
      <c r="V64" s="18">
        <f xml:space="preserve"> SUMIFS(MainData[ExtendedPrice], MainData[Date], U64, MainData[Category], "Beverage", MainData[Pricing], "&lt;&gt;"&amp;"*Adjust*", MainData[Pricing], "&lt;&gt;"&amp;"*LY*", MainData[BillTo], IF('YTD Revenue'!$AJ$14="Yes", "Hotel", "999999")) +
   SUMIFS(MainData[ExtendedPrice], MainData[Date], U64, MainData[Category], "Beverage", MainData[Pricing], "&lt;&gt;"&amp;"*Adjust*", MainData[Pricing], "&lt;&gt;"&amp;"*LY*", MainData[BillTo], IF('YTD Revenue'!$AJ$33="Yes", "EPO", "999999")) +
   SUMIFS(MainData[ExtendedPrice], MainData[Date], U64, MainData[Category], "Beverage", MainData[Pricing], "&lt;&gt;"&amp;"*Adjust*", MainData[Pricing], "&lt;&gt;"&amp;"*LY*", MainData[BillTo], IF('YTD Revenue'!$AJ$52="Yes", "Group", "999999")) -
   SUMIFS(MainData[ExtendedPrice], MainData[Date], U64,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4" s="175">
        <f t="shared" si="1"/>
        <v>9483.0649576271171</v>
      </c>
      <c r="X64" s="175">
        <f t="shared" si="2"/>
        <v>73045.8</v>
      </c>
      <c r="Z64" s="188" cm="1">
        <f t="array" ref="Z64">INDEX(BeverageCost[],MATCH(LARGE(IF(IF(BeverageCost[BillTo]="Group",IF('YTD Revenue'!$AJ$52="Yes",1,0),0)+IF(BeverageCost[BillTo]="EPO",IF('YTD Revenue'!$AJ$33="Yes",1,0),0)+IF(BeverageCost[BillTo]="Hotel",IF('YTD Revenue'!$AJ$14="Yes",1,0),0)=0,0,1)*BeverageCost[Impact],9),IF(IF(BeverageCost[BillTo]="Group",IF('YTD Revenue'!$AJ$52="Yes",1,0),0)+IF(BeverageCost[BillTo]="EPO",IF('YTD Revenue'!$AJ$33="Yes",1,0),0)+IF(BeverageCost[BillTo]="Hotel",IF('YTD Revenue'!$AJ$14="Yes",1,0),0)=0,0,1)*BeverageCost[Impact],0),1)</f>
        <v>60</v>
      </c>
      <c r="AA64" s="18">
        <f>AA63</f>
        <v>623.49600000000009</v>
      </c>
      <c r="AB64" s="174" t="str">
        <f t="shared" si="4"/>
        <v>▼</v>
      </c>
      <c r="AC64" s="18">
        <f>AC63</f>
        <v>1870.4879999999998</v>
      </c>
      <c r="AD64" s="184">
        <f>VLOOKUP($Z64,BeverageCost[],3,FALSE)</f>
        <v>417768</v>
      </c>
      <c r="AE64" s="183">
        <f>VLOOKUP($Z64,BeverageCost[],2,FALSE)</f>
        <v>44597</v>
      </c>
      <c r="AF64" s="175">
        <f>VLOOKUP($Z64,BeverageCost[],12,FALSE)</f>
        <v>541.35</v>
      </c>
      <c r="AG64" s="175">
        <f>VLOOKUP($Z64,BeverageCost[],13,FALSE)</f>
        <v>525</v>
      </c>
      <c r="AH64" s="175">
        <f>VLOOKUP($Z64,BeverageCost[],14,FALSE)</f>
        <v>370</v>
      </c>
      <c r="AI64" s="175">
        <f>VLOOKUP($Z64,BeverageCost[],15,FALSE)</f>
        <v>45</v>
      </c>
      <c r="AJ64" s="18">
        <v>1</v>
      </c>
      <c r="AK64" s="175">
        <f t="shared" ref="AK64:AK72" si="5">SUM(AF64:AI64)</f>
        <v>1481.35</v>
      </c>
      <c r="AL64" s="176">
        <f>VLOOKUP($Z64,BeverageCost[],25,FALSE)</f>
        <v>8.8973710606451928E-2</v>
      </c>
      <c r="AM64" s="176">
        <f>VLOOKUP($Z64,BeverageCost[],27,FALSE)</f>
        <v>2.5853365248267181E-2</v>
      </c>
      <c r="AN64" s="175" t="str">
        <f>VLOOKUP($Z64,BeverageCost[],5,FALSE)</f>
        <v>Whee R Broke Financial Co.</v>
      </c>
      <c r="AP64" s="18"/>
      <c r="AQ64" s="18"/>
    </row>
    <row r="65" spans="21:43" x14ac:dyDescent="0.25">
      <c r="U65" s="183">
        <f t="shared" si="0"/>
        <v>44624</v>
      </c>
      <c r="V65" s="18">
        <f xml:space="preserve"> SUMIFS(MainData[ExtendedPrice], MainData[Date], U65, MainData[Category], "Beverage", MainData[Pricing], "&lt;&gt;"&amp;"*Adjust*", MainData[Pricing], "&lt;&gt;"&amp;"*LY*", MainData[BillTo], IF('YTD Revenue'!$AJ$14="Yes", "Hotel", "999999")) +
   SUMIFS(MainData[ExtendedPrice], MainData[Date], U65, MainData[Category], "Beverage", MainData[Pricing], "&lt;&gt;"&amp;"*Adjust*", MainData[Pricing], "&lt;&gt;"&amp;"*LY*", MainData[BillTo], IF('YTD Revenue'!$AJ$33="Yes", "EPO", "999999")) +
   SUMIFS(MainData[ExtendedPrice], MainData[Date], U65, MainData[Category], "Beverage", MainData[Pricing], "&lt;&gt;"&amp;"*Adjust*", MainData[Pricing], "&lt;&gt;"&amp;"*LY*", MainData[BillTo], IF('YTD Revenue'!$AJ$52="Yes", "Group", "999999")) -
   SUMIFS(MainData[ExtendedPrice], MainData[Date], U65,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5" s="175">
        <f t="shared" si="1"/>
        <v>9483.0649576271171</v>
      </c>
      <c r="X65" s="175">
        <f t="shared" si="2"/>
        <v>73045.8</v>
      </c>
      <c r="Z65" s="188" cm="1">
        <f t="array" ref="Z65">INDEX(BeverageCost[],MATCH(LARGE(IF(IF(BeverageCost[BillTo]="Group",IF('YTD Revenue'!$AJ$52="Yes",1,0),0)+IF(BeverageCost[BillTo]="EPO",IF('YTD Revenue'!$AJ$33="Yes",1,0),0)+IF(BeverageCost[BillTo]="Hotel",IF('YTD Revenue'!$AJ$14="Yes",1,0),0)=0,0,1)*BeverageCost[Impact],8),IF(IF(BeverageCost[BillTo]="Group",IF('YTD Revenue'!$AJ$52="Yes",1,0),0)+IF(BeverageCost[BillTo]="EPO",IF('YTD Revenue'!$AJ$33="Yes",1,0),0)+IF(BeverageCost[BillTo]="Hotel",IF('YTD Revenue'!$AJ$14="Yes",1,0),0)=0,0,1)*BeverageCost[Impact],0),1)</f>
        <v>87</v>
      </c>
      <c r="AA65" s="18">
        <f t="shared" ref="AA65:AA72" si="6">AA64</f>
        <v>623.49600000000009</v>
      </c>
      <c r="AB65" s="174" t="str">
        <f t="shared" si="4"/>
        <v>▼</v>
      </c>
      <c r="AC65" s="18">
        <f t="shared" ref="AC65:AC72" si="7">AC64</f>
        <v>1870.4879999999998</v>
      </c>
      <c r="AD65" s="184">
        <f>VLOOKUP($Z65,BeverageCost[],3,FALSE)</f>
        <v>877026</v>
      </c>
      <c r="AE65" s="183">
        <f>VLOOKUP($Z65,BeverageCost[],2,FALSE)</f>
        <v>44610</v>
      </c>
      <c r="AF65" s="175">
        <f>VLOOKUP($Z65,BeverageCost[],12,FALSE)</f>
        <v>0</v>
      </c>
      <c r="AG65" s="175">
        <f>VLOOKUP($Z65,BeverageCost[],13,FALSE)</f>
        <v>1030.95</v>
      </c>
      <c r="AH65" s="175">
        <f>VLOOKUP($Z65,BeverageCost[],14,FALSE)</f>
        <v>1200</v>
      </c>
      <c r="AI65" s="175">
        <f>VLOOKUP($Z65,BeverageCost[],15,FALSE)</f>
        <v>150</v>
      </c>
      <c r="AJ65" s="18">
        <v>1</v>
      </c>
      <c r="AK65" s="175">
        <f t="shared" si="5"/>
        <v>2380.9499999999998</v>
      </c>
      <c r="AL65" s="176">
        <f>VLOOKUP($Z65,BeverageCost[],25,FALSE)</f>
        <v>8.6692858339219775E-2</v>
      </c>
      <c r="AM65" s="176">
        <f>VLOOKUP($Z65,BeverageCost[],27,FALSE)</f>
        <v>4.1553697632471562E-2</v>
      </c>
      <c r="AN65" s="175" t="str">
        <f>VLOOKUP($Z65,BeverageCost[],5,FALSE)</f>
        <v>Innumerate Accounting Service</v>
      </c>
      <c r="AP65" s="18"/>
      <c r="AQ65" s="18"/>
    </row>
    <row r="66" spans="21:43" x14ac:dyDescent="0.25">
      <c r="U66" s="183">
        <f t="shared" si="0"/>
        <v>44625</v>
      </c>
      <c r="V66" s="18">
        <f xml:space="preserve"> SUMIFS(MainData[ExtendedPrice], MainData[Date], U66, MainData[Category], "Beverage", MainData[Pricing], "&lt;&gt;"&amp;"*Adjust*", MainData[Pricing], "&lt;&gt;"&amp;"*LY*", MainData[BillTo], IF('YTD Revenue'!$AJ$14="Yes", "Hotel", "999999")) +
   SUMIFS(MainData[ExtendedPrice], MainData[Date], U66, MainData[Category], "Beverage", MainData[Pricing], "&lt;&gt;"&amp;"*Adjust*", MainData[Pricing], "&lt;&gt;"&amp;"*LY*", MainData[BillTo], IF('YTD Revenue'!$AJ$33="Yes", "EPO", "999999")) +
   SUMIFS(MainData[ExtendedPrice], MainData[Date], U66, MainData[Category], "Beverage", MainData[Pricing], "&lt;&gt;"&amp;"*Adjust*", MainData[Pricing], "&lt;&gt;"&amp;"*LY*", MainData[BillTo], IF('YTD Revenue'!$AJ$52="Yes", "Group", "999999")) -
   SUMIFS(MainData[ExtendedPrice], MainData[Date], U66,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6" s="175">
        <f t="shared" si="1"/>
        <v>9483.0649576271171</v>
      </c>
      <c r="X66" s="175">
        <f t="shared" si="2"/>
        <v>73045.8</v>
      </c>
      <c r="Z66" s="188" cm="1">
        <f t="array" ref="Z66">INDEX(BeverageCost[],MATCH(LARGE(IF(IF(BeverageCost[BillTo]="Group",IF('YTD Revenue'!$AJ$52="Yes",1,0),0)+IF(BeverageCost[BillTo]="EPO",IF('YTD Revenue'!$AJ$33="Yes",1,0),0)+IF(BeverageCost[BillTo]="Hotel",IF('YTD Revenue'!$AJ$14="Yes",1,0),0)=0,0,1)*BeverageCost[Impact],7),IF(IF(BeverageCost[BillTo]="Group",IF('YTD Revenue'!$AJ$52="Yes",1,0),0)+IF(BeverageCost[BillTo]="EPO",IF('YTD Revenue'!$AJ$33="Yes",1,0),0)+IF(BeverageCost[BillTo]="Hotel",IF('YTD Revenue'!$AJ$14="Yes",1,0),0)=0,0,1)*BeverageCost[Impact],0),1)</f>
        <v>21</v>
      </c>
      <c r="AA66" s="18">
        <f t="shared" si="6"/>
        <v>623.49600000000009</v>
      </c>
      <c r="AB66" s="174" t="str">
        <f t="shared" si="4"/>
        <v>▲</v>
      </c>
      <c r="AC66" s="18">
        <f t="shared" si="7"/>
        <v>1870.4879999999998</v>
      </c>
      <c r="AD66" s="184">
        <f>VLOOKUP($Z66,BeverageCost[],3,FALSE)</f>
        <v>217679</v>
      </c>
      <c r="AE66" s="183">
        <f>VLOOKUP($Z66,BeverageCost[],2,FALSE)</f>
        <v>44582</v>
      </c>
      <c r="AF66" s="175">
        <f>VLOOKUP($Z66,BeverageCost[],12,FALSE)</f>
        <v>1323.2</v>
      </c>
      <c r="AG66" s="175">
        <f>VLOOKUP($Z66,BeverageCost[],13,FALSE)</f>
        <v>1110</v>
      </c>
      <c r="AH66" s="175">
        <f>VLOOKUP($Z66,BeverageCost[],14,FALSE)</f>
        <v>890</v>
      </c>
      <c r="AI66" s="175">
        <f>VLOOKUP($Z66,BeverageCost[],15,FALSE)</f>
        <v>65</v>
      </c>
      <c r="AJ66" s="18">
        <v>1</v>
      </c>
      <c r="AK66" s="175">
        <f t="shared" si="5"/>
        <v>3388.2</v>
      </c>
      <c r="AL66" s="176">
        <f>VLOOKUP($Z66,BeverageCost[],25,FALSE)</f>
        <v>9.519744858924753E-2</v>
      </c>
      <c r="AM66" s="176">
        <f>VLOOKUP($Z66,BeverageCost[],27,FALSE)</f>
        <v>5.9132799226502088E-2</v>
      </c>
      <c r="AN66" s="175" t="str">
        <f>VLOOKUP($Z66,BeverageCost[],5,FALSE)</f>
        <v>Risky Business Risk Solutions</v>
      </c>
      <c r="AP66" s="18"/>
      <c r="AQ66" s="18"/>
    </row>
    <row r="67" spans="21:43" x14ac:dyDescent="0.25">
      <c r="U67" s="183">
        <f t="shared" si="0"/>
        <v>44626</v>
      </c>
      <c r="V67" s="18">
        <f xml:space="preserve"> SUMIFS(MainData[ExtendedPrice], MainData[Date], U67, MainData[Category], "Beverage", MainData[Pricing], "&lt;&gt;"&amp;"*Adjust*", MainData[Pricing], "&lt;&gt;"&amp;"*LY*", MainData[BillTo], IF('YTD Revenue'!$AJ$14="Yes", "Hotel", "999999")) +
   SUMIFS(MainData[ExtendedPrice], MainData[Date], U67, MainData[Category], "Beverage", MainData[Pricing], "&lt;&gt;"&amp;"*Adjust*", MainData[Pricing], "&lt;&gt;"&amp;"*LY*", MainData[BillTo], IF('YTD Revenue'!$AJ$33="Yes", "EPO", "999999")) +
   SUMIFS(MainData[ExtendedPrice], MainData[Date], U67, MainData[Category], "Beverage", MainData[Pricing], "&lt;&gt;"&amp;"*Adjust*", MainData[Pricing], "&lt;&gt;"&amp;"*LY*", MainData[BillTo], IF('YTD Revenue'!$AJ$52="Yes", "Group", "999999")) -
   SUMIFS(MainData[ExtendedPrice], MainData[Date], U67,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7" s="175">
        <f t="shared" si="1"/>
        <v>9483.0649576271171</v>
      </c>
      <c r="X67" s="175">
        <f t="shared" si="2"/>
        <v>73045.8</v>
      </c>
      <c r="Z67" s="188" cm="1">
        <f t="array" ref="Z67">INDEX(BeverageCost[],MATCH(LARGE(IF(IF(BeverageCost[BillTo]="Group",IF('YTD Revenue'!$AJ$52="Yes",1,0),0)+IF(BeverageCost[BillTo]="EPO",IF('YTD Revenue'!$AJ$33="Yes",1,0),0)+IF(BeverageCost[BillTo]="Hotel",IF('YTD Revenue'!$AJ$14="Yes",1,0),0)=0,0,1)*BeverageCost[Impact],6),IF(IF(BeverageCost[BillTo]="Group",IF('YTD Revenue'!$AJ$52="Yes",1,0),0)+IF(BeverageCost[BillTo]="EPO",IF('YTD Revenue'!$AJ$33="Yes",1,0),0)+IF(BeverageCost[BillTo]="Hotel",IF('YTD Revenue'!$AJ$14="Yes",1,0),0)=0,0,1)*BeverageCost[Impact],0),1)</f>
        <v>74</v>
      </c>
      <c r="AA67" s="18">
        <f t="shared" si="6"/>
        <v>623.49600000000009</v>
      </c>
      <c r="AB67" s="174" t="str">
        <f t="shared" si="4"/>
        <v>▼</v>
      </c>
      <c r="AC67" s="18">
        <f t="shared" si="7"/>
        <v>1870.4879999999998</v>
      </c>
      <c r="AD67" s="184">
        <f>VLOOKUP($Z67,BeverageCost[],3,FALSE)</f>
        <v>786465</v>
      </c>
      <c r="AE67" s="183">
        <f>VLOOKUP($Z67,BeverageCost[],2,FALSE)</f>
        <v>44602</v>
      </c>
      <c r="AF67" s="175">
        <f>VLOOKUP($Z67,BeverageCost[],12,FALSE)</f>
        <v>1321</v>
      </c>
      <c r="AG67" s="175">
        <f>VLOOKUP($Z67,BeverageCost[],13,FALSE)</f>
        <v>786</v>
      </c>
      <c r="AH67" s="175">
        <f>VLOOKUP($Z67,BeverageCost[],14,FALSE)</f>
        <v>1240</v>
      </c>
      <c r="AI67" s="175">
        <f>VLOOKUP($Z67,BeverageCost[],15,FALSE)</f>
        <v>45</v>
      </c>
      <c r="AJ67" s="18">
        <v>1</v>
      </c>
      <c r="AK67" s="175">
        <f t="shared" si="5"/>
        <v>3392</v>
      </c>
      <c r="AL67" s="176">
        <f>VLOOKUP($Z67,BeverageCost[],25,FALSE)</f>
        <v>8.941893509218693E-2</v>
      </c>
      <c r="AM67" s="176">
        <f>VLOOKUP($Z67,BeverageCost[],27,FALSE)</f>
        <v>5.919911899424328E-2</v>
      </c>
      <c r="AN67" s="175" t="str">
        <f>VLOOKUP($Z67,BeverageCost[],5,FALSE)</f>
        <v>Watts DePoint Pencil Manufacturing</v>
      </c>
      <c r="AP67" s="18"/>
      <c r="AQ67" s="18"/>
    </row>
    <row r="68" spans="21:43" x14ac:dyDescent="0.25">
      <c r="U68" s="183">
        <f t="shared" si="0"/>
        <v>44627</v>
      </c>
      <c r="V68" s="18">
        <f xml:space="preserve"> SUMIFS(MainData[ExtendedPrice], MainData[Date], U68, MainData[Category], "Beverage", MainData[Pricing], "&lt;&gt;"&amp;"*Adjust*", MainData[Pricing], "&lt;&gt;"&amp;"*LY*", MainData[BillTo], IF('YTD Revenue'!$AJ$14="Yes", "Hotel", "999999")) +
   SUMIFS(MainData[ExtendedPrice], MainData[Date], U68, MainData[Category], "Beverage", MainData[Pricing], "&lt;&gt;"&amp;"*Adjust*", MainData[Pricing], "&lt;&gt;"&amp;"*LY*", MainData[BillTo], IF('YTD Revenue'!$AJ$33="Yes", "EPO", "999999")) +
   SUMIFS(MainData[ExtendedPrice], MainData[Date], U68, MainData[Category], "Beverage", MainData[Pricing], "&lt;&gt;"&amp;"*Adjust*", MainData[Pricing], "&lt;&gt;"&amp;"*LY*", MainData[BillTo], IF('YTD Revenue'!$AJ$52="Yes", "Group", "999999")) -
   SUMIFS(MainData[ExtendedPrice], MainData[Date], U68,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8" s="175">
        <f t="shared" si="1"/>
        <v>9483.0649576271171</v>
      </c>
      <c r="X68" s="175">
        <f t="shared" si="2"/>
        <v>73045.8</v>
      </c>
      <c r="Z68" s="188" cm="1">
        <f t="array" ref="Z68">INDEX(BeverageCost[],MATCH(LARGE(IF(IF(BeverageCost[BillTo]="Group",IF('YTD Revenue'!$AJ$52="Yes",1,0),0)+IF(BeverageCost[BillTo]="EPO",IF('YTD Revenue'!$AJ$33="Yes",1,0),0)+IF(BeverageCost[BillTo]="Hotel",IF('YTD Revenue'!$AJ$14="Yes",1,0),0)=0,0,1)*BeverageCost[Impact],5),IF(IF(BeverageCost[BillTo]="Group",IF('YTD Revenue'!$AJ$52="Yes",1,0),0)+IF(BeverageCost[BillTo]="EPO",IF('YTD Revenue'!$AJ$33="Yes",1,0),0)+IF(BeverageCost[BillTo]="Hotel",IF('YTD Revenue'!$AJ$14="Yes",1,0),0)=0,0,1)*BeverageCost[Impact],0),1)</f>
        <v>28</v>
      </c>
      <c r="AA68" s="18">
        <f t="shared" si="6"/>
        <v>623.49600000000009</v>
      </c>
      <c r="AB68" s="174" t="str">
        <f t="shared" si="4"/>
        <v>▲</v>
      </c>
      <c r="AC68" s="18">
        <f t="shared" si="7"/>
        <v>1870.4879999999998</v>
      </c>
      <c r="AD68" s="184">
        <f>VLOOKUP($Z68,BeverageCost[],3,FALSE)</f>
        <v>440714</v>
      </c>
      <c r="AE68" s="183">
        <f>VLOOKUP($Z68,BeverageCost[],2,FALSE)</f>
        <v>44584</v>
      </c>
      <c r="AF68" s="175">
        <f>VLOOKUP($Z68,BeverageCost[],12,FALSE)</f>
        <v>1778.4</v>
      </c>
      <c r="AG68" s="175">
        <f>VLOOKUP($Z68,BeverageCost[],13,FALSE)</f>
        <v>1500</v>
      </c>
      <c r="AH68" s="175">
        <f>VLOOKUP($Z68,BeverageCost[],14,FALSE)</f>
        <v>120</v>
      </c>
      <c r="AI68" s="175">
        <f>VLOOKUP($Z68,BeverageCost[],15,FALSE)</f>
        <v>120</v>
      </c>
      <c r="AJ68" s="18">
        <v>1</v>
      </c>
      <c r="AK68" s="175">
        <f t="shared" si="5"/>
        <v>3518.4</v>
      </c>
      <c r="AL68" s="176">
        <f>VLOOKUP($Z68,BeverageCost[],25,FALSE)</f>
        <v>9.6321052654632755E-2</v>
      </c>
      <c r="AM68" s="176">
        <f>VLOOKUP($Z68,BeverageCost[],27,FALSE)</f>
        <v>6.1405123900160841E-2</v>
      </c>
      <c r="AN68" s="175" t="str">
        <f>VLOOKUP($Z68,BeverageCost[],5,FALSE)</f>
        <v>Risky Business Risk Solutions</v>
      </c>
      <c r="AP68" s="18"/>
      <c r="AQ68" s="18"/>
    </row>
    <row r="69" spans="21:43" x14ac:dyDescent="0.25">
      <c r="U69" s="183">
        <f t="shared" ref="U69:U132" si="8">U68+1</f>
        <v>44628</v>
      </c>
      <c r="V69" s="18">
        <f xml:space="preserve"> SUMIFS(MainData[ExtendedPrice], MainData[Date], U69, MainData[Category], "Beverage", MainData[Pricing], "&lt;&gt;"&amp;"*Adjust*", MainData[Pricing], "&lt;&gt;"&amp;"*LY*", MainData[BillTo], IF('YTD Revenue'!$AJ$14="Yes", "Hotel", "999999")) +
   SUMIFS(MainData[ExtendedPrice], MainData[Date], U69, MainData[Category], "Beverage", MainData[Pricing], "&lt;&gt;"&amp;"*Adjust*", MainData[Pricing], "&lt;&gt;"&amp;"*LY*", MainData[BillTo], IF('YTD Revenue'!$AJ$33="Yes", "EPO", "999999")) +
   SUMIFS(MainData[ExtendedPrice], MainData[Date], U69, MainData[Category], "Beverage", MainData[Pricing], "&lt;&gt;"&amp;"*Adjust*", MainData[Pricing], "&lt;&gt;"&amp;"*LY*", MainData[BillTo], IF('YTD Revenue'!$AJ$52="Yes", "Group", "999999")) -
   SUMIFS(MainData[ExtendedPrice], MainData[Date], U69,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9" s="175">
        <f t="shared" ref="W69:W132" si="9">W68</f>
        <v>9483.0649576271171</v>
      </c>
      <c r="X69" s="175">
        <f t="shared" ref="X69:X132" si="10">X68</f>
        <v>73045.8</v>
      </c>
      <c r="Z69" s="188" cm="1">
        <f t="array" ref="Z69">INDEX(BeverageCost[],MATCH(LARGE(IF(IF(BeverageCost[BillTo]="Group",IF('YTD Revenue'!$AJ$52="Yes",1,0),0)+IF(BeverageCost[BillTo]="EPO",IF('YTD Revenue'!$AJ$33="Yes",1,0),0)+IF(BeverageCost[BillTo]="Hotel",IF('YTD Revenue'!$AJ$14="Yes",1,0),0)=0,0,1)*BeverageCost[Impact],4),IF(IF(BeverageCost[BillTo]="Group",IF('YTD Revenue'!$AJ$52="Yes",1,0),0)+IF(BeverageCost[BillTo]="EPO",IF('YTD Revenue'!$AJ$33="Yes",1,0),0)+IF(BeverageCost[BillTo]="Hotel",IF('YTD Revenue'!$AJ$14="Yes",1,0),0)=0,0,1)*BeverageCost[Impact],0),1)</f>
        <v>2</v>
      </c>
      <c r="AA69" s="18">
        <f t="shared" si="6"/>
        <v>623.49600000000009</v>
      </c>
      <c r="AB69" s="174" t="str">
        <f t="shared" si="4"/>
        <v>▲</v>
      </c>
      <c r="AC69" s="18">
        <f t="shared" si="7"/>
        <v>1870.4879999999998</v>
      </c>
      <c r="AD69" s="184">
        <f>VLOOKUP($Z69,BeverageCost[],3,FALSE)</f>
        <v>764631</v>
      </c>
      <c r="AE69" s="183">
        <f>VLOOKUP($Z69,BeverageCost[],2,FALSE)</f>
        <v>44567</v>
      </c>
      <c r="AF69" s="175">
        <f>VLOOKUP($Z69,BeverageCost[],12,FALSE)</f>
        <v>1591.62</v>
      </c>
      <c r="AG69" s="175">
        <f>VLOOKUP($Z69,BeverageCost[],13,FALSE)</f>
        <v>1170.31</v>
      </c>
      <c r="AH69" s="175">
        <f>VLOOKUP($Z69,BeverageCost[],14,FALSE)</f>
        <v>1501</v>
      </c>
      <c r="AI69" s="175">
        <f>VLOOKUP($Z69,BeverageCost[],15,FALSE)</f>
        <v>418.32</v>
      </c>
      <c r="AJ69" s="18">
        <v>1</v>
      </c>
      <c r="AK69" s="175">
        <f t="shared" si="5"/>
        <v>4681.25</v>
      </c>
      <c r="AL69" s="176">
        <f>VLOOKUP($Z69,BeverageCost[],25,FALSE)</f>
        <v>9.6889693373743618E-2</v>
      </c>
      <c r="AM69" s="176">
        <f>VLOOKUP($Z69,BeverageCost[],27,FALSE)</f>
        <v>8.169984545748861E-2</v>
      </c>
      <c r="AN69" s="175" t="str">
        <f>VLOOKUP($Z69,BeverageCost[],5,FALSE)</f>
        <v>Dewey Cheatam &amp; Howe</v>
      </c>
      <c r="AP69" s="18"/>
      <c r="AQ69" s="18"/>
    </row>
    <row r="70" spans="21:43" x14ac:dyDescent="0.25">
      <c r="U70" s="183">
        <f t="shared" si="8"/>
        <v>44629</v>
      </c>
      <c r="V70" s="18">
        <f xml:space="preserve"> SUMIFS(MainData[ExtendedPrice], MainData[Date], U70, MainData[Category], "Beverage", MainData[Pricing], "&lt;&gt;"&amp;"*Adjust*", MainData[Pricing], "&lt;&gt;"&amp;"*LY*", MainData[BillTo], IF('YTD Revenue'!$AJ$14="Yes", "Hotel", "999999")) +
   SUMIFS(MainData[ExtendedPrice], MainData[Date], U70, MainData[Category], "Beverage", MainData[Pricing], "&lt;&gt;"&amp;"*Adjust*", MainData[Pricing], "&lt;&gt;"&amp;"*LY*", MainData[BillTo], IF('YTD Revenue'!$AJ$33="Yes", "EPO", "999999")) +
   SUMIFS(MainData[ExtendedPrice], MainData[Date], U70, MainData[Category], "Beverage", MainData[Pricing], "&lt;&gt;"&amp;"*Adjust*", MainData[Pricing], "&lt;&gt;"&amp;"*LY*", MainData[BillTo], IF('YTD Revenue'!$AJ$52="Yes", "Group", "999999")) -
   SUMIFS(MainData[ExtendedPrice], MainData[Date], U70,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0" s="175">
        <f t="shared" si="9"/>
        <v>9483.0649576271171</v>
      </c>
      <c r="X70" s="175">
        <f t="shared" si="10"/>
        <v>73045.8</v>
      </c>
      <c r="Z70" s="188" cm="1">
        <f t="array" ref="Z70">INDEX(BeverageCost[],MATCH(LARGE(IF(IF(BeverageCost[BillTo]="Group",IF('YTD Revenue'!$AJ$52="Yes",1,0),0)+IF(BeverageCost[BillTo]="EPO",IF('YTD Revenue'!$AJ$33="Yes",1,0),0)+IF(BeverageCost[BillTo]="Hotel",IF('YTD Revenue'!$AJ$14="Yes",1,0),0)=0,0,1)*BeverageCost[Impact],3),IF(IF(BeverageCost[BillTo]="Group",IF('YTD Revenue'!$AJ$52="Yes",1,0),0)+IF(BeverageCost[BillTo]="EPO",IF('YTD Revenue'!$AJ$33="Yes",1,0),0)+IF(BeverageCost[BillTo]="Hotel",IF('YTD Revenue'!$AJ$14="Yes",1,0),0)=0,0,1)*BeverageCost[Impact],0),1)</f>
        <v>16</v>
      </c>
      <c r="AA70" s="18">
        <f t="shared" si="6"/>
        <v>623.49600000000009</v>
      </c>
      <c r="AB70" s="174" t="str">
        <f t="shared" si="4"/>
        <v>▲</v>
      </c>
      <c r="AC70" s="18">
        <f t="shared" si="7"/>
        <v>1870.4879999999998</v>
      </c>
      <c r="AD70" s="184">
        <f>VLOOKUP($Z70,BeverageCost[],3,FALSE)</f>
        <v>689282</v>
      </c>
      <c r="AE70" s="183">
        <f>VLOOKUP($Z70,BeverageCost[],2,FALSE)</f>
        <v>44576</v>
      </c>
      <c r="AF70" s="175">
        <f>VLOOKUP($Z70,BeverageCost[],12,FALSE)</f>
        <v>2196.17</v>
      </c>
      <c r="AG70" s="175">
        <f>VLOOKUP($Z70,BeverageCost[],13,FALSE)</f>
        <v>1900</v>
      </c>
      <c r="AH70" s="175">
        <f>VLOOKUP($Z70,BeverageCost[],14,FALSE)</f>
        <v>525</v>
      </c>
      <c r="AI70" s="175">
        <f>VLOOKUP($Z70,BeverageCost[],15,FALSE)</f>
        <v>75</v>
      </c>
      <c r="AJ70" s="18">
        <v>1</v>
      </c>
      <c r="AK70" s="175">
        <f t="shared" si="5"/>
        <v>4696.17</v>
      </c>
      <c r="AL70" s="176">
        <f>VLOOKUP($Z70,BeverageCost[],25,FALSE)</f>
        <v>0.19450670974155071</v>
      </c>
      <c r="AM70" s="176">
        <f>VLOOKUP($Z70,BeverageCost[],27,FALSE)</f>
        <v>8.1960237808725078E-2</v>
      </c>
      <c r="AN70" s="175" t="str">
        <f>VLOOKUP($Z70,BeverageCost[],5,FALSE)</f>
        <v>Rolda Dice Investment Corp.</v>
      </c>
      <c r="AP70" s="18"/>
      <c r="AQ70" s="18"/>
    </row>
    <row r="71" spans="21:43" x14ac:dyDescent="0.25">
      <c r="U71" s="183">
        <f t="shared" si="8"/>
        <v>44630</v>
      </c>
      <c r="V71" s="18">
        <f xml:space="preserve"> SUMIFS(MainData[ExtendedPrice], MainData[Date], U71, MainData[Category], "Beverage", MainData[Pricing], "&lt;&gt;"&amp;"*Adjust*", MainData[Pricing], "&lt;&gt;"&amp;"*LY*", MainData[BillTo], IF('YTD Revenue'!$AJ$14="Yes", "Hotel", "999999")) +
   SUMIFS(MainData[ExtendedPrice], MainData[Date], U71, MainData[Category], "Beverage", MainData[Pricing], "&lt;&gt;"&amp;"*Adjust*", MainData[Pricing], "&lt;&gt;"&amp;"*LY*", MainData[BillTo], IF('YTD Revenue'!$AJ$33="Yes", "EPO", "999999")) +
   SUMIFS(MainData[ExtendedPrice], MainData[Date], U71, MainData[Category], "Beverage", MainData[Pricing], "&lt;&gt;"&amp;"*Adjust*", MainData[Pricing], "&lt;&gt;"&amp;"*LY*", MainData[BillTo], IF('YTD Revenue'!$AJ$52="Yes", "Group", "999999")) -
   SUMIFS(MainData[ExtendedPrice], MainData[Date], U71,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1" s="175">
        <f t="shared" si="9"/>
        <v>9483.0649576271171</v>
      </c>
      <c r="X71" s="175">
        <f t="shared" si="10"/>
        <v>73045.8</v>
      </c>
      <c r="Z71" s="188" cm="1">
        <f t="array" ref="Z71">INDEX(BeverageCost[],MATCH(LARGE(IF(IF(BeverageCost[BillTo]="Group",IF('YTD Revenue'!$AJ$52="Yes",1,0),0)+IF(BeverageCost[BillTo]="EPO",IF('YTD Revenue'!$AJ$33="Yes",1,0),0)+IF(BeverageCost[BillTo]="Hotel",IF('YTD Revenue'!$AJ$14="Yes",1,0),0)=0,0,1)*BeverageCost[Impact],2),IF(IF(BeverageCost[BillTo]="Group",IF('YTD Revenue'!$AJ$52="Yes",1,0),0)+IF(BeverageCost[BillTo]="EPO",IF('YTD Revenue'!$AJ$33="Yes",1,0),0)+IF(BeverageCost[BillTo]="Hotel",IF('YTD Revenue'!$AJ$14="Yes",1,0),0)=0,0,1)*BeverageCost[Impact],0),1)</f>
        <v>47</v>
      </c>
      <c r="AA71" s="18">
        <f t="shared" si="6"/>
        <v>623.49600000000009</v>
      </c>
      <c r="AB71" s="174" t="str">
        <f t="shared" si="4"/>
        <v>▲</v>
      </c>
      <c r="AC71" s="18">
        <f t="shared" si="7"/>
        <v>1870.4879999999998</v>
      </c>
      <c r="AD71" s="184">
        <f>VLOOKUP($Z71,BeverageCost[],3,FALSE)</f>
        <v>831154</v>
      </c>
      <c r="AE71" s="183">
        <f>VLOOKUP($Z71,BeverageCost[],2,FALSE)</f>
        <v>44590</v>
      </c>
      <c r="AF71" s="175">
        <f>VLOOKUP($Z71,BeverageCost[],12,FALSE)</f>
        <v>3340.03</v>
      </c>
      <c r="AG71" s="175">
        <f>VLOOKUP($Z71,BeverageCost[],13,FALSE)</f>
        <v>490</v>
      </c>
      <c r="AH71" s="175">
        <f>VLOOKUP($Z71,BeverageCost[],14,FALSE)</f>
        <v>1125</v>
      </c>
      <c r="AI71" s="175">
        <f>VLOOKUP($Z71,BeverageCost[],15,FALSE)</f>
        <v>55</v>
      </c>
      <c r="AJ71" s="18">
        <v>1</v>
      </c>
      <c r="AK71" s="175">
        <f t="shared" si="5"/>
        <v>5010.0300000000007</v>
      </c>
      <c r="AL71" s="176">
        <f>VLOOKUP($Z71,BeverageCost[],25,FALSE)</f>
        <v>0.16232075166045684</v>
      </c>
      <c r="AM71" s="176">
        <f>VLOOKUP($Z71,BeverageCost[],27,FALSE)</f>
        <v>8.7437901572738425E-2</v>
      </c>
      <c r="AN71" s="175" t="str">
        <f>VLOOKUP($Z71,BeverageCost[],5,FALSE)</f>
        <v>Corncobb Hygenic Products</v>
      </c>
      <c r="AP71" s="18"/>
      <c r="AQ71" s="18"/>
    </row>
    <row r="72" spans="21:43" x14ac:dyDescent="0.25">
      <c r="U72" s="183">
        <f t="shared" si="8"/>
        <v>44631</v>
      </c>
      <c r="V72" s="18">
        <f xml:space="preserve"> SUMIFS(MainData[ExtendedPrice], MainData[Date], U72, MainData[Category], "Beverage", MainData[Pricing], "&lt;&gt;"&amp;"*Adjust*", MainData[Pricing], "&lt;&gt;"&amp;"*LY*", MainData[BillTo], IF('YTD Revenue'!$AJ$14="Yes", "Hotel", "999999")) +
   SUMIFS(MainData[ExtendedPrice], MainData[Date], U72, MainData[Category], "Beverage", MainData[Pricing], "&lt;&gt;"&amp;"*Adjust*", MainData[Pricing], "&lt;&gt;"&amp;"*LY*", MainData[BillTo], IF('YTD Revenue'!$AJ$33="Yes", "EPO", "999999")) +
   SUMIFS(MainData[ExtendedPrice], MainData[Date], U72, MainData[Category], "Beverage", MainData[Pricing], "&lt;&gt;"&amp;"*Adjust*", MainData[Pricing], "&lt;&gt;"&amp;"*LY*", MainData[BillTo], IF('YTD Revenue'!$AJ$52="Yes", "Group", "999999")) -
   SUMIFS(MainData[ExtendedPrice], MainData[Date], U72,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2" s="175">
        <f t="shared" si="9"/>
        <v>9483.0649576271171</v>
      </c>
      <c r="X72" s="175">
        <f t="shared" si="10"/>
        <v>73045.8</v>
      </c>
      <c r="Z72" s="188" cm="1">
        <f t="array" ref="Z72">INDEX(BeverageCost[],MATCH(LARGE(IF(IF(BeverageCost[BillTo]="Group",IF('YTD Revenue'!$AJ$52="Yes",1,0),0)+IF(BeverageCost[BillTo]="EPO",IF('YTD Revenue'!$AJ$33="Yes",1,0),0)+IF(BeverageCost[BillTo]="Hotel",IF('YTD Revenue'!$AJ$14="Yes",1,0),0)=0,0,1)*BeverageCost[Impact],1),IF(IF(BeverageCost[BillTo]="Group",IF('YTD Revenue'!$AJ$52="Yes",1,0),0)+IF(BeverageCost[BillTo]="EPO",IF('YTD Revenue'!$AJ$33="Yes",1,0),0)+IF(BeverageCost[BillTo]="Hotel",IF('YTD Revenue'!$AJ$14="Yes",1,0),0)=0,0,1)*BeverageCost[Impact],0),1)</f>
        <v>82</v>
      </c>
      <c r="AA72" s="18">
        <f t="shared" si="6"/>
        <v>623.49600000000009</v>
      </c>
      <c r="AB72" s="174" t="str">
        <f t="shared" si="4"/>
        <v>▲</v>
      </c>
      <c r="AC72" s="18">
        <f t="shared" si="7"/>
        <v>1870.4879999999998</v>
      </c>
      <c r="AD72" s="184">
        <f>VLOOKUP($Z72,BeverageCost[],3,FALSE)</f>
        <v>481908</v>
      </c>
      <c r="AE72" s="183">
        <f>VLOOKUP($Z72,BeverageCost[],2,FALSE)</f>
        <v>44604</v>
      </c>
      <c r="AF72" s="175">
        <f>VLOOKUP($Z72,BeverageCost[],12,FALSE)</f>
        <v>2409.96</v>
      </c>
      <c r="AG72" s="175">
        <f>VLOOKUP($Z72,BeverageCost[],13,FALSE)</f>
        <v>1650</v>
      </c>
      <c r="AH72" s="175">
        <f>VLOOKUP($Z72,BeverageCost[],14,FALSE)</f>
        <v>1900</v>
      </c>
      <c r="AI72" s="175">
        <f>VLOOKUP($Z72,BeverageCost[],15,FALSE)</f>
        <v>275</v>
      </c>
      <c r="AJ72" s="18">
        <v>1</v>
      </c>
      <c r="AK72" s="175">
        <f t="shared" si="5"/>
        <v>6234.96</v>
      </c>
      <c r="AL72" s="176">
        <f>VLOOKUP($Z72,BeverageCost[],25,FALSE)</f>
        <v>9.4897856679725667E-2</v>
      </c>
      <c r="AM72" s="176">
        <f>VLOOKUP($Z72,BeverageCost[],27,FALSE)</f>
        <v>0.10881607870411177</v>
      </c>
      <c r="AN72" s="175" t="str">
        <f>VLOOKUP($Z72,BeverageCost[],5,FALSE)</f>
        <v>Watts DePoint Pencil Manufacturing</v>
      </c>
      <c r="AP72" s="18"/>
      <c r="AQ72" s="18"/>
    </row>
    <row r="73" spans="21:43" x14ac:dyDescent="0.25">
      <c r="U73" s="183">
        <f t="shared" si="8"/>
        <v>44632</v>
      </c>
      <c r="V73" s="18">
        <f xml:space="preserve"> SUMIFS(MainData[ExtendedPrice], MainData[Date], U73, MainData[Category], "Beverage", MainData[Pricing], "&lt;&gt;"&amp;"*Adjust*", MainData[Pricing], "&lt;&gt;"&amp;"*LY*", MainData[BillTo], IF('YTD Revenue'!$AJ$14="Yes", "Hotel", "999999")) +
   SUMIFS(MainData[ExtendedPrice], MainData[Date], U73, MainData[Category], "Beverage", MainData[Pricing], "&lt;&gt;"&amp;"*Adjust*", MainData[Pricing], "&lt;&gt;"&amp;"*LY*", MainData[BillTo], IF('YTD Revenue'!$AJ$33="Yes", "EPO", "999999")) +
   SUMIFS(MainData[ExtendedPrice], MainData[Date], U73, MainData[Category], "Beverage", MainData[Pricing], "&lt;&gt;"&amp;"*Adjust*", MainData[Pricing], "&lt;&gt;"&amp;"*LY*", MainData[BillTo], IF('YTD Revenue'!$AJ$52="Yes", "Group", "999999")) -
   SUMIFS(MainData[ExtendedPrice], MainData[Date], U73,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3" s="175">
        <f t="shared" si="9"/>
        <v>9483.0649576271171</v>
      </c>
      <c r="X73" s="175">
        <f t="shared" si="10"/>
        <v>73045.8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83">
        <f t="shared" si="8"/>
        <v>44633</v>
      </c>
      <c r="V74" s="18">
        <f xml:space="preserve"> SUMIFS(MainData[ExtendedPrice], MainData[Date], U74, MainData[Category], "Beverage", MainData[Pricing], "&lt;&gt;"&amp;"*Adjust*", MainData[Pricing], "&lt;&gt;"&amp;"*LY*", MainData[BillTo], IF('YTD Revenue'!$AJ$14="Yes", "Hotel", "999999")) +
   SUMIFS(MainData[ExtendedPrice], MainData[Date], U74, MainData[Category], "Beverage", MainData[Pricing], "&lt;&gt;"&amp;"*Adjust*", MainData[Pricing], "&lt;&gt;"&amp;"*LY*", MainData[BillTo], IF('YTD Revenue'!$AJ$33="Yes", "EPO", "999999")) +
   SUMIFS(MainData[ExtendedPrice], MainData[Date], U74, MainData[Category], "Beverage", MainData[Pricing], "&lt;&gt;"&amp;"*Adjust*", MainData[Pricing], "&lt;&gt;"&amp;"*LY*", MainData[BillTo], IF('YTD Revenue'!$AJ$52="Yes", "Group", "999999")) -
   SUMIFS(MainData[ExtendedPrice], MainData[Date], U74,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4" s="175">
        <f t="shared" si="9"/>
        <v>9483.0649576271171</v>
      </c>
      <c r="X74" s="175">
        <f t="shared" si="10"/>
        <v>73045.8</v>
      </c>
    </row>
    <row r="75" spans="21:43" x14ac:dyDescent="0.25">
      <c r="U75" s="183">
        <f t="shared" si="8"/>
        <v>44634</v>
      </c>
      <c r="V75" s="18">
        <f xml:space="preserve"> SUMIFS(MainData[ExtendedPrice], MainData[Date], U75, MainData[Category], "Beverage", MainData[Pricing], "&lt;&gt;"&amp;"*Adjust*", MainData[Pricing], "&lt;&gt;"&amp;"*LY*", MainData[BillTo], IF('YTD Revenue'!$AJ$14="Yes", "Hotel", "999999")) +
   SUMIFS(MainData[ExtendedPrice], MainData[Date], U75, MainData[Category], "Beverage", MainData[Pricing], "&lt;&gt;"&amp;"*Adjust*", MainData[Pricing], "&lt;&gt;"&amp;"*LY*", MainData[BillTo], IF('YTD Revenue'!$AJ$33="Yes", "EPO", "999999")) +
   SUMIFS(MainData[ExtendedPrice], MainData[Date], U75, MainData[Category], "Beverage", MainData[Pricing], "&lt;&gt;"&amp;"*Adjust*", MainData[Pricing], "&lt;&gt;"&amp;"*LY*", MainData[BillTo], IF('YTD Revenue'!$AJ$52="Yes", "Group", "999999")) -
   SUMIFS(MainData[ExtendedPrice], MainData[Date], U75,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5" s="175">
        <f t="shared" si="9"/>
        <v>9483.0649576271171</v>
      </c>
      <c r="X75" s="175">
        <f t="shared" si="10"/>
        <v>73045.8</v>
      </c>
    </row>
    <row r="76" spans="21:43" x14ac:dyDescent="0.25">
      <c r="U76" s="183">
        <f t="shared" si="8"/>
        <v>44635</v>
      </c>
      <c r="V76" s="18">
        <f xml:space="preserve"> SUMIFS(MainData[ExtendedPrice], MainData[Date], U76, MainData[Category], "Beverage", MainData[Pricing], "&lt;&gt;"&amp;"*Adjust*", MainData[Pricing], "&lt;&gt;"&amp;"*LY*", MainData[BillTo], IF('YTD Revenue'!$AJ$14="Yes", "Hotel", "999999")) +
   SUMIFS(MainData[ExtendedPrice], MainData[Date], U76, MainData[Category], "Beverage", MainData[Pricing], "&lt;&gt;"&amp;"*Adjust*", MainData[Pricing], "&lt;&gt;"&amp;"*LY*", MainData[BillTo], IF('YTD Revenue'!$AJ$33="Yes", "EPO", "999999")) +
   SUMIFS(MainData[ExtendedPrice], MainData[Date], U76, MainData[Category], "Beverage", MainData[Pricing], "&lt;&gt;"&amp;"*Adjust*", MainData[Pricing], "&lt;&gt;"&amp;"*LY*", MainData[BillTo], IF('YTD Revenue'!$AJ$52="Yes", "Group", "999999")) -
   SUMIFS(MainData[ExtendedPrice], MainData[Date], U76,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6" s="175">
        <f t="shared" si="9"/>
        <v>9483.0649576271171</v>
      </c>
      <c r="X76" s="175">
        <f t="shared" si="10"/>
        <v>73045.8</v>
      </c>
    </row>
    <row r="77" spans="21:43" x14ac:dyDescent="0.25">
      <c r="U77" s="183">
        <f t="shared" si="8"/>
        <v>44636</v>
      </c>
      <c r="V77" s="18">
        <f xml:space="preserve"> SUMIFS(MainData[ExtendedPrice], MainData[Date], U77, MainData[Category], "Beverage", MainData[Pricing], "&lt;&gt;"&amp;"*Adjust*", MainData[Pricing], "&lt;&gt;"&amp;"*LY*", MainData[BillTo], IF('YTD Revenue'!$AJ$14="Yes", "Hotel", "999999")) +
   SUMIFS(MainData[ExtendedPrice], MainData[Date], U77, MainData[Category], "Beverage", MainData[Pricing], "&lt;&gt;"&amp;"*Adjust*", MainData[Pricing], "&lt;&gt;"&amp;"*LY*", MainData[BillTo], IF('YTD Revenue'!$AJ$33="Yes", "EPO", "999999")) +
   SUMIFS(MainData[ExtendedPrice], MainData[Date], U77, MainData[Category], "Beverage", MainData[Pricing], "&lt;&gt;"&amp;"*Adjust*", MainData[Pricing], "&lt;&gt;"&amp;"*LY*", MainData[BillTo], IF('YTD Revenue'!$AJ$52="Yes", "Group", "999999")) -
   SUMIFS(MainData[ExtendedPrice], MainData[Date], U77,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7" s="175">
        <f t="shared" si="9"/>
        <v>9483.0649576271171</v>
      </c>
      <c r="X77" s="175">
        <f t="shared" si="10"/>
        <v>73045.8</v>
      </c>
    </row>
    <row r="78" spans="21:43" x14ac:dyDescent="0.25">
      <c r="U78" s="183">
        <f t="shared" si="8"/>
        <v>44637</v>
      </c>
      <c r="V78" s="18">
        <f xml:space="preserve"> SUMIFS(MainData[ExtendedPrice], MainData[Date], U78, MainData[Category], "Beverage", MainData[Pricing], "&lt;&gt;"&amp;"*Adjust*", MainData[Pricing], "&lt;&gt;"&amp;"*LY*", MainData[BillTo], IF('YTD Revenue'!$AJ$14="Yes", "Hotel", "999999")) +
   SUMIFS(MainData[ExtendedPrice], MainData[Date], U78, MainData[Category], "Beverage", MainData[Pricing], "&lt;&gt;"&amp;"*Adjust*", MainData[Pricing], "&lt;&gt;"&amp;"*LY*", MainData[BillTo], IF('YTD Revenue'!$AJ$33="Yes", "EPO", "999999")) +
   SUMIFS(MainData[ExtendedPrice], MainData[Date], U78, MainData[Category], "Beverage", MainData[Pricing], "&lt;&gt;"&amp;"*Adjust*", MainData[Pricing], "&lt;&gt;"&amp;"*LY*", MainData[BillTo], IF('YTD Revenue'!$AJ$52="Yes", "Group", "999999")) -
   SUMIFS(MainData[ExtendedPrice], MainData[Date], U78,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8" s="175">
        <f t="shared" si="9"/>
        <v>9483.0649576271171</v>
      </c>
      <c r="X78" s="175">
        <f t="shared" si="10"/>
        <v>73045.8</v>
      </c>
    </row>
    <row r="79" spans="21:43" x14ac:dyDescent="0.25">
      <c r="U79" s="183">
        <f t="shared" si="8"/>
        <v>44638</v>
      </c>
      <c r="V79" s="18">
        <f xml:space="preserve"> SUMIFS(MainData[ExtendedPrice], MainData[Date], U79, MainData[Category], "Beverage", MainData[Pricing], "&lt;&gt;"&amp;"*Adjust*", MainData[Pricing], "&lt;&gt;"&amp;"*LY*", MainData[BillTo], IF('YTD Revenue'!$AJ$14="Yes", "Hotel", "999999")) +
   SUMIFS(MainData[ExtendedPrice], MainData[Date], U79, MainData[Category], "Beverage", MainData[Pricing], "&lt;&gt;"&amp;"*Adjust*", MainData[Pricing], "&lt;&gt;"&amp;"*LY*", MainData[BillTo], IF('YTD Revenue'!$AJ$33="Yes", "EPO", "999999")) +
   SUMIFS(MainData[ExtendedPrice], MainData[Date], U79, MainData[Category], "Beverage", MainData[Pricing], "&lt;&gt;"&amp;"*Adjust*", MainData[Pricing], "&lt;&gt;"&amp;"*LY*", MainData[BillTo], IF('YTD Revenue'!$AJ$52="Yes", "Group", "999999")) -
   SUMIFS(MainData[ExtendedPrice], MainData[Date], U79,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9" s="175">
        <f t="shared" si="9"/>
        <v>9483.0649576271171</v>
      </c>
      <c r="X79" s="175">
        <f t="shared" si="10"/>
        <v>73045.8</v>
      </c>
    </row>
    <row r="80" spans="21:43" x14ac:dyDescent="0.25">
      <c r="U80" s="183">
        <f t="shared" si="8"/>
        <v>44639</v>
      </c>
      <c r="V80" s="18">
        <f xml:space="preserve"> SUMIFS(MainData[ExtendedPrice], MainData[Date], U80, MainData[Category], "Beverage", MainData[Pricing], "&lt;&gt;"&amp;"*Adjust*", MainData[Pricing], "&lt;&gt;"&amp;"*LY*", MainData[BillTo], IF('YTD Revenue'!$AJ$14="Yes", "Hotel", "999999")) +
   SUMIFS(MainData[ExtendedPrice], MainData[Date], U80, MainData[Category], "Beverage", MainData[Pricing], "&lt;&gt;"&amp;"*Adjust*", MainData[Pricing], "&lt;&gt;"&amp;"*LY*", MainData[BillTo], IF('YTD Revenue'!$AJ$33="Yes", "EPO", "999999")) +
   SUMIFS(MainData[ExtendedPrice], MainData[Date], U80, MainData[Category], "Beverage", MainData[Pricing], "&lt;&gt;"&amp;"*Adjust*", MainData[Pricing], "&lt;&gt;"&amp;"*LY*", MainData[BillTo], IF('YTD Revenue'!$AJ$52="Yes", "Group", "999999")) -
   SUMIFS(MainData[ExtendedPrice], MainData[Date], U80,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0" s="175">
        <f t="shared" si="9"/>
        <v>9483.0649576271171</v>
      </c>
      <c r="X80" s="175">
        <f t="shared" si="10"/>
        <v>73045.8</v>
      </c>
    </row>
    <row r="81" spans="21:24" x14ac:dyDescent="0.25">
      <c r="U81" s="183">
        <f t="shared" si="8"/>
        <v>44640</v>
      </c>
      <c r="V81" s="18">
        <f xml:space="preserve"> SUMIFS(MainData[ExtendedPrice], MainData[Date], U81, MainData[Category], "Beverage", MainData[Pricing], "&lt;&gt;"&amp;"*Adjust*", MainData[Pricing], "&lt;&gt;"&amp;"*LY*", MainData[BillTo], IF('YTD Revenue'!$AJ$14="Yes", "Hotel", "999999")) +
   SUMIFS(MainData[ExtendedPrice], MainData[Date], U81, MainData[Category], "Beverage", MainData[Pricing], "&lt;&gt;"&amp;"*Adjust*", MainData[Pricing], "&lt;&gt;"&amp;"*LY*", MainData[BillTo], IF('YTD Revenue'!$AJ$33="Yes", "EPO", "999999")) +
   SUMIFS(MainData[ExtendedPrice], MainData[Date], U81, MainData[Category], "Beverage", MainData[Pricing], "&lt;&gt;"&amp;"*Adjust*", MainData[Pricing], "&lt;&gt;"&amp;"*LY*", MainData[BillTo], IF('YTD Revenue'!$AJ$52="Yes", "Group", "999999")) -
   SUMIFS(MainData[ExtendedPrice], MainData[Date], U81,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1" s="175">
        <f t="shared" si="9"/>
        <v>9483.0649576271171</v>
      </c>
      <c r="X81" s="175">
        <f t="shared" si="10"/>
        <v>73045.8</v>
      </c>
    </row>
    <row r="82" spans="21:24" x14ac:dyDescent="0.25">
      <c r="U82" s="183">
        <f t="shared" si="8"/>
        <v>44641</v>
      </c>
      <c r="V82" s="18">
        <f xml:space="preserve"> SUMIFS(MainData[ExtendedPrice], MainData[Date], U82, MainData[Category], "Beverage", MainData[Pricing], "&lt;&gt;"&amp;"*Adjust*", MainData[Pricing], "&lt;&gt;"&amp;"*LY*", MainData[BillTo], IF('YTD Revenue'!$AJ$14="Yes", "Hotel", "999999")) +
   SUMIFS(MainData[ExtendedPrice], MainData[Date], U82, MainData[Category], "Beverage", MainData[Pricing], "&lt;&gt;"&amp;"*Adjust*", MainData[Pricing], "&lt;&gt;"&amp;"*LY*", MainData[BillTo], IF('YTD Revenue'!$AJ$33="Yes", "EPO", "999999")) +
   SUMIFS(MainData[ExtendedPrice], MainData[Date], U82, MainData[Category], "Beverage", MainData[Pricing], "&lt;&gt;"&amp;"*Adjust*", MainData[Pricing], "&lt;&gt;"&amp;"*LY*", MainData[BillTo], IF('YTD Revenue'!$AJ$52="Yes", "Group", "999999")) -
   SUMIFS(MainData[ExtendedPrice], MainData[Date], U82,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2" s="175">
        <f t="shared" si="9"/>
        <v>9483.0649576271171</v>
      </c>
      <c r="X82" s="175">
        <f t="shared" si="10"/>
        <v>73045.8</v>
      </c>
    </row>
    <row r="83" spans="21:24" x14ac:dyDescent="0.25">
      <c r="U83" s="183">
        <f t="shared" si="8"/>
        <v>44642</v>
      </c>
      <c r="V83" s="18">
        <f xml:space="preserve"> SUMIFS(MainData[ExtendedPrice], MainData[Date], U83, MainData[Category], "Beverage", MainData[Pricing], "&lt;&gt;"&amp;"*Adjust*", MainData[Pricing], "&lt;&gt;"&amp;"*LY*", MainData[BillTo], IF('YTD Revenue'!$AJ$14="Yes", "Hotel", "999999")) +
   SUMIFS(MainData[ExtendedPrice], MainData[Date], U83, MainData[Category], "Beverage", MainData[Pricing], "&lt;&gt;"&amp;"*Adjust*", MainData[Pricing], "&lt;&gt;"&amp;"*LY*", MainData[BillTo], IF('YTD Revenue'!$AJ$33="Yes", "EPO", "999999")) +
   SUMIFS(MainData[ExtendedPrice], MainData[Date], U83, MainData[Category], "Beverage", MainData[Pricing], "&lt;&gt;"&amp;"*Adjust*", MainData[Pricing], "&lt;&gt;"&amp;"*LY*", MainData[BillTo], IF('YTD Revenue'!$AJ$52="Yes", "Group", "999999")) -
   SUMIFS(MainData[ExtendedPrice], MainData[Date], U83,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3" s="175">
        <f t="shared" si="9"/>
        <v>9483.0649576271171</v>
      </c>
      <c r="X83" s="175">
        <f t="shared" si="10"/>
        <v>73045.8</v>
      </c>
    </row>
    <row r="84" spans="21:24" x14ac:dyDescent="0.25">
      <c r="U84" s="183">
        <f t="shared" si="8"/>
        <v>44643</v>
      </c>
      <c r="V84" s="18">
        <f xml:space="preserve"> SUMIFS(MainData[ExtendedPrice], MainData[Date], U84, MainData[Category], "Beverage", MainData[Pricing], "&lt;&gt;"&amp;"*Adjust*", MainData[Pricing], "&lt;&gt;"&amp;"*LY*", MainData[BillTo], IF('YTD Revenue'!$AJ$14="Yes", "Hotel", "999999")) +
   SUMIFS(MainData[ExtendedPrice], MainData[Date], U84, MainData[Category], "Beverage", MainData[Pricing], "&lt;&gt;"&amp;"*Adjust*", MainData[Pricing], "&lt;&gt;"&amp;"*LY*", MainData[BillTo], IF('YTD Revenue'!$AJ$33="Yes", "EPO", "999999")) +
   SUMIFS(MainData[ExtendedPrice], MainData[Date], U84, MainData[Category], "Beverage", MainData[Pricing], "&lt;&gt;"&amp;"*Adjust*", MainData[Pricing], "&lt;&gt;"&amp;"*LY*", MainData[BillTo], IF('YTD Revenue'!$AJ$52="Yes", "Group", "999999")) -
   SUMIFS(MainData[ExtendedPrice], MainData[Date], U84,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4" s="175">
        <f t="shared" si="9"/>
        <v>9483.0649576271171</v>
      </c>
      <c r="X84" s="175">
        <f t="shared" si="10"/>
        <v>73045.8</v>
      </c>
    </row>
    <row r="85" spans="21:24" x14ac:dyDescent="0.25">
      <c r="U85" s="183">
        <f t="shared" si="8"/>
        <v>44644</v>
      </c>
      <c r="V85" s="18">
        <f xml:space="preserve"> SUMIFS(MainData[ExtendedPrice], MainData[Date], U85, MainData[Category], "Beverage", MainData[Pricing], "&lt;&gt;"&amp;"*Adjust*", MainData[Pricing], "&lt;&gt;"&amp;"*LY*", MainData[BillTo], IF('YTD Revenue'!$AJ$14="Yes", "Hotel", "999999")) +
   SUMIFS(MainData[ExtendedPrice], MainData[Date], U85, MainData[Category], "Beverage", MainData[Pricing], "&lt;&gt;"&amp;"*Adjust*", MainData[Pricing], "&lt;&gt;"&amp;"*LY*", MainData[BillTo], IF('YTD Revenue'!$AJ$33="Yes", "EPO", "999999")) +
   SUMIFS(MainData[ExtendedPrice], MainData[Date], U85, MainData[Category], "Beverage", MainData[Pricing], "&lt;&gt;"&amp;"*Adjust*", MainData[Pricing], "&lt;&gt;"&amp;"*LY*", MainData[BillTo], IF('YTD Revenue'!$AJ$52="Yes", "Group", "999999")) -
   SUMIFS(MainData[ExtendedPrice], MainData[Date], U85,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5" s="175">
        <f t="shared" si="9"/>
        <v>9483.0649576271171</v>
      </c>
      <c r="X85" s="175">
        <f t="shared" si="10"/>
        <v>73045.8</v>
      </c>
    </row>
    <row r="86" spans="21:24" x14ac:dyDescent="0.25">
      <c r="U86" s="183">
        <f t="shared" si="8"/>
        <v>44645</v>
      </c>
      <c r="V86" s="18">
        <f xml:space="preserve"> SUMIFS(MainData[ExtendedPrice], MainData[Date], U86, MainData[Category], "Beverage", MainData[Pricing], "&lt;&gt;"&amp;"*Adjust*", MainData[Pricing], "&lt;&gt;"&amp;"*LY*", MainData[BillTo], IF('YTD Revenue'!$AJ$14="Yes", "Hotel", "999999")) +
   SUMIFS(MainData[ExtendedPrice], MainData[Date], U86, MainData[Category], "Beverage", MainData[Pricing], "&lt;&gt;"&amp;"*Adjust*", MainData[Pricing], "&lt;&gt;"&amp;"*LY*", MainData[BillTo], IF('YTD Revenue'!$AJ$33="Yes", "EPO", "999999")) +
   SUMIFS(MainData[ExtendedPrice], MainData[Date], U86, MainData[Category], "Beverage", MainData[Pricing], "&lt;&gt;"&amp;"*Adjust*", MainData[Pricing], "&lt;&gt;"&amp;"*LY*", MainData[BillTo], IF('YTD Revenue'!$AJ$52="Yes", "Group", "999999")) -
   SUMIFS(MainData[ExtendedPrice], MainData[Date], U86,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6" s="175">
        <f t="shared" si="9"/>
        <v>9483.0649576271171</v>
      </c>
      <c r="X86" s="175">
        <f t="shared" si="10"/>
        <v>73045.8</v>
      </c>
    </row>
    <row r="87" spans="21:24" x14ac:dyDescent="0.25">
      <c r="U87" s="183">
        <f t="shared" si="8"/>
        <v>44646</v>
      </c>
      <c r="V87" s="18">
        <f xml:space="preserve"> SUMIFS(MainData[ExtendedPrice], MainData[Date], U87, MainData[Category], "Beverage", MainData[Pricing], "&lt;&gt;"&amp;"*Adjust*", MainData[Pricing], "&lt;&gt;"&amp;"*LY*", MainData[BillTo], IF('YTD Revenue'!$AJ$14="Yes", "Hotel", "999999")) +
   SUMIFS(MainData[ExtendedPrice], MainData[Date], U87, MainData[Category], "Beverage", MainData[Pricing], "&lt;&gt;"&amp;"*Adjust*", MainData[Pricing], "&lt;&gt;"&amp;"*LY*", MainData[BillTo], IF('YTD Revenue'!$AJ$33="Yes", "EPO", "999999")) +
   SUMIFS(MainData[ExtendedPrice], MainData[Date], U87, MainData[Category], "Beverage", MainData[Pricing], "&lt;&gt;"&amp;"*Adjust*", MainData[Pricing], "&lt;&gt;"&amp;"*LY*", MainData[BillTo], IF('YTD Revenue'!$AJ$52="Yes", "Group", "999999")) -
   SUMIFS(MainData[ExtendedPrice], MainData[Date], U87,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7" s="175">
        <f t="shared" si="9"/>
        <v>9483.0649576271171</v>
      </c>
      <c r="X87" s="175">
        <f t="shared" si="10"/>
        <v>73045.8</v>
      </c>
    </row>
    <row r="88" spans="21:24" x14ac:dyDescent="0.25">
      <c r="U88" s="183">
        <f t="shared" si="8"/>
        <v>44647</v>
      </c>
      <c r="V88" s="18">
        <f xml:space="preserve"> SUMIFS(MainData[ExtendedPrice], MainData[Date], U88, MainData[Category], "Beverage", MainData[Pricing], "&lt;&gt;"&amp;"*Adjust*", MainData[Pricing], "&lt;&gt;"&amp;"*LY*", MainData[BillTo], IF('YTD Revenue'!$AJ$14="Yes", "Hotel", "999999")) +
   SUMIFS(MainData[ExtendedPrice], MainData[Date], U88, MainData[Category], "Beverage", MainData[Pricing], "&lt;&gt;"&amp;"*Adjust*", MainData[Pricing], "&lt;&gt;"&amp;"*LY*", MainData[BillTo], IF('YTD Revenue'!$AJ$33="Yes", "EPO", "999999")) +
   SUMIFS(MainData[ExtendedPrice], MainData[Date], U88, MainData[Category], "Beverage", MainData[Pricing], "&lt;&gt;"&amp;"*Adjust*", MainData[Pricing], "&lt;&gt;"&amp;"*LY*", MainData[BillTo], IF('YTD Revenue'!$AJ$52="Yes", "Group", "999999")) -
   SUMIFS(MainData[ExtendedPrice], MainData[Date], U88,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8" s="175">
        <f t="shared" si="9"/>
        <v>9483.0649576271171</v>
      </c>
      <c r="X88" s="175">
        <f t="shared" si="10"/>
        <v>73045.8</v>
      </c>
    </row>
    <row r="89" spans="21:24" x14ac:dyDescent="0.25">
      <c r="U89" s="183">
        <f t="shared" si="8"/>
        <v>44648</v>
      </c>
      <c r="V89" s="18">
        <f xml:space="preserve"> SUMIFS(MainData[ExtendedPrice], MainData[Date], U89, MainData[Category], "Beverage", MainData[Pricing], "&lt;&gt;"&amp;"*Adjust*", MainData[Pricing], "&lt;&gt;"&amp;"*LY*", MainData[BillTo], IF('YTD Revenue'!$AJ$14="Yes", "Hotel", "999999")) +
   SUMIFS(MainData[ExtendedPrice], MainData[Date], U89, MainData[Category], "Beverage", MainData[Pricing], "&lt;&gt;"&amp;"*Adjust*", MainData[Pricing], "&lt;&gt;"&amp;"*LY*", MainData[BillTo], IF('YTD Revenue'!$AJ$33="Yes", "EPO", "999999")) +
   SUMIFS(MainData[ExtendedPrice], MainData[Date], U89, MainData[Category], "Beverage", MainData[Pricing], "&lt;&gt;"&amp;"*Adjust*", MainData[Pricing], "&lt;&gt;"&amp;"*LY*", MainData[BillTo], IF('YTD Revenue'!$AJ$52="Yes", "Group", "999999")) -
   SUMIFS(MainData[ExtendedPrice], MainData[Date], U89,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9" s="175">
        <f t="shared" si="9"/>
        <v>9483.0649576271171</v>
      </c>
      <c r="X89" s="175">
        <f t="shared" si="10"/>
        <v>73045.8</v>
      </c>
    </row>
    <row r="90" spans="21:24" x14ac:dyDescent="0.25">
      <c r="U90" s="183">
        <f t="shared" si="8"/>
        <v>44649</v>
      </c>
      <c r="V90" s="18">
        <f xml:space="preserve"> SUMIFS(MainData[ExtendedPrice], MainData[Date], U90, MainData[Category], "Beverage", MainData[Pricing], "&lt;&gt;"&amp;"*Adjust*", MainData[Pricing], "&lt;&gt;"&amp;"*LY*", MainData[BillTo], IF('YTD Revenue'!$AJ$14="Yes", "Hotel", "999999")) +
   SUMIFS(MainData[ExtendedPrice], MainData[Date], U90, MainData[Category], "Beverage", MainData[Pricing], "&lt;&gt;"&amp;"*Adjust*", MainData[Pricing], "&lt;&gt;"&amp;"*LY*", MainData[BillTo], IF('YTD Revenue'!$AJ$33="Yes", "EPO", "999999")) +
   SUMIFS(MainData[ExtendedPrice], MainData[Date], U90, MainData[Category], "Beverage", MainData[Pricing], "&lt;&gt;"&amp;"*Adjust*", MainData[Pricing], "&lt;&gt;"&amp;"*LY*", MainData[BillTo], IF('YTD Revenue'!$AJ$52="Yes", "Group", "999999")) -
   SUMIFS(MainData[ExtendedPrice], MainData[Date], U90,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0" s="175">
        <f t="shared" si="9"/>
        <v>9483.0649576271171</v>
      </c>
      <c r="X90" s="175">
        <f t="shared" si="10"/>
        <v>73045.8</v>
      </c>
    </row>
    <row r="91" spans="21:24" x14ac:dyDescent="0.25">
      <c r="U91" s="183">
        <f t="shared" si="8"/>
        <v>44650</v>
      </c>
      <c r="V91" s="18">
        <f xml:space="preserve"> SUMIFS(MainData[ExtendedPrice], MainData[Date], U91, MainData[Category], "Beverage", MainData[Pricing], "&lt;&gt;"&amp;"*Adjust*", MainData[Pricing], "&lt;&gt;"&amp;"*LY*", MainData[BillTo], IF('YTD Revenue'!$AJ$14="Yes", "Hotel", "999999")) +
   SUMIFS(MainData[ExtendedPrice], MainData[Date], U91, MainData[Category], "Beverage", MainData[Pricing], "&lt;&gt;"&amp;"*Adjust*", MainData[Pricing], "&lt;&gt;"&amp;"*LY*", MainData[BillTo], IF('YTD Revenue'!$AJ$33="Yes", "EPO", "999999")) +
   SUMIFS(MainData[ExtendedPrice], MainData[Date], U91, MainData[Category], "Beverage", MainData[Pricing], "&lt;&gt;"&amp;"*Adjust*", MainData[Pricing], "&lt;&gt;"&amp;"*LY*", MainData[BillTo], IF('YTD Revenue'!$AJ$52="Yes", "Group", "999999")) -
   SUMIFS(MainData[ExtendedPrice], MainData[Date], U91,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1" s="175">
        <f t="shared" si="9"/>
        <v>9483.0649576271171</v>
      </c>
      <c r="X91" s="175">
        <f t="shared" si="10"/>
        <v>73045.8</v>
      </c>
    </row>
    <row r="92" spans="21:24" x14ac:dyDescent="0.25">
      <c r="U92" s="183">
        <f t="shared" si="8"/>
        <v>44651</v>
      </c>
      <c r="V92" s="18">
        <f xml:space="preserve"> SUMIFS(MainData[ExtendedPrice], MainData[Date], U92, MainData[Category], "Beverage", MainData[Pricing], "&lt;&gt;"&amp;"*Adjust*", MainData[Pricing], "&lt;&gt;"&amp;"*LY*", MainData[BillTo], IF('YTD Revenue'!$AJ$14="Yes", "Hotel", "999999")) +
   SUMIFS(MainData[ExtendedPrice], MainData[Date], U92, MainData[Category], "Beverage", MainData[Pricing], "&lt;&gt;"&amp;"*Adjust*", MainData[Pricing], "&lt;&gt;"&amp;"*LY*", MainData[BillTo], IF('YTD Revenue'!$AJ$33="Yes", "EPO", "999999")) +
   SUMIFS(MainData[ExtendedPrice], MainData[Date], U92, MainData[Category], "Beverage", MainData[Pricing], "&lt;&gt;"&amp;"*Adjust*", MainData[Pricing], "&lt;&gt;"&amp;"*LY*", MainData[BillTo], IF('YTD Revenue'!$AJ$52="Yes", "Group", "999999")) -
   SUMIFS(MainData[ExtendedPrice], MainData[Date], U92,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2" s="175">
        <f t="shared" si="9"/>
        <v>9483.0649576271171</v>
      </c>
      <c r="X92" s="175">
        <f t="shared" si="10"/>
        <v>73045.8</v>
      </c>
    </row>
    <row r="93" spans="21:24" x14ac:dyDescent="0.25">
      <c r="U93" s="183">
        <f t="shared" si="8"/>
        <v>44652</v>
      </c>
      <c r="V93" s="18">
        <f xml:space="preserve"> SUMIFS(MainData[ExtendedPrice], MainData[Date], U93, MainData[Category], "Beverage", MainData[Pricing], "&lt;&gt;"&amp;"*Adjust*", MainData[Pricing], "&lt;&gt;"&amp;"*LY*", MainData[BillTo], IF('YTD Revenue'!$AJ$14="Yes", "Hotel", "999999")) +
   SUMIFS(MainData[ExtendedPrice], MainData[Date], U93, MainData[Category], "Beverage", MainData[Pricing], "&lt;&gt;"&amp;"*Adjust*", MainData[Pricing], "&lt;&gt;"&amp;"*LY*", MainData[BillTo], IF('YTD Revenue'!$AJ$33="Yes", "EPO", "999999")) +
   SUMIFS(MainData[ExtendedPrice], MainData[Date], U93, MainData[Category], "Beverage", MainData[Pricing], "&lt;&gt;"&amp;"*Adjust*", MainData[Pricing], "&lt;&gt;"&amp;"*LY*", MainData[BillTo], IF('YTD Revenue'!$AJ$52="Yes", "Group", "999999")) -
   SUMIFS(MainData[ExtendedPrice], MainData[Date], U93,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3" s="175">
        <f t="shared" si="9"/>
        <v>9483.0649576271171</v>
      </c>
      <c r="X93" s="175">
        <f t="shared" si="10"/>
        <v>73045.8</v>
      </c>
    </row>
    <row r="94" spans="21:24" x14ac:dyDescent="0.25">
      <c r="U94" s="183">
        <f t="shared" si="8"/>
        <v>44653</v>
      </c>
      <c r="V94" s="18">
        <f xml:space="preserve"> SUMIFS(MainData[ExtendedPrice], MainData[Date], U94, MainData[Category], "Beverage", MainData[Pricing], "&lt;&gt;"&amp;"*Adjust*", MainData[Pricing], "&lt;&gt;"&amp;"*LY*", MainData[BillTo], IF('YTD Revenue'!$AJ$14="Yes", "Hotel", "999999")) +
   SUMIFS(MainData[ExtendedPrice], MainData[Date], U94, MainData[Category], "Beverage", MainData[Pricing], "&lt;&gt;"&amp;"*Adjust*", MainData[Pricing], "&lt;&gt;"&amp;"*LY*", MainData[BillTo], IF('YTD Revenue'!$AJ$33="Yes", "EPO", "999999")) +
   SUMIFS(MainData[ExtendedPrice], MainData[Date], U94, MainData[Category], "Beverage", MainData[Pricing], "&lt;&gt;"&amp;"*Adjust*", MainData[Pricing], "&lt;&gt;"&amp;"*LY*", MainData[BillTo], IF('YTD Revenue'!$AJ$52="Yes", "Group", "999999")) -
   SUMIFS(MainData[ExtendedPrice], MainData[Date], U94,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4" s="175">
        <f t="shared" si="9"/>
        <v>9483.0649576271171</v>
      </c>
      <c r="X94" s="175">
        <f t="shared" si="10"/>
        <v>73045.8</v>
      </c>
    </row>
    <row r="95" spans="21:24" x14ac:dyDescent="0.25">
      <c r="U95" s="183">
        <f t="shared" si="8"/>
        <v>44654</v>
      </c>
      <c r="V95" s="18">
        <f xml:space="preserve"> SUMIFS(MainData[ExtendedPrice], MainData[Date], U95, MainData[Category], "Beverage", MainData[Pricing], "&lt;&gt;"&amp;"*Adjust*", MainData[Pricing], "&lt;&gt;"&amp;"*LY*", MainData[BillTo], IF('YTD Revenue'!$AJ$14="Yes", "Hotel", "999999")) +
   SUMIFS(MainData[ExtendedPrice], MainData[Date], U95, MainData[Category], "Beverage", MainData[Pricing], "&lt;&gt;"&amp;"*Adjust*", MainData[Pricing], "&lt;&gt;"&amp;"*LY*", MainData[BillTo], IF('YTD Revenue'!$AJ$33="Yes", "EPO", "999999")) +
   SUMIFS(MainData[ExtendedPrice], MainData[Date], U95, MainData[Category], "Beverage", MainData[Pricing], "&lt;&gt;"&amp;"*Adjust*", MainData[Pricing], "&lt;&gt;"&amp;"*LY*", MainData[BillTo], IF('YTD Revenue'!$AJ$52="Yes", "Group", "999999")) -
   SUMIFS(MainData[ExtendedPrice], MainData[Date], U95,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5" s="175">
        <f t="shared" si="9"/>
        <v>9483.0649576271171</v>
      </c>
      <c r="X95" s="175">
        <f t="shared" si="10"/>
        <v>73045.8</v>
      </c>
    </row>
    <row r="96" spans="21:24" x14ac:dyDescent="0.25">
      <c r="U96" s="183">
        <f t="shared" si="8"/>
        <v>44655</v>
      </c>
      <c r="V96" s="18">
        <f xml:space="preserve"> SUMIFS(MainData[ExtendedPrice], MainData[Date], U96, MainData[Category], "Beverage", MainData[Pricing], "&lt;&gt;"&amp;"*Adjust*", MainData[Pricing], "&lt;&gt;"&amp;"*LY*", MainData[BillTo], IF('YTD Revenue'!$AJ$14="Yes", "Hotel", "999999")) +
   SUMIFS(MainData[ExtendedPrice], MainData[Date], U96, MainData[Category], "Beverage", MainData[Pricing], "&lt;&gt;"&amp;"*Adjust*", MainData[Pricing], "&lt;&gt;"&amp;"*LY*", MainData[BillTo], IF('YTD Revenue'!$AJ$33="Yes", "EPO", "999999")) +
   SUMIFS(MainData[ExtendedPrice], MainData[Date], U96, MainData[Category], "Beverage", MainData[Pricing], "&lt;&gt;"&amp;"*Adjust*", MainData[Pricing], "&lt;&gt;"&amp;"*LY*", MainData[BillTo], IF('YTD Revenue'!$AJ$52="Yes", "Group", "999999")) -
   SUMIFS(MainData[ExtendedPrice], MainData[Date], U96,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6" s="175">
        <f t="shared" si="9"/>
        <v>9483.0649576271171</v>
      </c>
      <c r="X96" s="175">
        <f t="shared" si="10"/>
        <v>73045.8</v>
      </c>
    </row>
    <row r="97" spans="21:24" x14ac:dyDescent="0.25">
      <c r="U97" s="183">
        <f t="shared" si="8"/>
        <v>44656</v>
      </c>
      <c r="V97" s="18">
        <f xml:space="preserve"> SUMIFS(MainData[ExtendedPrice], MainData[Date], U97, MainData[Category], "Beverage", MainData[Pricing], "&lt;&gt;"&amp;"*Adjust*", MainData[Pricing], "&lt;&gt;"&amp;"*LY*", MainData[BillTo], IF('YTD Revenue'!$AJ$14="Yes", "Hotel", "999999")) +
   SUMIFS(MainData[ExtendedPrice], MainData[Date], U97, MainData[Category], "Beverage", MainData[Pricing], "&lt;&gt;"&amp;"*Adjust*", MainData[Pricing], "&lt;&gt;"&amp;"*LY*", MainData[BillTo], IF('YTD Revenue'!$AJ$33="Yes", "EPO", "999999")) +
   SUMIFS(MainData[ExtendedPrice], MainData[Date], U97, MainData[Category], "Beverage", MainData[Pricing], "&lt;&gt;"&amp;"*Adjust*", MainData[Pricing], "&lt;&gt;"&amp;"*LY*", MainData[BillTo], IF('YTD Revenue'!$AJ$52="Yes", "Group", "999999")) -
   SUMIFS(MainData[ExtendedPrice], MainData[Date], U97,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7" s="175">
        <f t="shared" si="9"/>
        <v>9483.0649576271171</v>
      </c>
      <c r="X97" s="175">
        <f t="shared" si="10"/>
        <v>73045.8</v>
      </c>
    </row>
    <row r="98" spans="21:24" x14ac:dyDescent="0.25">
      <c r="U98" s="183">
        <f t="shared" si="8"/>
        <v>44657</v>
      </c>
      <c r="V98" s="18">
        <f xml:space="preserve"> SUMIFS(MainData[ExtendedPrice], MainData[Date], U98, MainData[Category], "Beverage", MainData[Pricing], "&lt;&gt;"&amp;"*Adjust*", MainData[Pricing], "&lt;&gt;"&amp;"*LY*", MainData[BillTo], IF('YTD Revenue'!$AJ$14="Yes", "Hotel", "999999")) +
   SUMIFS(MainData[ExtendedPrice], MainData[Date], U98, MainData[Category], "Beverage", MainData[Pricing], "&lt;&gt;"&amp;"*Adjust*", MainData[Pricing], "&lt;&gt;"&amp;"*LY*", MainData[BillTo], IF('YTD Revenue'!$AJ$33="Yes", "EPO", "999999")) +
   SUMIFS(MainData[ExtendedPrice], MainData[Date], U98, MainData[Category], "Beverage", MainData[Pricing], "&lt;&gt;"&amp;"*Adjust*", MainData[Pricing], "&lt;&gt;"&amp;"*LY*", MainData[BillTo], IF('YTD Revenue'!$AJ$52="Yes", "Group", "999999")) -
   SUMIFS(MainData[ExtendedPrice], MainData[Date], U98,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8" s="175">
        <f t="shared" si="9"/>
        <v>9483.0649576271171</v>
      </c>
      <c r="X98" s="175">
        <f t="shared" si="10"/>
        <v>73045.8</v>
      </c>
    </row>
    <row r="99" spans="21:24" x14ac:dyDescent="0.25">
      <c r="U99" s="183">
        <f t="shared" si="8"/>
        <v>44658</v>
      </c>
      <c r="V99" s="18">
        <f xml:space="preserve"> SUMIFS(MainData[ExtendedPrice], MainData[Date], U99, MainData[Category], "Beverage", MainData[Pricing], "&lt;&gt;"&amp;"*Adjust*", MainData[Pricing], "&lt;&gt;"&amp;"*LY*", MainData[BillTo], IF('YTD Revenue'!$AJ$14="Yes", "Hotel", "999999")) +
   SUMIFS(MainData[ExtendedPrice], MainData[Date], U99, MainData[Category], "Beverage", MainData[Pricing], "&lt;&gt;"&amp;"*Adjust*", MainData[Pricing], "&lt;&gt;"&amp;"*LY*", MainData[BillTo], IF('YTD Revenue'!$AJ$33="Yes", "EPO", "999999")) +
   SUMIFS(MainData[ExtendedPrice], MainData[Date], U99, MainData[Category], "Beverage", MainData[Pricing], "&lt;&gt;"&amp;"*Adjust*", MainData[Pricing], "&lt;&gt;"&amp;"*LY*", MainData[BillTo], IF('YTD Revenue'!$AJ$52="Yes", "Group", "999999")) -
   SUMIFS(MainData[ExtendedPrice], MainData[Date], U99,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9" s="175">
        <f t="shared" si="9"/>
        <v>9483.0649576271171</v>
      </c>
      <c r="X99" s="175">
        <f t="shared" si="10"/>
        <v>73045.8</v>
      </c>
    </row>
    <row r="100" spans="21:24" x14ac:dyDescent="0.25">
      <c r="U100" s="183">
        <f t="shared" si="8"/>
        <v>44659</v>
      </c>
      <c r="V100" s="18">
        <f xml:space="preserve"> SUMIFS(MainData[ExtendedPrice], MainData[Date], U100, MainData[Category], "Beverage", MainData[Pricing], "&lt;&gt;"&amp;"*Adjust*", MainData[Pricing], "&lt;&gt;"&amp;"*LY*", MainData[BillTo], IF('YTD Revenue'!$AJ$14="Yes", "Hotel", "999999")) +
   SUMIFS(MainData[ExtendedPrice], MainData[Date], U100, MainData[Category], "Beverage", MainData[Pricing], "&lt;&gt;"&amp;"*Adjust*", MainData[Pricing], "&lt;&gt;"&amp;"*LY*", MainData[BillTo], IF('YTD Revenue'!$AJ$33="Yes", "EPO", "999999")) +
   SUMIFS(MainData[ExtendedPrice], MainData[Date], U100, MainData[Category], "Beverage", MainData[Pricing], "&lt;&gt;"&amp;"*Adjust*", MainData[Pricing], "&lt;&gt;"&amp;"*LY*", MainData[BillTo], IF('YTD Revenue'!$AJ$52="Yes", "Group", "999999")) -
   SUMIFS(MainData[ExtendedPrice], MainData[Date], U100,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0" s="175">
        <f t="shared" si="9"/>
        <v>9483.0649576271171</v>
      </c>
      <c r="X100" s="175">
        <f t="shared" si="10"/>
        <v>73045.8</v>
      </c>
    </row>
    <row r="101" spans="21:24" x14ac:dyDescent="0.25">
      <c r="U101" s="183">
        <f t="shared" si="8"/>
        <v>44660</v>
      </c>
      <c r="V101" s="18">
        <f xml:space="preserve"> SUMIFS(MainData[ExtendedPrice], MainData[Date], U101, MainData[Category], "Beverage", MainData[Pricing], "&lt;&gt;"&amp;"*Adjust*", MainData[Pricing], "&lt;&gt;"&amp;"*LY*", MainData[BillTo], IF('YTD Revenue'!$AJ$14="Yes", "Hotel", "999999")) +
   SUMIFS(MainData[ExtendedPrice], MainData[Date], U101, MainData[Category], "Beverage", MainData[Pricing], "&lt;&gt;"&amp;"*Adjust*", MainData[Pricing], "&lt;&gt;"&amp;"*LY*", MainData[BillTo], IF('YTD Revenue'!$AJ$33="Yes", "EPO", "999999")) +
   SUMIFS(MainData[ExtendedPrice], MainData[Date], U101, MainData[Category], "Beverage", MainData[Pricing], "&lt;&gt;"&amp;"*Adjust*", MainData[Pricing], "&lt;&gt;"&amp;"*LY*", MainData[BillTo], IF('YTD Revenue'!$AJ$52="Yes", "Group", "999999")) -
   SUMIFS(MainData[ExtendedPrice], MainData[Date], U101,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1" s="175">
        <f t="shared" si="9"/>
        <v>9483.0649576271171</v>
      </c>
      <c r="X101" s="175">
        <f t="shared" si="10"/>
        <v>73045.8</v>
      </c>
    </row>
    <row r="102" spans="21:24" x14ac:dyDescent="0.25">
      <c r="U102" s="183">
        <f t="shared" si="8"/>
        <v>44661</v>
      </c>
      <c r="V102" s="18">
        <f xml:space="preserve"> SUMIFS(MainData[ExtendedPrice], MainData[Date], U102, MainData[Category], "Beverage", MainData[Pricing], "&lt;&gt;"&amp;"*Adjust*", MainData[Pricing], "&lt;&gt;"&amp;"*LY*", MainData[BillTo], IF('YTD Revenue'!$AJ$14="Yes", "Hotel", "999999")) +
   SUMIFS(MainData[ExtendedPrice], MainData[Date], U102, MainData[Category], "Beverage", MainData[Pricing], "&lt;&gt;"&amp;"*Adjust*", MainData[Pricing], "&lt;&gt;"&amp;"*LY*", MainData[BillTo], IF('YTD Revenue'!$AJ$33="Yes", "EPO", "999999")) +
   SUMIFS(MainData[ExtendedPrice], MainData[Date], U102, MainData[Category], "Beverage", MainData[Pricing], "&lt;&gt;"&amp;"*Adjust*", MainData[Pricing], "&lt;&gt;"&amp;"*LY*", MainData[BillTo], IF('YTD Revenue'!$AJ$52="Yes", "Group", "999999")) -
   SUMIFS(MainData[ExtendedPrice], MainData[Date], U102,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2" s="175">
        <f t="shared" si="9"/>
        <v>9483.0649576271171</v>
      </c>
      <c r="X102" s="175">
        <f t="shared" si="10"/>
        <v>73045.8</v>
      </c>
    </row>
    <row r="103" spans="21:24" x14ac:dyDescent="0.25">
      <c r="U103" s="183">
        <f t="shared" si="8"/>
        <v>44662</v>
      </c>
      <c r="V103" s="18">
        <f xml:space="preserve"> SUMIFS(MainData[ExtendedPrice], MainData[Date], U103, MainData[Category], "Beverage", MainData[Pricing], "&lt;&gt;"&amp;"*Adjust*", MainData[Pricing], "&lt;&gt;"&amp;"*LY*", MainData[BillTo], IF('YTD Revenue'!$AJ$14="Yes", "Hotel", "999999")) +
   SUMIFS(MainData[ExtendedPrice], MainData[Date], U103, MainData[Category], "Beverage", MainData[Pricing], "&lt;&gt;"&amp;"*Adjust*", MainData[Pricing], "&lt;&gt;"&amp;"*LY*", MainData[BillTo], IF('YTD Revenue'!$AJ$33="Yes", "EPO", "999999")) +
   SUMIFS(MainData[ExtendedPrice], MainData[Date], U103, MainData[Category], "Beverage", MainData[Pricing], "&lt;&gt;"&amp;"*Adjust*", MainData[Pricing], "&lt;&gt;"&amp;"*LY*", MainData[BillTo], IF('YTD Revenue'!$AJ$52="Yes", "Group", "999999")) -
   SUMIFS(MainData[ExtendedPrice], MainData[Date], U103,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3" s="175">
        <f t="shared" si="9"/>
        <v>9483.0649576271171</v>
      </c>
      <c r="X103" s="175">
        <f t="shared" si="10"/>
        <v>73045.8</v>
      </c>
    </row>
    <row r="104" spans="21:24" x14ac:dyDescent="0.25">
      <c r="U104" s="183">
        <f t="shared" si="8"/>
        <v>44663</v>
      </c>
      <c r="V104" s="18">
        <f xml:space="preserve"> SUMIFS(MainData[ExtendedPrice], MainData[Date], U104, MainData[Category], "Beverage", MainData[Pricing], "&lt;&gt;"&amp;"*Adjust*", MainData[Pricing], "&lt;&gt;"&amp;"*LY*", MainData[BillTo], IF('YTD Revenue'!$AJ$14="Yes", "Hotel", "999999")) +
   SUMIFS(MainData[ExtendedPrice], MainData[Date], U104, MainData[Category], "Beverage", MainData[Pricing], "&lt;&gt;"&amp;"*Adjust*", MainData[Pricing], "&lt;&gt;"&amp;"*LY*", MainData[BillTo], IF('YTD Revenue'!$AJ$33="Yes", "EPO", "999999")) +
   SUMIFS(MainData[ExtendedPrice], MainData[Date], U104, MainData[Category], "Beverage", MainData[Pricing], "&lt;&gt;"&amp;"*Adjust*", MainData[Pricing], "&lt;&gt;"&amp;"*LY*", MainData[BillTo], IF('YTD Revenue'!$AJ$52="Yes", "Group", "999999")) -
   SUMIFS(MainData[ExtendedPrice], MainData[Date], U104,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4" s="175">
        <f t="shared" si="9"/>
        <v>9483.0649576271171</v>
      </c>
      <c r="X104" s="175">
        <f t="shared" si="10"/>
        <v>73045.8</v>
      </c>
    </row>
    <row r="105" spans="21:24" x14ac:dyDescent="0.25">
      <c r="U105" s="183">
        <f t="shared" si="8"/>
        <v>44664</v>
      </c>
      <c r="V105" s="18">
        <f xml:space="preserve"> SUMIFS(MainData[ExtendedPrice], MainData[Date], U105, MainData[Category], "Beverage", MainData[Pricing], "&lt;&gt;"&amp;"*Adjust*", MainData[Pricing], "&lt;&gt;"&amp;"*LY*", MainData[BillTo], IF('YTD Revenue'!$AJ$14="Yes", "Hotel", "999999")) +
   SUMIFS(MainData[ExtendedPrice], MainData[Date], U105, MainData[Category], "Beverage", MainData[Pricing], "&lt;&gt;"&amp;"*Adjust*", MainData[Pricing], "&lt;&gt;"&amp;"*LY*", MainData[BillTo], IF('YTD Revenue'!$AJ$33="Yes", "EPO", "999999")) +
   SUMIFS(MainData[ExtendedPrice], MainData[Date], U105, MainData[Category], "Beverage", MainData[Pricing], "&lt;&gt;"&amp;"*Adjust*", MainData[Pricing], "&lt;&gt;"&amp;"*LY*", MainData[BillTo], IF('YTD Revenue'!$AJ$52="Yes", "Group", "999999")) -
   SUMIFS(MainData[ExtendedPrice], MainData[Date], U105,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5" s="175">
        <f t="shared" si="9"/>
        <v>9483.0649576271171</v>
      </c>
      <c r="X105" s="175">
        <f t="shared" si="10"/>
        <v>73045.8</v>
      </c>
    </row>
    <row r="106" spans="21:24" x14ac:dyDescent="0.25">
      <c r="U106" s="183">
        <f t="shared" si="8"/>
        <v>44665</v>
      </c>
      <c r="V106" s="18">
        <f xml:space="preserve"> SUMIFS(MainData[ExtendedPrice], MainData[Date], U106, MainData[Category], "Beverage", MainData[Pricing], "&lt;&gt;"&amp;"*Adjust*", MainData[Pricing], "&lt;&gt;"&amp;"*LY*", MainData[BillTo], IF('YTD Revenue'!$AJ$14="Yes", "Hotel", "999999")) +
   SUMIFS(MainData[ExtendedPrice], MainData[Date], U106, MainData[Category], "Beverage", MainData[Pricing], "&lt;&gt;"&amp;"*Adjust*", MainData[Pricing], "&lt;&gt;"&amp;"*LY*", MainData[BillTo], IF('YTD Revenue'!$AJ$33="Yes", "EPO", "999999")) +
   SUMIFS(MainData[ExtendedPrice], MainData[Date], U106, MainData[Category], "Beverage", MainData[Pricing], "&lt;&gt;"&amp;"*Adjust*", MainData[Pricing], "&lt;&gt;"&amp;"*LY*", MainData[BillTo], IF('YTD Revenue'!$AJ$52="Yes", "Group", "999999")) -
   SUMIFS(MainData[ExtendedPrice], MainData[Date], U106,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6" s="175">
        <f t="shared" si="9"/>
        <v>9483.0649576271171</v>
      </c>
      <c r="X106" s="175">
        <f t="shared" si="10"/>
        <v>73045.8</v>
      </c>
    </row>
    <row r="107" spans="21:24" x14ac:dyDescent="0.25">
      <c r="U107" s="183">
        <f t="shared" si="8"/>
        <v>44666</v>
      </c>
      <c r="V107" s="18">
        <f xml:space="preserve"> SUMIFS(MainData[ExtendedPrice], MainData[Date], U107, MainData[Category], "Beverage", MainData[Pricing], "&lt;&gt;"&amp;"*Adjust*", MainData[Pricing], "&lt;&gt;"&amp;"*LY*", MainData[BillTo], IF('YTD Revenue'!$AJ$14="Yes", "Hotel", "999999")) +
   SUMIFS(MainData[ExtendedPrice], MainData[Date], U107, MainData[Category], "Beverage", MainData[Pricing], "&lt;&gt;"&amp;"*Adjust*", MainData[Pricing], "&lt;&gt;"&amp;"*LY*", MainData[BillTo], IF('YTD Revenue'!$AJ$33="Yes", "EPO", "999999")) +
   SUMIFS(MainData[ExtendedPrice], MainData[Date], U107, MainData[Category], "Beverage", MainData[Pricing], "&lt;&gt;"&amp;"*Adjust*", MainData[Pricing], "&lt;&gt;"&amp;"*LY*", MainData[BillTo], IF('YTD Revenue'!$AJ$52="Yes", "Group", "999999")) -
   SUMIFS(MainData[ExtendedPrice], MainData[Date], U107,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7" s="175">
        <f t="shared" si="9"/>
        <v>9483.0649576271171</v>
      </c>
      <c r="X107" s="175">
        <f t="shared" si="10"/>
        <v>73045.8</v>
      </c>
    </row>
    <row r="108" spans="21:24" x14ac:dyDescent="0.25">
      <c r="U108" s="183">
        <f t="shared" si="8"/>
        <v>44667</v>
      </c>
      <c r="V108" s="18">
        <f xml:space="preserve"> SUMIFS(MainData[ExtendedPrice], MainData[Date], U108, MainData[Category], "Beverage", MainData[Pricing], "&lt;&gt;"&amp;"*Adjust*", MainData[Pricing], "&lt;&gt;"&amp;"*LY*", MainData[BillTo], IF('YTD Revenue'!$AJ$14="Yes", "Hotel", "999999")) +
   SUMIFS(MainData[ExtendedPrice], MainData[Date], U108, MainData[Category], "Beverage", MainData[Pricing], "&lt;&gt;"&amp;"*Adjust*", MainData[Pricing], "&lt;&gt;"&amp;"*LY*", MainData[BillTo], IF('YTD Revenue'!$AJ$33="Yes", "EPO", "999999")) +
   SUMIFS(MainData[ExtendedPrice], MainData[Date], U108, MainData[Category], "Beverage", MainData[Pricing], "&lt;&gt;"&amp;"*Adjust*", MainData[Pricing], "&lt;&gt;"&amp;"*LY*", MainData[BillTo], IF('YTD Revenue'!$AJ$52="Yes", "Group", "999999")) -
   SUMIFS(MainData[ExtendedPrice], MainData[Date], U108,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8" s="175">
        <f t="shared" si="9"/>
        <v>9483.0649576271171</v>
      </c>
      <c r="X108" s="175">
        <f t="shared" si="10"/>
        <v>73045.8</v>
      </c>
    </row>
    <row r="109" spans="21:24" x14ac:dyDescent="0.25">
      <c r="U109" s="183">
        <f t="shared" si="8"/>
        <v>44668</v>
      </c>
      <c r="V109" s="18">
        <f xml:space="preserve"> SUMIFS(MainData[ExtendedPrice], MainData[Date], U109, MainData[Category], "Beverage", MainData[Pricing], "&lt;&gt;"&amp;"*Adjust*", MainData[Pricing], "&lt;&gt;"&amp;"*LY*", MainData[BillTo], IF('YTD Revenue'!$AJ$14="Yes", "Hotel", "999999")) +
   SUMIFS(MainData[ExtendedPrice], MainData[Date], U109, MainData[Category], "Beverage", MainData[Pricing], "&lt;&gt;"&amp;"*Adjust*", MainData[Pricing], "&lt;&gt;"&amp;"*LY*", MainData[BillTo], IF('YTD Revenue'!$AJ$33="Yes", "EPO", "999999")) +
   SUMIFS(MainData[ExtendedPrice], MainData[Date], U109, MainData[Category], "Beverage", MainData[Pricing], "&lt;&gt;"&amp;"*Adjust*", MainData[Pricing], "&lt;&gt;"&amp;"*LY*", MainData[BillTo], IF('YTD Revenue'!$AJ$52="Yes", "Group", "999999")) -
   SUMIFS(MainData[ExtendedPrice], MainData[Date], U109,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9" s="175">
        <f t="shared" si="9"/>
        <v>9483.0649576271171</v>
      </c>
      <c r="X109" s="175">
        <f t="shared" si="10"/>
        <v>73045.8</v>
      </c>
    </row>
    <row r="110" spans="21:24" x14ac:dyDescent="0.25">
      <c r="U110" s="183">
        <f t="shared" si="8"/>
        <v>44669</v>
      </c>
      <c r="V110" s="18">
        <f xml:space="preserve"> SUMIFS(MainData[ExtendedPrice], MainData[Date], U110, MainData[Category], "Beverage", MainData[Pricing], "&lt;&gt;"&amp;"*Adjust*", MainData[Pricing], "&lt;&gt;"&amp;"*LY*", MainData[BillTo], IF('YTD Revenue'!$AJ$14="Yes", "Hotel", "999999")) +
   SUMIFS(MainData[ExtendedPrice], MainData[Date], U110, MainData[Category], "Beverage", MainData[Pricing], "&lt;&gt;"&amp;"*Adjust*", MainData[Pricing], "&lt;&gt;"&amp;"*LY*", MainData[BillTo], IF('YTD Revenue'!$AJ$33="Yes", "EPO", "999999")) +
   SUMIFS(MainData[ExtendedPrice], MainData[Date], U110, MainData[Category], "Beverage", MainData[Pricing], "&lt;&gt;"&amp;"*Adjust*", MainData[Pricing], "&lt;&gt;"&amp;"*LY*", MainData[BillTo], IF('YTD Revenue'!$AJ$52="Yes", "Group", "999999")) -
   SUMIFS(MainData[ExtendedPrice], MainData[Date], U110,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0" s="175">
        <f t="shared" si="9"/>
        <v>9483.0649576271171</v>
      </c>
      <c r="X110" s="175">
        <f t="shared" si="10"/>
        <v>73045.8</v>
      </c>
    </row>
    <row r="111" spans="21:24" x14ac:dyDescent="0.25">
      <c r="U111" s="183">
        <f t="shared" si="8"/>
        <v>44670</v>
      </c>
      <c r="V111" s="18">
        <f xml:space="preserve"> SUMIFS(MainData[ExtendedPrice], MainData[Date], U111, MainData[Category], "Beverage", MainData[Pricing], "&lt;&gt;"&amp;"*Adjust*", MainData[Pricing], "&lt;&gt;"&amp;"*LY*", MainData[BillTo], IF('YTD Revenue'!$AJ$14="Yes", "Hotel", "999999")) +
   SUMIFS(MainData[ExtendedPrice], MainData[Date], U111, MainData[Category], "Beverage", MainData[Pricing], "&lt;&gt;"&amp;"*Adjust*", MainData[Pricing], "&lt;&gt;"&amp;"*LY*", MainData[BillTo], IF('YTD Revenue'!$AJ$33="Yes", "EPO", "999999")) +
   SUMIFS(MainData[ExtendedPrice], MainData[Date], U111, MainData[Category], "Beverage", MainData[Pricing], "&lt;&gt;"&amp;"*Adjust*", MainData[Pricing], "&lt;&gt;"&amp;"*LY*", MainData[BillTo], IF('YTD Revenue'!$AJ$52="Yes", "Group", "999999")) -
   SUMIFS(MainData[ExtendedPrice], MainData[Date], U111,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1" s="175">
        <f t="shared" si="9"/>
        <v>9483.0649576271171</v>
      </c>
      <c r="X111" s="175">
        <f t="shared" si="10"/>
        <v>73045.8</v>
      </c>
    </row>
    <row r="112" spans="21:24" x14ac:dyDescent="0.25">
      <c r="U112" s="183">
        <f t="shared" si="8"/>
        <v>44671</v>
      </c>
      <c r="V112" s="18">
        <f xml:space="preserve"> SUMIFS(MainData[ExtendedPrice], MainData[Date], U112, MainData[Category], "Beverage", MainData[Pricing], "&lt;&gt;"&amp;"*Adjust*", MainData[Pricing], "&lt;&gt;"&amp;"*LY*", MainData[BillTo], IF('YTD Revenue'!$AJ$14="Yes", "Hotel", "999999")) +
   SUMIFS(MainData[ExtendedPrice], MainData[Date], U112, MainData[Category], "Beverage", MainData[Pricing], "&lt;&gt;"&amp;"*Adjust*", MainData[Pricing], "&lt;&gt;"&amp;"*LY*", MainData[BillTo], IF('YTD Revenue'!$AJ$33="Yes", "EPO", "999999")) +
   SUMIFS(MainData[ExtendedPrice], MainData[Date], U112, MainData[Category], "Beverage", MainData[Pricing], "&lt;&gt;"&amp;"*Adjust*", MainData[Pricing], "&lt;&gt;"&amp;"*LY*", MainData[BillTo], IF('YTD Revenue'!$AJ$52="Yes", "Group", "999999")) -
   SUMIFS(MainData[ExtendedPrice], MainData[Date], U112,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2" s="175">
        <f t="shared" si="9"/>
        <v>9483.0649576271171</v>
      </c>
      <c r="X112" s="175">
        <f t="shared" si="10"/>
        <v>73045.8</v>
      </c>
    </row>
    <row r="113" spans="21:24" x14ac:dyDescent="0.25">
      <c r="U113" s="183">
        <f t="shared" si="8"/>
        <v>44672</v>
      </c>
      <c r="V113" s="18">
        <f xml:space="preserve"> SUMIFS(MainData[ExtendedPrice], MainData[Date], U113, MainData[Category], "Beverage", MainData[Pricing], "&lt;&gt;"&amp;"*Adjust*", MainData[Pricing], "&lt;&gt;"&amp;"*LY*", MainData[BillTo], IF('YTD Revenue'!$AJ$14="Yes", "Hotel", "999999")) +
   SUMIFS(MainData[ExtendedPrice], MainData[Date], U113, MainData[Category], "Beverage", MainData[Pricing], "&lt;&gt;"&amp;"*Adjust*", MainData[Pricing], "&lt;&gt;"&amp;"*LY*", MainData[BillTo], IF('YTD Revenue'!$AJ$33="Yes", "EPO", "999999")) +
   SUMIFS(MainData[ExtendedPrice], MainData[Date], U113, MainData[Category], "Beverage", MainData[Pricing], "&lt;&gt;"&amp;"*Adjust*", MainData[Pricing], "&lt;&gt;"&amp;"*LY*", MainData[BillTo], IF('YTD Revenue'!$AJ$52="Yes", "Group", "999999")) -
   SUMIFS(MainData[ExtendedPrice], MainData[Date], U113,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3" s="175">
        <f t="shared" si="9"/>
        <v>9483.0649576271171</v>
      </c>
      <c r="X113" s="175">
        <f t="shared" si="10"/>
        <v>73045.8</v>
      </c>
    </row>
    <row r="114" spans="21:24" x14ac:dyDescent="0.25">
      <c r="U114" s="183">
        <f t="shared" si="8"/>
        <v>44673</v>
      </c>
      <c r="V114" s="18">
        <f xml:space="preserve"> SUMIFS(MainData[ExtendedPrice], MainData[Date], U114, MainData[Category], "Beverage", MainData[Pricing], "&lt;&gt;"&amp;"*Adjust*", MainData[Pricing], "&lt;&gt;"&amp;"*LY*", MainData[BillTo], IF('YTD Revenue'!$AJ$14="Yes", "Hotel", "999999")) +
   SUMIFS(MainData[ExtendedPrice], MainData[Date], U114, MainData[Category], "Beverage", MainData[Pricing], "&lt;&gt;"&amp;"*Adjust*", MainData[Pricing], "&lt;&gt;"&amp;"*LY*", MainData[BillTo], IF('YTD Revenue'!$AJ$33="Yes", "EPO", "999999")) +
   SUMIFS(MainData[ExtendedPrice], MainData[Date], U114, MainData[Category], "Beverage", MainData[Pricing], "&lt;&gt;"&amp;"*Adjust*", MainData[Pricing], "&lt;&gt;"&amp;"*LY*", MainData[BillTo], IF('YTD Revenue'!$AJ$52="Yes", "Group", "999999")) -
   SUMIFS(MainData[ExtendedPrice], MainData[Date], U114,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4" s="175">
        <f t="shared" si="9"/>
        <v>9483.0649576271171</v>
      </c>
      <c r="X114" s="175">
        <f t="shared" si="10"/>
        <v>73045.8</v>
      </c>
    </row>
    <row r="115" spans="21:24" x14ac:dyDescent="0.25">
      <c r="U115" s="183">
        <f t="shared" si="8"/>
        <v>44674</v>
      </c>
      <c r="V115" s="18">
        <f xml:space="preserve"> SUMIFS(MainData[ExtendedPrice], MainData[Date], U115, MainData[Category], "Beverage", MainData[Pricing], "&lt;&gt;"&amp;"*Adjust*", MainData[Pricing], "&lt;&gt;"&amp;"*LY*", MainData[BillTo], IF('YTD Revenue'!$AJ$14="Yes", "Hotel", "999999")) +
   SUMIFS(MainData[ExtendedPrice], MainData[Date], U115, MainData[Category], "Beverage", MainData[Pricing], "&lt;&gt;"&amp;"*Adjust*", MainData[Pricing], "&lt;&gt;"&amp;"*LY*", MainData[BillTo], IF('YTD Revenue'!$AJ$33="Yes", "EPO", "999999")) +
   SUMIFS(MainData[ExtendedPrice], MainData[Date], U115, MainData[Category], "Beverage", MainData[Pricing], "&lt;&gt;"&amp;"*Adjust*", MainData[Pricing], "&lt;&gt;"&amp;"*LY*", MainData[BillTo], IF('YTD Revenue'!$AJ$52="Yes", "Group", "999999")) -
   SUMIFS(MainData[ExtendedPrice], MainData[Date], U115,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5" s="175">
        <f t="shared" si="9"/>
        <v>9483.0649576271171</v>
      </c>
      <c r="X115" s="175">
        <f t="shared" si="10"/>
        <v>73045.8</v>
      </c>
    </row>
    <row r="116" spans="21:24" x14ac:dyDescent="0.25">
      <c r="U116" s="183">
        <f t="shared" si="8"/>
        <v>44675</v>
      </c>
      <c r="V116" s="18">
        <f xml:space="preserve"> SUMIFS(MainData[ExtendedPrice], MainData[Date], U116, MainData[Category], "Beverage", MainData[Pricing], "&lt;&gt;"&amp;"*Adjust*", MainData[Pricing], "&lt;&gt;"&amp;"*LY*", MainData[BillTo], IF('YTD Revenue'!$AJ$14="Yes", "Hotel", "999999")) +
   SUMIFS(MainData[ExtendedPrice], MainData[Date], U116, MainData[Category], "Beverage", MainData[Pricing], "&lt;&gt;"&amp;"*Adjust*", MainData[Pricing], "&lt;&gt;"&amp;"*LY*", MainData[BillTo], IF('YTD Revenue'!$AJ$33="Yes", "EPO", "999999")) +
   SUMIFS(MainData[ExtendedPrice], MainData[Date], U116, MainData[Category], "Beverage", MainData[Pricing], "&lt;&gt;"&amp;"*Adjust*", MainData[Pricing], "&lt;&gt;"&amp;"*LY*", MainData[BillTo], IF('YTD Revenue'!$AJ$52="Yes", "Group", "999999")) -
   SUMIFS(MainData[ExtendedPrice], MainData[Date], U116,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6" s="175">
        <f t="shared" si="9"/>
        <v>9483.0649576271171</v>
      </c>
      <c r="X116" s="175">
        <f t="shared" si="10"/>
        <v>73045.8</v>
      </c>
    </row>
    <row r="117" spans="21:24" x14ac:dyDescent="0.25">
      <c r="U117" s="183">
        <f t="shared" si="8"/>
        <v>44676</v>
      </c>
      <c r="V117" s="18">
        <f xml:space="preserve"> SUMIFS(MainData[ExtendedPrice], MainData[Date], U117, MainData[Category], "Beverage", MainData[Pricing], "&lt;&gt;"&amp;"*Adjust*", MainData[Pricing], "&lt;&gt;"&amp;"*LY*", MainData[BillTo], IF('YTD Revenue'!$AJ$14="Yes", "Hotel", "999999")) +
   SUMIFS(MainData[ExtendedPrice], MainData[Date], U117, MainData[Category], "Beverage", MainData[Pricing], "&lt;&gt;"&amp;"*Adjust*", MainData[Pricing], "&lt;&gt;"&amp;"*LY*", MainData[BillTo], IF('YTD Revenue'!$AJ$33="Yes", "EPO", "999999")) +
   SUMIFS(MainData[ExtendedPrice], MainData[Date], U117, MainData[Category], "Beverage", MainData[Pricing], "&lt;&gt;"&amp;"*Adjust*", MainData[Pricing], "&lt;&gt;"&amp;"*LY*", MainData[BillTo], IF('YTD Revenue'!$AJ$52="Yes", "Group", "999999")) -
   SUMIFS(MainData[ExtendedPrice], MainData[Date], U117,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7" s="175">
        <f t="shared" si="9"/>
        <v>9483.0649576271171</v>
      </c>
      <c r="X117" s="175">
        <f t="shared" si="10"/>
        <v>73045.8</v>
      </c>
    </row>
    <row r="118" spans="21:24" x14ac:dyDescent="0.25">
      <c r="U118" s="183">
        <f t="shared" si="8"/>
        <v>44677</v>
      </c>
      <c r="V118" s="18">
        <f xml:space="preserve"> SUMIFS(MainData[ExtendedPrice], MainData[Date], U118, MainData[Category], "Beverage", MainData[Pricing], "&lt;&gt;"&amp;"*Adjust*", MainData[Pricing], "&lt;&gt;"&amp;"*LY*", MainData[BillTo], IF('YTD Revenue'!$AJ$14="Yes", "Hotel", "999999")) +
   SUMIFS(MainData[ExtendedPrice], MainData[Date], U118, MainData[Category], "Beverage", MainData[Pricing], "&lt;&gt;"&amp;"*Adjust*", MainData[Pricing], "&lt;&gt;"&amp;"*LY*", MainData[BillTo], IF('YTD Revenue'!$AJ$33="Yes", "EPO", "999999")) +
   SUMIFS(MainData[ExtendedPrice], MainData[Date], U118, MainData[Category], "Beverage", MainData[Pricing], "&lt;&gt;"&amp;"*Adjust*", MainData[Pricing], "&lt;&gt;"&amp;"*LY*", MainData[BillTo], IF('YTD Revenue'!$AJ$52="Yes", "Group", "999999")) -
   SUMIFS(MainData[ExtendedPrice], MainData[Date], U118,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8" s="175">
        <f t="shared" si="9"/>
        <v>9483.0649576271171</v>
      </c>
      <c r="X118" s="175">
        <f t="shared" si="10"/>
        <v>73045.8</v>
      </c>
    </row>
    <row r="119" spans="21:24" x14ac:dyDescent="0.25">
      <c r="U119" s="183">
        <f t="shared" si="8"/>
        <v>44678</v>
      </c>
      <c r="V119" s="18">
        <f xml:space="preserve"> SUMIFS(MainData[ExtendedPrice], MainData[Date], U119, MainData[Category], "Beverage", MainData[Pricing], "&lt;&gt;"&amp;"*Adjust*", MainData[Pricing], "&lt;&gt;"&amp;"*LY*", MainData[BillTo], IF('YTD Revenue'!$AJ$14="Yes", "Hotel", "999999")) +
   SUMIFS(MainData[ExtendedPrice], MainData[Date], U119, MainData[Category], "Beverage", MainData[Pricing], "&lt;&gt;"&amp;"*Adjust*", MainData[Pricing], "&lt;&gt;"&amp;"*LY*", MainData[BillTo], IF('YTD Revenue'!$AJ$33="Yes", "EPO", "999999")) +
   SUMIFS(MainData[ExtendedPrice], MainData[Date], U119, MainData[Category], "Beverage", MainData[Pricing], "&lt;&gt;"&amp;"*Adjust*", MainData[Pricing], "&lt;&gt;"&amp;"*LY*", MainData[BillTo], IF('YTD Revenue'!$AJ$52="Yes", "Group", "999999")) -
   SUMIFS(MainData[ExtendedPrice], MainData[Date], U119,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9" s="175">
        <f t="shared" si="9"/>
        <v>9483.0649576271171</v>
      </c>
      <c r="X119" s="175">
        <f t="shared" si="10"/>
        <v>73045.8</v>
      </c>
    </row>
    <row r="120" spans="21:24" x14ac:dyDescent="0.25">
      <c r="U120" s="183">
        <f t="shared" si="8"/>
        <v>44679</v>
      </c>
      <c r="V120" s="18">
        <f xml:space="preserve"> SUMIFS(MainData[ExtendedPrice], MainData[Date], U120, MainData[Category], "Beverage", MainData[Pricing], "&lt;&gt;"&amp;"*Adjust*", MainData[Pricing], "&lt;&gt;"&amp;"*LY*", MainData[BillTo], IF('YTD Revenue'!$AJ$14="Yes", "Hotel", "999999")) +
   SUMIFS(MainData[ExtendedPrice], MainData[Date], U120, MainData[Category], "Beverage", MainData[Pricing], "&lt;&gt;"&amp;"*Adjust*", MainData[Pricing], "&lt;&gt;"&amp;"*LY*", MainData[BillTo], IF('YTD Revenue'!$AJ$33="Yes", "EPO", "999999")) +
   SUMIFS(MainData[ExtendedPrice], MainData[Date], U120, MainData[Category], "Beverage", MainData[Pricing], "&lt;&gt;"&amp;"*Adjust*", MainData[Pricing], "&lt;&gt;"&amp;"*LY*", MainData[BillTo], IF('YTD Revenue'!$AJ$52="Yes", "Group", "999999")) -
   SUMIFS(MainData[ExtendedPrice], MainData[Date], U120,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0" s="175">
        <f t="shared" si="9"/>
        <v>9483.0649576271171</v>
      </c>
      <c r="X120" s="175">
        <f t="shared" si="10"/>
        <v>73045.8</v>
      </c>
    </row>
    <row r="121" spans="21:24" x14ac:dyDescent="0.25">
      <c r="U121" s="183">
        <f t="shared" si="8"/>
        <v>44680</v>
      </c>
      <c r="V121" s="18">
        <f xml:space="preserve"> SUMIFS(MainData[ExtendedPrice], MainData[Date], U121, MainData[Category], "Beverage", MainData[Pricing], "&lt;&gt;"&amp;"*Adjust*", MainData[Pricing], "&lt;&gt;"&amp;"*LY*", MainData[BillTo], IF('YTD Revenue'!$AJ$14="Yes", "Hotel", "999999")) +
   SUMIFS(MainData[ExtendedPrice], MainData[Date], U121, MainData[Category], "Beverage", MainData[Pricing], "&lt;&gt;"&amp;"*Adjust*", MainData[Pricing], "&lt;&gt;"&amp;"*LY*", MainData[BillTo], IF('YTD Revenue'!$AJ$33="Yes", "EPO", "999999")) +
   SUMIFS(MainData[ExtendedPrice], MainData[Date], U121, MainData[Category], "Beverage", MainData[Pricing], "&lt;&gt;"&amp;"*Adjust*", MainData[Pricing], "&lt;&gt;"&amp;"*LY*", MainData[BillTo], IF('YTD Revenue'!$AJ$52="Yes", "Group", "999999")) -
   SUMIFS(MainData[ExtendedPrice], MainData[Date], U121,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1" s="175">
        <f t="shared" si="9"/>
        <v>9483.0649576271171</v>
      </c>
      <c r="X121" s="175">
        <f t="shared" si="10"/>
        <v>73045.8</v>
      </c>
    </row>
    <row r="122" spans="21:24" x14ac:dyDescent="0.25">
      <c r="U122" s="183">
        <f t="shared" si="8"/>
        <v>44681</v>
      </c>
      <c r="V122" s="18">
        <f xml:space="preserve"> SUMIFS(MainData[ExtendedPrice], MainData[Date], U122, MainData[Category], "Beverage", MainData[Pricing], "&lt;&gt;"&amp;"*Adjust*", MainData[Pricing], "&lt;&gt;"&amp;"*LY*", MainData[BillTo], IF('YTD Revenue'!$AJ$14="Yes", "Hotel", "999999")) +
   SUMIFS(MainData[ExtendedPrice], MainData[Date], U122, MainData[Category], "Beverage", MainData[Pricing], "&lt;&gt;"&amp;"*Adjust*", MainData[Pricing], "&lt;&gt;"&amp;"*LY*", MainData[BillTo], IF('YTD Revenue'!$AJ$33="Yes", "EPO", "999999")) +
   SUMIFS(MainData[ExtendedPrice], MainData[Date], U122, MainData[Category], "Beverage", MainData[Pricing], "&lt;&gt;"&amp;"*Adjust*", MainData[Pricing], "&lt;&gt;"&amp;"*LY*", MainData[BillTo], IF('YTD Revenue'!$AJ$52="Yes", "Group", "999999")) -
   SUMIFS(MainData[ExtendedPrice], MainData[Date], U122,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2" s="175">
        <f t="shared" si="9"/>
        <v>9483.0649576271171</v>
      </c>
      <c r="X122" s="175">
        <f t="shared" si="10"/>
        <v>73045.8</v>
      </c>
    </row>
    <row r="123" spans="21:24" x14ac:dyDescent="0.25">
      <c r="U123" s="183">
        <f t="shared" si="8"/>
        <v>44682</v>
      </c>
      <c r="V123" s="18">
        <f xml:space="preserve"> SUMIFS(MainData[ExtendedPrice], MainData[Date], U123, MainData[Category], "Beverage", MainData[Pricing], "&lt;&gt;"&amp;"*Adjust*", MainData[Pricing], "&lt;&gt;"&amp;"*LY*", MainData[BillTo], IF('YTD Revenue'!$AJ$14="Yes", "Hotel", "999999")) +
   SUMIFS(MainData[ExtendedPrice], MainData[Date], U123, MainData[Category], "Beverage", MainData[Pricing], "&lt;&gt;"&amp;"*Adjust*", MainData[Pricing], "&lt;&gt;"&amp;"*LY*", MainData[BillTo], IF('YTD Revenue'!$AJ$33="Yes", "EPO", "999999")) +
   SUMIFS(MainData[ExtendedPrice], MainData[Date], U123, MainData[Category], "Beverage", MainData[Pricing], "&lt;&gt;"&amp;"*Adjust*", MainData[Pricing], "&lt;&gt;"&amp;"*LY*", MainData[BillTo], IF('YTD Revenue'!$AJ$52="Yes", "Group", "999999")) -
   SUMIFS(MainData[ExtendedPrice], MainData[Date], U123,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3" s="175">
        <f t="shared" si="9"/>
        <v>9483.0649576271171</v>
      </c>
      <c r="X123" s="175">
        <f t="shared" si="10"/>
        <v>73045.8</v>
      </c>
    </row>
    <row r="124" spans="21:24" x14ac:dyDescent="0.25">
      <c r="U124" s="183">
        <f t="shared" si="8"/>
        <v>44683</v>
      </c>
      <c r="V124" s="18">
        <f xml:space="preserve"> SUMIFS(MainData[ExtendedPrice], MainData[Date], U124, MainData[Category], "Beverage", MainData[Pricing], "&lt;&gt;"&amp;"*Adjust*", MainData[Pricing], "&lt;&gt;"&amp;"*LY*", MainData[BillTo], IF('YTD Revenue'!$AJ$14="Yes", "Hotel", "999999")) +
   SUMIFS(MainData[ExtendedPrice], MainData[Date], U124, MainData[Category], "Beverage", MainData[Pricing], "&lt;&gt;"&amp;"*Adjust*", MainData[Pricing], "&lt;&gt;"&amp;"*LY*", MainData[BillTo], IF('YTD Revenue'!$AJ$33="Yes", "EPO", "999999")) +
   SUMIFS(MainData[ExtendedPrice], MainData[Date], U124, MainData[Category], "Beverage", MainData[Pricing], "&lt;&gt;"&amp;"*Adjust*", MainData[Pricing], "&lt;&gt;"&amp;"*LY*", MainData[BillTo], IF('YTD Revenue'!$AJ$52="Yes", "Group", "999999")) -
   SUMIFS(MainData[ExtendedPrice], MainData[Date], U124,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4" s="175">
        <f t="shared" si="9"/>
        <v>9483.0649576271171</v>
      </c>
      <c r="X124" s="175">
        <f t="shared" si="10"/>
        <v>73045.8</v>
      </c>
    </row>
    <row r="125" spans="21:24" x14ac:dyDescent="0.25">
      <c r="U125" s="183">
        <f t="shared" si="8"/>
        <v>44684</v>
      </c>
      <c r="V125" s="18">
        <f xml:space="preserve"> SUMIFS(MainData[ExtendedPrice], MainData[Date], U125, MainData[Category], "Beverage", MainData[Pricing], "&lt;&gt;"&amp;"*Adjust*", MainData[Pricing], "&lt;&gt;"&amp;"*LY*", MainData[BillTo], IF('YTD Revenue'!$AJ$14="Yes", "Hotel", "999999")) +
   SUMIFS(MainData[ExtendedPrice], MainData[Date], U125, MainData[Category], "Beverage", MainData[Pricing], "&lt;&gt;"&amp;"*Adjust*", MainData[Pricing], "&lt;&gt;"&amp;"*LY*", MainData[BillTo], IF('YTD Revenue'!$AJ$33="Yes", "EPO", "999999")) +
   SUMIFS(MainData[ExtendedPrice], MainData[Date], U125, MainData[Category], "Beverage", MainData[Pricing], "&lt;&gt;"&amp;"*Adjust*", MainData[Pricing], "&lt;&gt;"&amp;"*LY*", MainData[BillTo], IF('YTD Revenue'!$AJ$52="Yes", "Group", "999999")) -
   SUMIFS(MainData[ExtendedPrice], MainData[Date], U125,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5" s="175">
        <f t="shared" si="9"/>
        <v>9483.0649576271171</v>
      </c>
      <c r="X125" s="175">
        <f t="shared" si="10"/>
        <v>73045.8</v>
      </c>
    </row>
    <row r="126" spans="21:24" x14ac:dyDescent="0.25">
      <c r="U126" s="183">
        <f t="shared" si="8"/>
        <v>44685</v>
      </c>
      <c r="V126" s="18">
        <f xml:space="preserve"> SUMIFS(MainData[ExtendedPrice], MainData[Date], U126, MainData[Category], "Beverage", MainData[Pricing], "&lt;&gt;"&amp;"*Adjust*", MainData[Pricing], "&lt;&gt;"&amp;"*LY*", MainData[BillTo], IF('YTD Revenue'!$AJ$14="Yes", "Hotel", "999999")) +
   SUMIFS(MainData[ExtendedPrice], MainData[Date], U126, MainData[Category], "Beverage", MainData[Pricing], "&lt;&gt;"&amp;"*Adjust*", MainData[Pricing], "&lt;&gt;"&amp;"*LY*", MainData[BillTo], IF('YTD Revenue'!$AJ$33="Yes", "EPO", "999999")) +
   SUMIFS(MainData[ExtendedPrice], MainData[Date], U126, MainData[Category], "Beverage", MainData[Pricing], "&lt;&gt;"&amp;"*Adjust*", MainData[Pricing], "&lt;&gt;"&amp;"*LY*", MainData[BillTo], IF('YTD Revenue'!$AJ$52="Yes", "Group", "999999")) -
   SUMIFS(MainData[ExtendedPrice], MainData[Date], U126,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6" s="175">
        <f t="shared" si="9"/>
        <v>9483.0649576271171</v>
      </c>
      <c r="X126" s="175">
        <f t="shared" si="10"/>
        <v>73045.8</v>
      </c>
    </row>
    <row r="127" spans="21:24" x14ac:dyDescent="0.25">
      <c r="U127" s="183">
        <f t="shared" si="8"/>
        <v>44686</v>
      </c>
      <c r="V127" s="18">
        <f xml:space="preserve"> SUMIFS(MainData[ExtendedPrice], MainData[Date], U127, MainData[Category], "Beverage", MainData[Pricing], "&lt;&gt;"&amp;"*Adjust*", MainData[Pricing], "&lt;&gt;"&amp;"*LY*", MainData[BillTo], IF('YTD Revenue'!$AJ$14="Yes", "Hotel", "999999")) +
   SUMIFS(MainData[ExtendedPrice], MainData[Date], U127, MainData[Category], "Beverage", MainData[Pricing], "&lt;&gt;"&amp;"*Adjust*", MainData[Pricing], "&lt;&gt;"&amp;"*LY*", MainData[BillTo], IF('YTD Revenue'!$AJ$33="Yes", "EPO", "999999")) +
   SUMIFS(MainData[ExtendedPrice], MainData[Date], U127, MainData[Category], "Beverage", MainData[Pricing], "&lt;&gt;"&amp;"*Adjust*", MainData[Pricing], "&lt;&gt;"&amp;"*LY*", MainData[BillTo], IF('YTD Revenue'!$AJ$52="Yes", "Group", "999999")) -
   SUMIFS(MainData[ExtendedPrice], MainData[Date], U127,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7" s="175">
        <f t="shared" si="9"/>
        <v>9483.0649576271171</v>
      </c>
      <c r="X127" s="175">
        <f t="shared" si="10"/>
        <v>73045.8</v>
      </c>
    </row>
    <row r="128" spans="21:24" x14ac:dyDescent="0.25">
      <c r="U128" s="183">
        <f t="shared" si="8"/>
        <v>44687</v>
      </c>
      <c r="V128" s="18">
        <f xml:space="preserve"> SUMIFS(MainData[ExtendedPrice], MainData[Date], U128, MainData[Category], "Beverage", MainData[Pricing], "&lt;&gt;"&amp;"*Adjust*", MainData[Pricing], "&lt;&gt;"&amp;"*LY*", MainData[BillTo], IF('YTD Revenue'!$AJ$14="Yes", "Hotel", "999999")) +
   SUMIFS(MainData[ExtendedPrice], MainData[Date], U128, MainData[Category], "Beverage", MainData[Pricing], "&lt;&gt;"&amp;"*Adjust*", MainData[Pricing], "&lt;&gt;"&amp;"*LY*", MainData[BillTo], IF('YTD Revenue'!$AJ$33="Yes", "EPO", "999999")) +
   SUMIFS(MainData[ExtendedPrice], MainData[Date], U128, MainData[Category], "Beverage", MainData[Pricing], "&lt;&gt;"&amp;"*Adjust*", MainData[Pricing], "&lt;&gt;"&amp;"*LY*", MainData[BillTo], IF('YTD Revenue'!$AJ$52="Yes", "Group", "999999")) -
   SUMIFS(MainData[ExtendedPrice], MainData[Date], U128,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8" s="175">
        <f t="shared" si="9"/>
        <v>9483.0649576271171</v>
      </c>
      <c r="X128" s="175">
        <f t="shared" si="10"/>
        <v>73045.8</v>
      </c>
    </row>
    <row r="129" spans="21:24" x14ac:dyDescent="0.25">
      <c r="U129" s="183">
        <f t="shared" si="8"/>
        <v>44688</v>
      </c>
      <c r="V129" s="18">
        <f xml:space="preserve"> SUMIFS(MainData[ExtendedPrice], MainData[Date], U129, MainData[Category], "Beverage", MainData[Pricing], "&lt;&gt;"&amp;"*Adjust*", MainData[Pricing], "&lt;&gt;"&amp;"*LY*", MainData[BillTo], IF('YTD Revenue'!$AJ$14="Yes", "Hotel", "999999")) +
   SUMIFS(MainData[ExtendedPrice], MainData[Date], U129, MainData[Category], "Beverage", MainData[Pricing], "&lt;&gt;"&amp;"*Adjust*", MainData[Pricing], "&lt;&gt;"&amp;"*LY*", MainData[BillTo], IF('YTD Revenue'!$AJ$33="Yes", "EPO", "999999")) +
   SUMIFS(MainData[ExtendedPrice], MainData[Date], U129, MainData[Category], "Beverage", MainData[Pricing], "&lt;&gt;"&amp;"*Adjust*", MainData[Pricing], "&lt;&gt;"&amp;"*LY*", MainData[BillTo], IF('YTD Revenue'!$AJ$52="Yes", "Group", "999999")) -
   SUMIFS(MainData[ExtendedPrice], MainData[Date], U129,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9" s="175">
        <f t="shared" si="9"/>
        <v>9483.0649576271171</v>
      </c>
      <c r="X129" s="175">
        <f t="shared" si="10"/>
        <v>73045.8</v>
      </c>
    </row>
    <row r="130" spans="21:24" x14ac:dyDescent="0.25">
      <c r="U130" s="183">
        <f t="shared" si="8"/>
        <v>44689</v>
      </c>
      <c r="V130" s="18">
        <f xml:space="preserve"> SUMIFS(MainData[ExtendedPrice], MainData[Date], U130, MainData[Category], "Beverage", MainData[Pricing], "&lt;&gt;"&amp;"*Adjust*", MainData[Pricing], "&lt;&gt;"&amp;"*LY*", MainData[BillTo], IF('YTD Revenue'!$AJ$14="Yes", "Hotel", "999999")) +
   SUMIFS(MainData[ExtendedPrice], MainData[Date], U130, MainData[Category], "Beverage", MainData[Pricing], "&lt;&gt;"&amp;"*Adjust*", MainData[Pricing], "&lt;&gt;"&amp;"*LY*", MainData[BillTo], IF('YTD Revenue'!$AJ$33="Yes", "EPO", "999999")) +
   SUMIFS(MainData[ExtendedPrice], MainData[Date], U130, MainData[Category], "Beverage", MainData[Pricing], "&lt;&gt;"&amp;"*Adjust*", MainData[Pricing], "&lt;&gt;"&amp;"*LY*", MainData[BillTo], IF('YTD Revenue'!$AJ$52="Yes", "Group", "999999")) -
   SUMIFS(MainData[ExtendedPrice], MainData[Date], U130,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0" s="175">
        <f t="shared" si="9"/>
        <v>9483.0649576271171</v>
      </c>
      <c r="X130" s="175">
        <f t="shared" si="10"/>
        <v>73045.8</v>
      </c>
    </row>
    <row r="131" spans="21:24" x14ac:dyDescent="0.25">
      <c r="U131" s="183">
        <f t="shared" si="8"/>
        <v>44690</v>
      </c>
      <c r="V131" s="18">
        <f xml:space="preserve"> SUMIFS(MainData[ExtendedPrice], MainData[Date], U131, MainData[Category], "Beverage", MainData[Pricing], "&lt;&gt;"&amp;"*Adjust*", MainData[Pricing], "&lt;&gt;"&amp;"*LY*", MainData[BillTo], IF('YTD Revenue'!$AJ$14="Yes", "Hotel", "999999")) +
   SUMIFS(MainData[ExtendedPrice], MainData[Date], U131, MainData[Category], "Beverage", MainData[Pricing], "&lt;&gt;"&amp;"*Adjust*", MainData[Pricing], "&lt;&gt;"&amp;"*LY*", MainData[BillTo], IF('YTD Revenue'!$AJ$33="Yes", "EPO", "999999")) +
   SUMIFS(MainData[ExtendedPrice], MainData[Date], U131, MainData[Category], "Beverage", MainData[Pricing], "&lt;&gt;"&amp;"*Adjust*", MainData[Pricing], "&lt;&gt;"&amp;"*LY*", MainData[BillTo], IF('YTD Revenue'!$AJ$52="Yes", "Group", "999999")) -
   SUMIFS(MainData[ExtendedPrice], MainData[Date], U131,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1" s="175">
        <f t="shared" si="9"/>
        <v>9483.0649576271171</v>
      </c>
      <c r="X131" s="175">
        <f t="shared" si="10"/>
        <v>73045.8</v>
      </c>
    </row>
    <row r="132" spans="21:24" x14ac:dyDescent="0.25">
      <c r="U132" s="183">
        <f t="shared" si="8"/>
        <v>44691</v>
      </c>
      <c r="V132" s="18">
        <f xml:space="preserve"> SUMIFS(MainData[ExtendedPrice], MainData[Date], U132, MainData[Category], "Beverage", MainData[Pricing], "&lt;&gt;"&amp;"*Adjust*", MainData[Pricing], "&lt;&gt;"&amp;"*LY*", MainData[BillTo], IF('YTD Revenue'!$AJ$14="Yes", "Hotel", "999999")) +
   SUMIFS(MainData[ExtendedPrice], MainData[Date], U132, MainData[Category], "Beverage", MainData[Pricing], "&lt;&gt;"&amp;"*Adjust*", MainData[Pricing], "&lt;&gt;"&amp;"*LY*", MainData[BillTo], IF('YTD Revenue'!$AJ$33="Yes", "EPO", "999999")) +
   SUMIFS(MainData[ExtendedPrice], MainData[Date], U132, MainData[Category], "Beverage", MainData[Pricing], "&lt;&gt;"&amp;"*Adjust*", MainData[Pricing], "&lt;&gt;"&amp;"*LY*", MainData[BillTo], IF('YTD Revenue'!$AJ$52="Yes", "Group", "999999")) -
   SUMIFS(MainData[ExtendedPrice], MainData[Date], U132,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2" s="175">
        <f t="shared" si="9"/>
        <v>9483.0649576271171</v>
      </c>
      <c r="X132" s="175">
        <f t="shared" si="10"/>
        <v>73045.8</v>
      </c>
    </row>
    <row r="133" spans="21:24" x14ac:dyDescent="0.25">
      <c r="U133" s="183">
        <f t="shared" ref="U133:U196" si="11">U132+1</f>
        <v>44692</v>
      </c>
      <c r="V133" s="18">
        <f xml:space="preserve"> SUMIFS(MainData[ExtendedPrice], MainData[Date], U133, MainData[Category], "Beverage", MainData[Pricing], "&lt;&gt;"&amp;"*Adjust*", MainData[Pricing], "&lt;&gt;"&amp;"*LY*", MainData[BillTo], IF('YTD Revenue'!$AJ$14="Yes", "Hotel", "999999")) +
   SUMIFS(MainData[ExtendedPrice], MainData[Date], U133, MainData[Category], "Beverage", MainData[Pricing], "&lt;&gt;"&amp;"*Adjust*", MainData[Pricing], "&lt;&gt;"&amp;"*LY*", MainData[BillTo], IF('YTD Revenue'!$AJ$33="Yes", "EPO", "999999")) +
   SUMIFS(MainData[ExtendedPrice], MainData[Date], U133, MainData[Category], "Beverage", MainData[Pricing], "&lt;&gt;"&amp;"*Adjust*", MainData[Pricing], "&lt;&gt;"&amp;"*LY*", MainData[BillTo], IF('YTD Revenue'!$AJ$52="Yes", "Group", "999999")) -
   SUMIFS(MainData[ExtendedPrice], MainData[Date], U133,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3" s="175">
        <f t="shared" ref="W133:W196" si="12">W132</f>
        <v>9483.0649576271171</v>
      </c>
      <c r="X133" s="175">
        <f t="shared" ref="X133:X196" si="13">X132</f>
        <v>73045.8</v>
      </c>
    </row>
    <row r="134" spans="21:24" x14ac:dyDescent="0.25">
      <c r="U134" s="183">
        <f t="shared" si="11"/>
        <v>44693</v>
      </c>
      <c r="V134" s="18">
        <f xml:space="preserve"> SUMIFS(MainData[ExtendedPrice], MainData[Date], U134, MainData[Category], "Beverage", MainData[Pricing], "&lt;&gt;"&amp;"*Adjust*", MainData[Pricing], "&lt;&gt;"&amp;"*LY*", MainData[BillTo], IF('YTD Revenue'!$AJ$14="Yes", "Hotel", "999999")) +
   SUMIFS(MainData[ExtendedPrice], MainData[Date], U134, MainData[Category], "Beverage", MainData[Pricing], "&lt;&gt;"&amp;"*Adjust*", MainData[Pricing], "&lt;&gt;"&amp;"*LY*", MainData[BillTo], IF('YTD Revenue'!$AJ$33="Yes", "EPO", "999999")) +
   SUMIFS(MainData[ExtendedPrice], MainData[Date], U134, MainData[Category], "Beverage", MainData[Pricing], "&lt;&gt;"&amp;"*Adjust*", MainData[Pricing], "&lt;&gt;"&amp;"*LY*", MainData[BillTo], IF('YTD Revenue'!$AJ$52="Yes", "Group", "999999")) -
   SUMIFS(MainData[ExtendedPrice], MainData[Date], U134,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4" s="175">
        <f t="shared" si="12"/>
        <v>9483.0649576271171</v>
      </c>
      <c r="X134" s="175">
        <f t="shared" si="13"/>
        <v>73045.8</v>
      </c>
    </row>
    <row r="135" spans="21:24" x14ac:dyDescent="0.25">
      <c r="U135" s="183">
        <f t="shared" si="11"/>
        <v>44694</v>
      </c>
      <c r="V135" s="18">
        <f xml:space="preserve"> SUMIFS(MainData[ExtendedPrice], MainData[Date], U135, MainData[Category], "Beverage", MainData[Pricing], "&lt;&gt;"&amp;"*Adjust*", MainData[Pricing], "&lt;&gt;"&amp;"*LY*", MainData[BillTo], IF('YTD Revenue'!$AJ$14="Yes", "Hotel", "999999")) +
   SUMIFS(MainData[ExtendedPrice], MainData[Date], U135, MainData[Category], "Beverage", MainData[Pricing], "&lt;&gt;"&amp;"*Adjust*", MainData[Pricing], "&lt;&gt;"&amp;"*LY*", MainData[BillTo], IF('YTD Revenue'!$AJ$33="Yes", "EPO", "999999")) +
   SUMIFS(MainData[ExtendedPrice], MainData[Date], U135, MainData[Category], "Beverage", MainData[Pricing], "&lt;&gt;"&amp;"*Adjust*", MainData[Pricing], "&lt;&gt;"&amp;"*LY*", MainData[BillTo], IF('YTD Revenue'!$AJ$52="Yes", "Group", "999999")) -
   SUMIFS(MainData[ExtendedPrice], MainData[Date], U135,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5" s="175">
        <f t="shared" si="12"/>
        <v>9483.0649576271171</v>
      </c>
      <c r="X135" s="175">
        <f t="shared" si="13"/>
        <v>73045.8</v>
      </c>
    </row>
    <row r="136" spans="21:24" x14ac:dyDescent="0.25">
      <c r="U136" s="183">
        <f t="shared" si="11"/>
        <v>44695</v>
      </c>
      <c r="V136" s="18">
        <f xml:space="preserve"> SUMIFS(MainData[ExtendedPrice], MainData[Date], U136, MainData[Category], "Beverage", MainData[Pricing], "&lt;&gt;"&amp;"*Adjust*", MainData[Pricing], "&lt;&gt;"&amp;"*LY*", MainData[BillTo], IF('YTD Revenue'!$AJ$14="Yes", "Hotel", "999999")) +
   SUMIFS(MainData[ExtendedPrice], MainData[Date], U136, MainData[Category], "Beverage", MainData[Pricing], "&lt;&gt;"&amp;"*Adjust*", MainData[Pricing], "&lt;&gt;"&amp;"*LY*", MainData[BillTo], IF('YTD Revenue'!$AJ$33="Yes", "EPO", "999999")) +
   SUMIFS(MainData[ExtendedPrice], MainData[Date], U136, MainData[Category], "Beverage", MainData[Pricing], "&lt;&gt;"&amp;"*Adjust*", MainData[Pricing], "&lt;&gt;"&amp;"*LY*", MainData[BillTo], IF('YTD Revenue'!$AJ$52="Yes", "Group", "999999")) -
   SUMIFS(MainData[ExtendedPrice], MainData[Date], U136,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6" s="175">
        <f t="shared" si="12"/>
        <v>9483.0649576271171</v>
      </c>
      <c r="X136" s="175">
        <f t="shared" si="13"/>
        <v>73045.8</v>
      </c>
    </row>
    <row r="137" spans="21:24" x14ac:dyDescent="0.25">
      <c r="U137" s="183">
        <f t="shared" si="11"/>
        <v>44696</v>
      </c>
      <c r="V137" s="18">
        <f xml:space="preserve"> SUMIFS(MainData[ExtendedPrice], MainData[Date], U137, MainData[Category], "Beverage", MainData[Pricing], "&lt;&gt;"&amp;"*Adjust*", MainData[Pricing], "&lt;&gt;"&amp;"*LY*", MainData[BillTo], IF('YTD Revenue'!$AJ$14="Yes", "Hotel", "999999")) +
   SUMIFS(MainData[ExtendedPrice], MainData[Date], U137, MainData[Category], "Beverage", MainData[Pricing], "&lt;&gt;"&amp;"*Adjust*", MainData[Pricing], "&lt;&gt;"&amp;"*LY*", MainData[BillTo], IF('YTD Revenue'!$AJ$33="Yes", "EPO", "999999")) +
   SUMIFS(MainData[ExtendedPrice], MainData[Date], U137, MainData[Category], "Beverage", MainData[Pricing], "&lt;&gt;"&amp;"*Adjust*", MainData[Pricing], "&lt;&gt;"&amp;"*LY*", MainData[BillTo], IF('YTD Revenue'!$AJ$52="Yes", "Group", "999999")) -
   SUMIFS(MainData[ExtendedPrice], MainData[Date], U137,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7" s="175">
        <f t="shared" si="12"/>
        <v>9483.0649576271171</v>
      </c>
      <c r="X137" s="175">
        <f t="shared" si="13"/>
        <v>73045.8</v>
      </c>
    </row>
    <row r="138" spans="21:24" x14ac:dyDescent="0.25">
      <c r="U138" s="183">
        <f t="shared" si="11"/>
        <v>44697</v>
      </c>
      <c r="V138" s="18">
        <f xml:space="preserve"> SUMIFS(MainData[ExtendedPrice], MainData[Date], U138, MainData[Category], "Beverage", MainData[Pricing], "&lt;&gt;"&amp;"*Adjust*", MainData[Pricing], "&lt;&gt;"&amp;"*LY*", MainData[BillTo], IF('YTD Revenue'!$AJ$14="Yes", "Hotel", "999999")) +
   SUMIFS(MainData[ExtendedPrice], MainData[Date], U138, MainData[Category], "Beverage", MainData[Pricing], "&lt;&gt;"&amp;"*Adjust*", MainData[Pricing], "&lt;&gt;"&amp;"*LY*", MainData[BillTo], IF('YTD Revenue'!$AJ$33="Yes", "EPO", "999999")) +
   SUMIFS(MainData[ExtendedPrice], MainData[Date], U138, MainData[Category], "Beverage", MainData[Pricing], "&lt;&gt;"&amp;"*Adjust*", MainData[Pricing], "&lt;&gt;"&amp;"*LY*", MainData[BillTo], IF('YTD Revenue'!$AJ$52="Yes", "Group", "999999")) -
   SUMIFS(MainData[ExtendedPrice], MainData[Date], U138,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8" s="175">
        <f t="shared" si="12"/>
        <v>9483.0649576271171</v>
      </c>
      <c r="X138" s="175">
        <f t="shared" si="13"/>
        <v>73045.8</v>
      </c>
    </row>
    <row r="139" spans="21:24" x14ac:dyDescent="0.25">
      <c r="U139" s="183">
        <f t="shared" si="11"/>
        <v>44698</v>
      </c>
      <c r="V139" s="18">
        <f xml:space="preserve"> SUMIFS(MainData[ExtendedPrice], MainData[Date], U139, MainData[Category], "Beverage", MainData[Pricing], "&lt;&gt;"&amp;"*Adjust*", MainData[Pricing], "&lt;&gt;"&amp;"*LY*", MainData[BillTo], IF('YTD Revenue'!$AJ$14="Yes", "Hotel", "999999")) +
   SUMIFS(MainData[ExtendedPrice], MainData[Date], U139, MainData[Category], "Beverage", MainData[Pricing], "&lt;&gt;"&amp;"*Adjust*", MainData[Pricing], "&lt;&gt;"&amp;"*LY*", MainData[BillTo], IF('YTD Revenue'!$AJ$33="Yes", "EPO", "999999")) +
   SUMIFS(MainData[ExtendedPrice], MainData[Date], U139, MainData[Category], "Beverage", MainData[Pricing], "&lt;&gt;"&amp;"*Adjust*", MainData[Pricing], "&lt;&gt;"&amp;"*LY*", MainData[BillTo], IF('YTD Revenue'!$AJ$52="Yes", "Group", "999999")) -
   SUMIFS(MainData[ExtendedPrice], MainData[Date], U139,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9" s="175">
        <f t="shared" si="12"/>
        <v>9483.0649576271171</v>
      </c>
      <c r="X139" s="175">
        <f t="shared" si="13"/>
        <v>73045.8</v>
      </c>
    </row>
    <row r="140" spans="21:24" x14ac:dyDescent="0.25">
      <c r="U140" s="183">
        <f t="shared" si="11"/>
        <v>44699</v>
      </c>
      <c r="V140" s="18">
        <f xml:space="preserve"> SUMIFS(MainData[ExtendedPrice], MainData[Date], U140, MainData[Category], "Beverage", MainData[Pricing], "&lt;&gt;"&amp;"*Adjust*", MainData[Pricing], "&lt;&gt;"&amp;"*LY*", MainData[BillTo], IF('YTD Revenue'!$AJ$14="Yes", "Hotel", "999999")) +
   SUMIFS(MainData[ExtendedPrice], MainData[Date], U140, MainData[Category], "Beverage", MainData[Pricing], "&lt;&gt;"&amp;"*Adjust*", MainData[Pricing], "&lt;&gt;"&amp;"*LY*", MainData[BillTo], IF('YTD Revenue'!$AJ$33="Yes", "EPO", "999999")) +
   SUMIFS(MainData[ExtendedPrice], MainData[Date], U140, MainData[Category], "Beverage", MainData[Pricing], "&lt;&gt;"&amp;"*Adjust*", MainData[Pricing], "&lt;&gt;"&amp;"*LY*", MainData[BillTo], IF('YTD Revenue'!$AJ$52="Yes", "Group", "999999")) -
   SUMIFS(MainData[ExtendedPrice], MainData[Date], U140,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0" s="175">
        <f t="shared" si="12"/>
        <v>9483.0649576271171</v>
      </c>
      <c r="X140" s="175">
        <f t="shared" si="13"/>
        <v>73045.8</v>
      </c>
    </row>
    <row r="141" spans="21:24" x14ac:dyDescent="0.25">
      <c r="U141" s="183">
        <f t="shared" si="11"/>
        <v>44700</v>
      </c>
      <c r="V141" s="18">
        <f xml:space="preserve"> SUMIFS(MainData[ExtendedPrice], MainData[Date], U141, MainData[Category], "Beverage", MainData[Pricing], "&lt;&gt;"&amp;"*Adjust*", MainData[Pricing], "&lt;&gt;"&amp;"*LY*", MainData[BillTo], IF('YTD Revenue'!$AJ$14="Yes", "Hotel", "999999")) +
   SUMIFS(MainData[ExtendedPrice], MainData[Date], U141, MainData[Category], "Beverage", MainData[Pricing], "&lt;&gt;"&amp;"*Adjust*", MainData[Pricing], "&lt;&gt;"&amp;"*LY*", MainData[BillTo], IF('YTD Revenue'!$AJ$33="Yes", "EPO", "999999")) +
   SUMIFS(MainData[ExtendedPrice], MainData[Date], U141, MainData[Category], "Beverage", MainData[Pricing], "&lt;&gt;"&amp;"*Adjust*", MainData[Pricing], "&lt;&gt;"&amp;"*LY*", MainData[BillTo], IF('YTD Revenue'!$AJ$52="Yes", "Group", "999999")) -
   SUMIFS(MainData[ExtendedPrice], MainData[Date], U141,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1" s="175">
        <f t="shared" si="12"/>
        <v>9483.0649576271171</v>
      </c>
      <c r="X141" s="175">
        <f t="shared" si="13"/>
        <v>73045.8</v>
      </c>
    </row>
    <row r="142" spans="21:24" x14ac:dyDescent="0.25">
      <c r="U142" s="183">
        <f t="shared" si="11"/>
        <v>44701</v>
      </c>
      <c r="V142" s="18">
        <f xml:space="preserve"> SUMIFS(MainData[ExtendedPrice], MainData[Date], U142, MainData[Category], "Beverage", MainData[Pricing], "&lt;&gt;"&amp;"*Adjust*", MainData[Pricing], "&lt;&gt;"&amp;"*LY*", MainData[BillTo], IF('YTD Revenue'!$AJ$14="Yes", "Hotel", "999999")) +
   SUMIFS(MainData[ExtendedPrice], MainData[Date], U142, MainData[Category], "Beverage", MainData[Pricing], "&lt;&gt;"&amp;"*Adjust*", MainData[Pricing], "&lt;&gt;"&amp;"*LY*", MainData[BillTo], IF('YTD Revenue'!$AJ$33="Yes", "EPO", "999999")) +
   SUMIFS(MainData[ExtendedPrice], MainData[Date], U142, MainData[Category], "Beverage", MainData[Pricing], "&lt;&gt;"&amp;"*Adjust*", MainData[Pricing], "&lt;&gt;"&amp;"*LY*", MainData[BillTo], IF('YTD Revenue'!$AJ$52="Yes", "Group", "999999")) -
   SUMIFS(MainData[ExtendedPrice], MainData[Date], U142,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2" s="175">
        <f t="shared" si="12"/>
        <v>9483.0649576271171</v>
      </c>
      <c r="X142" s="175">
        <f t="shared" si="13"/>
        <v>73045.8</v>
      </c>
    </row>
    <row r="143" spans="21:24" x14ac:dyDescent="0.25">
      <c r="U143" s="183">
        <f t="shared" si="11"/>
        <v>44702</v>
      </c>
      <c r="V143" s="18">
        <f xml:space="preserve"> SUMIFS(MainData[ExtendedPrice], MainData[Date], U143, MainData[Category], "Beverage", MainData[Pricing], "&lt;&gt;"&amp;"*Adjust*", MainData[Pricing], "&lt;&gt;"&amp;"*LY*", MainData[BillTo], IF('YTD Revenue'!$AJ$14="Yes", "Hotel", "999999")) +
   SUMIFS(MainData[ExtendedPrice], MainData[Date], U143, MainData[Category], "Beverage", MainData[Pricing], "&lt;&gt;"&amp;"*Adjust*", MainData[Pricing], "&lt;&gt;"&amp;"*LY*", MainData[BillTo], IF('YTD Revenue'!$AJ$33="Yes", "EPO", "999999")) +
   SUMIFS(MainData[ExtendedPrice], MainData[Date], U143, MainData[Category], "Beverage", MainData[Pricing], "&lt;&gt;"&amp;"*Adjust*", MainData[Pricing], "&lt;&gt;"&amp;"*LY*", MainData[BillTo], IF('YTD Revenue'!$AJ$52="Yes", "Group", "999999")) -
   SUMIFS(MainData[ExtendedPrice], MainData[Date], U143,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3" s="175">
        <f t="shared" si="12"/>
        <v>9483.0649576271171</v>
      </c>
      <c r="X143" s="175">
        <f t="shared" si="13"/>
        <v>73045.8</v>
      </c>
    </row>
    <row r="144" spans="21:24" x14ac:dyDescent="0.25">
      <c r="U144" s="183">
        <f t="shared" si="11"/>
        <v>44703</v>
      </c>
      <c r="V144" s="18">
        <f xml:space="preserve"> SUMIFS(MainData[ExtendedPrice], MainData[Date], U144, MainData[Category], "Beverage", MainData[Pricing], "&lt;&gt;"&amp;"*Adjust*", MainData[Pricing], "&lt;&gt;"&amp;"*LY*", MainData[BillTo], IF('YTD Revenue'!$AJ$14="Yes", "Hotel", "999999")) +
   SUMIFS(MainData[ExtendedPrice], MainData[Date], U144, MainData[Category], "Beverage", MainData[Pricing], "&lt;&gt;"&amp;"*Adjust*", MainData[Pricing], "&lt;&gt;"&amp;"*LY*", MainData[BillTo], IF('YTD Revenue'!$AJ$33="Yes", "EPO", "999999")) +
   SUMIFS(MainData[ExtendedPrice], MainData[Date], U144, MainData[Category], "Beverage", MainData[Pricing], "&lt;&gt;"&amp;"*Adjust*", MainData[Pricing], "&lt;&gt;"&amp;"*LY*", MainData[BillTo], IF('YTD Revenue'!$AJ$52="Yes", "Group", "999999")) -
   SUMIFS(MainData[ExtendedPrice], MainData[Date], U144,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4" s="175">
        <f t="shared" si="12"/>
        <v>9483.0649576271171</v>
      </c>
      <c r="X144" s="175">
        <f t="shared" si="13"/>
        <v>73045.8</v>
      </c>
    </row>
    <row r="145" spans="21:24" x14ac:dyDescent="0.25">
      <c r="U145" s="183">
        <f t="shared" si="11"/>
        <v>44704</v>
      </c>
      <c r="V145" s="18">
        <f xml:space="preserve"> SUMIFS(MainData[ExtendedPrice], MainData[Date], U145, MainData[Category], "Beverage", MainData[Pricing], "&lt;&gt;"&amp;"*Adjust*", MainData[Pricing], "&lt;&gt;"&amp;"*LY*", MainData[BillTo], IF('YTD Revenue'!$AJ$14="Yes", "Hotel", "999999")) +
   SUMIFS(MainData[ExtendedPrice], MainData[Date], U145, MainData[Category], "Beverage", MainData[Pricing], "&lt;&gt;"&amp;"*Adjust*", MainData[Pricing], "&lt;&gt;"&amp;"*LY*", MainData[BillTo], IF('YTD Revenue'!$AJ$33="Yes", "EPO", "999999")) +
   SUMIFS(MainData[ExtendedPrice], MainData[Date], U145, MainData[Category], "Beverage", MainData[Pricing], "&lt;&gt;"&amp;"*Adjust*", MainData[Pricing], "&lt;&gt;"&amp;"*LY*", MainData[BillTo], IF('YTD Revenue'!$AJ$52="Yes", "Group", "999999")) -
   SUMIFS(MainData[ExtendedPrice], MainData[Date], U145,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5" s="175">
        <f t="shared" si="12"/>
        <v>9483.0649576271171</v>
      </c>
      <c r="X145" s="175">
        <f t="shared" si="13"/>
        <v>73045.8</v>
      </c>
    </row>
    <row r="146" spans="21:24" x14ac:dyDescent="0.25">
      <c r="U146" s="183">
        <f t="shared" si="11"/>
        <v>44705</v>
      </c>
      <c r="V146" s="18">
        <f xml:space="preserve"> SUMIFS(MainData[ExtendedPrice], MainData[Date], U146, MainData[Category], "Beverage", MainData[Pricing], "&lt;&gt;"&amp;"*Adjust*", MainData[Pricing], "&lt;&gt;"&amp;"*LY*", MainData[BillTo], IF('YTD Revenue'!$AJ$14="Yes", "Hotel", "999999")) +
   SUMIFS(MainData[ExtendedPrice], MainData[Date], U146, MainData[Category], "Beverage", MainData[Pricing], "&lt;&gt;"&amp;"*Adjust*", MainData[Pricing], "&lt;&gt;"&amp;"*LY*", MainData[BillTo], IF('YTD Revenue'!$AJ$33="Yes", "EPO", "999999")) +
   SUMIFS(MainData[ExtendedPrice], MainData[Date], U146, MainData[Category], "Beverage", MainData[Pricing], "&lt;&gt;"&amp;"*Adjust*", MainData[Pricing], "&lt;&gt;"&amp;"*LY*", MainData[BillTo], IF('YTD Revenue'!$AJ$52="Yes", "Group", "999999")) -
   SUMIFS(MainData[ExtendedPrice], MainData[Date], U146,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6" s="175">
        <f t="shared" si="12"/>
        <v>9483.0649576271171</v>
      </c>
      <c r="X146" s="175">
        <f t="shared" si="13"/>
        <v>73045.8</v>
      </c>
    </row>
    <row r="147" spans="21:24" x14ac:dyDescent="0.25">
      <c r="U147" s="183">
        <f t="shared" si="11"/>
        <v>44706</v>
      </c>
      <c r="V147" s="18">
        <f xml:space="preserve"> SUMIFS(MainData[ExtendedPrice], MainData[Date], U147, MainData[Category], "Beverage", MainData[Pricing], "&lt;&gt;"&amp;"*Adjust*", MainData[Pricing], "&lt;&gt;"&amp;"*LY*", MainData[BillTo], IF('YTD Revenue'!$AJ$14="Yes", "Hotel", "999999")) +
   SUMIFS(MainData[ExtendedPrice], MainData[Date], U147, MainData[Category], "Beverage", MainData[Pricing], "&lt;&gt;"&amp;"*Adjust*", MainData[Pricing], "&lt;&gt;"&amp;"*LY*", MainData[BillTo], IF('YTD Revenue'!$AJ$33="Yes", "EPO", "999999")) +
   SUMIFS(MainData[ExtendedPrice], MainData[Date], U147, MainData[Category], "Beverage", MainData[Pricing], "&lt;&gt;"&amp;"*Adjust*", MainData[Pricing], "&lt;&gt;"&amp;"*LY*", MainData[BillTo], IF('YTD Revenue'!$AJ$52="Yes", "Group", "999999")) -
   SUMIFS(MainData[ExtendedPrice], MainData[Date], U147,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7" s="175">
        <f t="shared" si="12"/>
        <v>9483.0649576271171</v>
      </c>
      <c r="X147" s="175">
        <f t="shared" si="13"/>
        <v>73045.8</v>
      </c>
    </row>
    <row r="148" spans="21:24" x14ac:dyDescent="0.25">
      <c r="U148" s="183">
        <f t="shared" si="11"/>
        <v>44707</v>
      </c>
      <c r="V148" s="18">
        <f xml:space="preserve"> SUMIFS(MainData[ExtendedPrice], MainData[Date], U148, MainData[Category], "Beverage", MainData[Pricing], "&lt;&gt;"&amp;"*Adjust*", MainData[Pricing], "&lt;&gt;"&amp;"*LY*", MainData[BillTo], IF('YTD Revenue'!$AJ$14="Yes", "Hotel", "999999")) +
   SUMIFS(MainData[ExtendedPrice], MainData[Date], U148, MainData[Category], "Beverage", MainData[Pricing], "&lt;&gt;"&amp;"*Adjust*", MainData[Pricing], "&lt;&gt;"&amp;"*LY*", MainData[BillTo], IF('YTD Revenue'!$AJ$33="Yes", "EPO", "999999")) +
   SUMIFS(MainData[ExtendedPrice], MainData[Date], U148, MainData[Category], "Beverage", MainData[Pricing], "&lt;&gt;"&amp;"*Adjust*", MainData[Pricing], "&lt;&gt;"&amp;"*LY*", MainData[BillTo], IF('YTD Revenue'!$AJ$52="Yes", "Group", "999999")) -
   SUMIFS(MainData[ExtendedPrice], MainData[Date], U148,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8" s="175">
        <f t="shared" si="12"/>
        <v>9483.0649576271171</v>
      </c>
      <c r="X148" s="175">
        <f t="shared" si="13"/>
        <v>73045.8</v>
      </c>
    </row>
    <row r="149" spans="21:24" x14ac:dyDescent="0.25">
      <c r="U149" s="183">
        <f t="shared" si="11"/>
        <v>44708</v>
      </c>
      <c r="V149" s="18">
        <f xml:space="preserve"> SUMIFS(MainData[ExtendedPrice], MainData[Date], U149, MainData[Category], "Beverage", MainData[Pricing], "&lt;&gt;"&amp;"*Adjust*", MainData[Pricing], "&lt;&gt;"&amp;"*LY*", MainData[BillTo], IF('YTD Revenue'!$AJ$14="Yes", "Hotel", "999999")) +
   SUMIFS(MainData[ExtendedPrice], MainData[Date], U149, MainData[Category], "Beverage", MainData[Pricing], "&lt;&gt;"&amp;"*Adjust*", MainData[Pricing], "&lt;&gt;"&amp;"*LY*", MainData[BillTo], IF('YTD Revenue'!$AJ$33="Yes", "EPO", "999999")) +
   SUMIFS(MainData[ExtendedPrice], MainData[Date], U149, MainData[Category], "Beverage", MainData[Pricing], "&lt;&gt;"&amp;"*Adjust*", MainData[Pricing], "&lt;&gt;"&amp;"*LY*", MainData[BillTo], IF('YTD Revenue'!$AJ$52="Yes", "Group", "999999")) -
   SUMIFS(MainData[ExtendedPrice], MainData[Date], U149,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9" s="175">
        <f t="shared" si="12"/>
        <v>9483.0649576271171</v>
      </c>
      <c r="X149" s="175">
        <f t="shared" si="13"/>
        <v>73045.8</v>
      </c>
    </row>
    <row r="150" spans="21:24" x14ac:dyDescent="0.25">
      <c r="U150" s="183">
        <f t="shared" si="11"/>
        <v>44709</v>
      </c>
      <c r="V150" s="18">
        <f xml:space="preserve"> SUMIFS(MainData[ExtendedPrice], MainData[Date], U150, MainData[Category], "Beverage", MainData[Pricing], "&lt;&gt;"&amp;"*Adjust*", MainData[Pricing], "&lt;&gt;"&amp;"*LY*", MainData[BillTo], IF('YTD Revenue'!$AJ$14="Yes", "Hotel", "999999")) +
   SUMIFS(MainData[ExtendedPrice], MainData[Date], U150, MainData[Category], "Beverage", MainData[Pricing], "&lt;&gt;"&amp;"*Adjust*", MainData[Pricing], "&lt;&gt;"&amp;"*LY*", MainData[BillTo], IF('YTD Revenue'!$AJ$33="Yes", "EPO", "999999")) +
   SUMIFS(MainData[ExtendedPrice], MainData[Date], U150, MainData[Category], "Beverage", MainData[Pricing], "&lt;&gt;"&amp;"*Adjust*", MainData[Pricing], "&lt;&gt;"&amp;"*LY*", MainData[BillTo], IF('YTD Revenue'!$AJ$52="Yes", "Group", "999999")) -
   SUMIFS(MainData[ExtendedPrice], MainData[Date], U150,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0" s="175">
        <f t="shared" si="12"/>
        <v>9483.0649576271171</v>
      </c>
      <c r="X150" s="175">
        <f t="shared" si="13"/>
        <v>73045.8</v>
      </c>
    </row>
    <row r="151" spans="21:24" x14ac:dyDescent="0.25">
      <c r="U151" s="183">
        <f t="shared" si="11"/>
        <v>44710</v>
      </c>
      <c r="V151" s="18">
        <f xml:space="preserve"> SUMIFS(MainData[ExtendedPrice], MainData[Date], U151, MainData[Category], "Beverage", MainData[Pricing], "&lt;&gt;"&amp;"*Adjust*", MainData[Pricing], "&lt;&gt;"&amp;"*LY*", MainData[BillTo], IF('YTD Revenue'!$AJ$14="Yes", "Hotel", "999999")) +
   SUMIFS(MainData[ExtendedPrice], MainData[Date], U151, MainData[Category], "Beverage", MainData[Pricing], "&lt;&gt;"&amp;"*Adjust*", MainData[Pricing], "&lt;&gt;"&amp;"*LY*", MainData[BillTo], IF('YTD Revenue'!$AJ$33="Yes", "EPO", "999999")) +
   SUMIFS(MainData[ExtendedPrice], MainData[Date], U151, MainData[Category], "Beverage", MainData[Pricing], "&lt;&gt;"&amp;"*Adjust*", MainData[Pricing], "&lt;&gt;"&amp;"*LY*", MainData[BillTo], IF('YTD Revenue'!$AJ$52="Yes", "Group", "999999")) -
   SUMIFS(MainData[ExtendedPrice], MainData[Date], U151,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1" s="175">
        <f t="shared" si="12"/>
        <v>9483.0649576271171</v>
      </c>
      <c r="X151" s="175">
        <f t="shared" si="13"/>
        <v>73045.8</v>
      </c>
    </row>
    <row r="152" spans="21:24" x14ac:dyDescent="0.25">
      <c r="U152" s="183">
        <f t="shared" si="11"/>
        <v>44711</v>
      </c>
      <c r="V152" s="18">
        <f xml:space="preserve"> SUMIFS(MainData[ExtendedPrice], MainData[Date], U152, MainData[Category], "Beverage", MainData[Pricing], "&lt;&gt;"&amp;"*Adjust*", MainData[Pricing], "&lt;&gt;"&amp;"*LY*", MainData[BillTo], IF('YTD Revenue'!$AJ$14="Yes", "Hotel", "999999")) +
   SUMIFS(MainData[ExtendedPrice], MainData[Date], U152, MainData[Category], "Beverage", MainData[Pricing], "&lt;&gt;"&amp;"*Adjust*", MainData[Pricing], "&lt;&gt;"&amp;"*LY*", MainData[BillTo], IF('YTD Revenue'!$AJ$33="Yes", "EPO", "999999")) +
   SUMIFS(MainData[ExtendedPrice], MainData[Date], U152, MainData[Category], "Beverage", MainData[Pricing], "&lt;&gt;"&amp;"*Adjust*", MainData[Pricing], "&lt;&gt;"&amp;"*LY*", MainData[BillTo], IF('YTD Revenue'!$AJ$52="Yes", "Group", "999999")) -
   SUMIFS(MainData[ExtendedPrice], MainData[Date], U152,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2" s="175">
        <f t="shared" si="12"/>
        <v>9483.0649576271171</v>
      </c>
      <c r="X152" s="175">
        <f t="shared" si="13"/>
        <v>73045.8</v>
      </c>
    </row>
    <row r="153" spans="21:24" x14ac:dyDescent="0.25">
      <c r="U153" s="183">
        <f t="shared" si="11"/>
        <v>44712</v>
      </c>
      <c r="V153" s="18">
        <f xml:space="preserve"> SUMIFS(MainData[ExtendedPrice], MainData[Date], U153, MainData[Category], "Beverage", MainData[Pricing], "&lt;&gt;"&amp;"*Adjust*", MainData[Pricing], "&lt;&gt;"&amp;"*LY*", MainData[BillTo], IF('YTD Revenue'!$AJ$14="Yes", "Hotel", "999999")) +
   SUMIFS(MainData[ExtendedPrice], MainData[Date], U153, MainData[Category], "Beverage", MainData[Pricing], "&lt;&gt;"&amp;"*Adjust*", MainData[Pricing], "&lt;&gt;"&amp;"*LY*", MainData[BillTo], IF('YTD Revenue'!$AJ$33="Yes", "EPO", "999999")) +
   SUMIFS(MainData[ExtendedPrice], MainData[Date], U153, MainData[Category], "Beverage", MainData[Pricing], "&lt;&gt;"&amp;"*Adjust*", MainData[Pricing], "&lt;&gt;"&amp;"*LY*", MainData[BillTo], IF('YTD Revenue'!$AJ$52="Yes", "Group", "999999")) -
   SUMIFS(MainData[ExtendedPrice], MainData[Date], U153,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3" s="175">
        <f t="shared" si="12"/>
        <v>9483.0649576271171</v>
      </c>
      <c r="X153" s="175">
        <f t="shared" si="13"/>
        <v>73045.8</v>
      </c>
    </row>
    <row r="154" spans="21:24" x14ac:dyDescent="0.25">
      <c r="U154" s="183">
        <f t="shared" si="11"/>
        <v>44713</v>
      </c>
      <c r="V154" s="18">
        <f xml:space="preserve"> SUMIFS(MainData[ExtendedPrice], MainData[Date], U154, MainData[Category], "Beverage", MainData[Pricing], "&lt;&gt;"&amp;"*Adjust*", MainData[Pricing], "&lt;&gt;"&amp;"*LY*", MainData[BillTo], IF('YTD Revenue'!$AJ$14="Yes", "Hotel", "999999")) +
   SUMIFS(MainData[ExtendedPrice], MainData[Date], U154, MainData[Category], "Beverage", MainData[Pricing], "&lt;&gt;"&amp;"*Adjust*", MainData[Pricing], "&lt;&gt;"&amp;"*LY*", MainData[BillTo], IF('YTD Revenue'!$AJ$33="Yes", "EPO", "999999")) +
   SUMIFS(MainData[ExtendedPrice], MainData[Date], U154, MainData[Category], "Beverage", MainData[Pricing], "&lt;&gt;"&amp;"*Adjust*", MainData[Pricing], "&lt;&gt;"&amp;"*LY*", MainData[BillTo], IF('YTD Revenue'!$AJ$52="Yes", "Group", "999999")) -
   SUMIFS(MainData[ExtendedPrice], MainData[Date], U154,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4" s="175">
        <f t="shared" si="12"/>
        <v>9483.0649576271171</v>
      </c>
      <c r="X154" s="175">
        <f t="shared" si="13"/>
        <v>73045.8</v>
      </c>
    </row>
    <row r="155" spans="21:24" x14ac:dyDescent="0.25">
      <c r="U155" s="183">
        <f t="shared" si="11"/>
        <v>44714</v>
      </c>
      <c r="V155" s="18">
        <f xml:space="preserve"> SUMIFS(MainData[ExtendedPrice], MainData[Date], U155, MainData[Category], "Beverage", MainData[Pricing], "&lt;&gt;"&amp;"*Adjust*", MainData[Pricing], "&lt;&gt;"&amp;"*LY*", MainData[BillTo], IF('YTD Revenue'!$AJ$14="Yes", "Hotel", "999999")) +
   SUMIFS(MainData[ExtendedPrice], MainData[Date], U155, MainData[Category], "Beverage", MainData[Pricing], "&lt;&gt;"&amp;"*Adjust*", MainData[Pricing], "&lt;&gt;"&amp;"*LY*", MainData[BillTo], IF('YTD Revenue'!$AJ$33="Yes", "EPO", "999999")) +
   SUMIFS(MainData[ExtendedPrice], MainData[Date], U155, MainData[Category], "Beverage", MainData[Pricing], "&lt;&gt;"&amp;"*Adjust*", MainData[Pricing], "&lt;&gt;"&amp;"*LY*", MainData[BillTo], IF('YTD Revenue'!$AJ$52="Yes", "Group", "999999")) -
   SUMIFS(MainData[ExtendedPrice], MainData[Date], U155,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5" s="175">
        <f t="shared" si="12"/>
        <v>9483.0649576271171</v>
      </c>
      <c r="X155" s="175">
        <f t="shared" si="13"/>
        <v>73045.8</v>
      </c>
    </row>
    <row r="156" spans="21:24" x14ac:dyDescent="0.25">
      <c r="U156" s="183">
        <f t="shared" si="11"/>
        <v>44715</v>
      </c>
      <c r="V156" s="18">
        <f xml:space="preserve"> SUMIFS(MainData[ExtendedPrice], MainData[Date], U156, MainData[Category], "Beverage", MainData[Pricing], "&lt;&gt;"&amp;"*Adjust*", MainData[Pricing], "&lt;&gt;"&amp;"*LY*", MainData[BillTo], IF('YTD Revenue'!$AJ$14="Yes", "Hotel", "999999")) +
   SUMIFS(MainData[ExtendedPrice], MainData[Date], U156, MainData[Category], "Beverage", MainData[Pricing], "&lt;&gt;"&amp;"*Adjust*", MainData[Pricing], "&lt;&gt;"&amp;"*LY*", MainData[BillTo], IF('YTD Revenue'!$AJ$33="Yes", "EPO", "999999")) +
   SUMIFS(MainData[ExtendedPrice], MainData[Date], U156, MainData[Category], "Beverage", MainData[Pricing], "&lt;&gt;"&amp;"*Adjust*", MainData[Pricing], "&lt;&gt;"&amp;"*LY*", MainData[BillTo], IF('YTD Revenue'!$AJ$52="Yes", "Group", "999999")) -
   SUMIFS(MainData[ExtendedPrice], MainData[Date], U156,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6" s="175">
        <f t="shared" si="12"/>
        <v>9483.0649576271171</v>
      </c>
      <c r="X156" s="175">
        <f t="shared" si="13"/>
        <v>73045.8</v>
      </c>
    </row>
    <row r="157" spans="21:24" x14ac:dyDescent="0.25">
      <c r="U157" s="183">
        <f t="shared" si="11"/>
        <v>44716</v>
      </c>
      <c r="V157" s="18">
        <f xml:space="preserve"> SUMIFS(MainData[ExtendedPrice], MainData[Date], U157, MainData[Category], "Beverage", MainData[Pricing], "&lt;&gt;"&amp;"*Adjust*", MainData[Pricing], "&lt;&gt;"&amp;"*LY*", MainData[BillTo], IF('YTD Revenue'!$AJ$14="Yes", "Hotel", "999999")) +
   SUMIFS(MainData[ExtendedPrice], MainData[Date], U157, MainData[Category], "Beverage", MainData[Pricing], "&lt;&gt;"&amp;"*Adjust*", MainData[Pricing], "&lt;&gt;"&amp;"*LY*", MainData[BillTo], IF('YTD Revenue'!$AJ$33="Yes", "EPO", "999999")) +
   SUMIFS(MainData[ExtendedPrice], MainData[Date], U157, MainData[Category], "Beverage", MainData[Pricing], "&lt;&gt;"&amp;"*Adjust*", MainData[Pricing], "&lt;&gt;"&amp;"*LY*", MainData[BillTo], IF('YTD Revenue'!$AJ$52="Yes", "Group", "999999")) -
   SUMIFS(MainData[ExtendedPrice], MainData[Date], U157,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7" s="175">
        <f t="shared" si="12"/>
        <v>9483.0649576271171</v>
      </c>
      <c r="X157" s="175">
        <f t="shared" si="13"/>
        <v>73045.8</v>
      </c>
    </row>
    <row r="158" spans="21:24" x14ac:dyDescent="0.25">
      <c r="U158" s="183">
        <f t="shared" si="11"/>
        <v>44717</v>
      </c>
      <c r="V158" s="18">
        <f xml:space="preserve"> SUMIFS(MainData[ExtendedPrice], MainData[Date], U158, MainData[Category], "Beverage", MainData[Pricing], "&lt;&gt;"&amp;"*Adjust*", MainData[Pricing], "&lt;&gt;"&amp;"*LY*", MainData[BillTo], IF('YTD Revenue'!$AJ$14="Yes", "Hotel", "999999")) +
   SUMIFS(MainData[ExtendedPrice], MainData[Date], U158, MainData[Category], "Beverage", MainData[Pricing], "&lt;&gt;"&amp;"*Adjust*", MainData[Pricing], "&lt;&gt;"&amp;"*LY*", MainData[BillTo], IF('YTD Revenue'!$AJ$33="Yes", "EPO", "999999")) +
   SUMIFS(MainData[ExtendedPrice], MainData[Date], U158, MainData[Category], "Beverage", MainData[Pricing], "&lt;&gt;"&amp;"*Adjust*", MainData[Pricing], "&lt;&gt;"&amp;"*LY*", MainData[BillTo], IF('YTD Revenue'!$AJ$52="Yes", "Group", "999999")) -
   SUMIFS(MainData[ExtendedPrice], MainData[Date], U158,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8" s="175">
        <f t="shared" si="12"/>
        <v>9483.0649576271171</v>
      </c>
      <c r="X158" s="175">
        <f t="shared" si="13"/>
        <v>73045.8</v>
      </c>
    </row>
    <row r="159" spans="21:24" x14ac:dyDescent="0.25">
      <c r="U159" s="183">
        <f t="shared" si="11"/>
        <v>44718</v>
      </c>
      <c r="V159" s="18">
        <f xml:space="preserve"> SUMIFS(MainData[ExtendedPrice], MainData[Date], U159, MainData[Category], "Beverage", MainData[Pricing], "&lt;&gt;"&amp;"*Adjust*", MainData[Pricing], "&lt;&gt;"&amp;"*LY*", MainData[BillTo], IF('YTD Revenue'!$AJ$14="Yes", "Hotel", "999999")) +
   SUMIFS(MainData[ExtendedPrice], MainData[Date], U159, MainData[Category], "Beverage", MainData[Pricing], "&lt;&gt;"&amp;"*Adjust*", MainData[Pricing], "&lt;&gt;"&amp;"*LY*", MainData[BillTo], IF('YTD Revenue'!$AJ$33="Yes", "EPO", "999999")) +
   SUMIFS(MainData[ExtendedPrice], MainData[Date], U159, MainData[Category], "Beverage", MainData[Pricing], "&lt;&gt;"&amp;"*Adjust*", MainData[Pricing], "&lt;&gt;"&amp;"*LY*", MainData[BillTo], IF('YTD Revenue'!$AJ$52="Yes", "Group", "999999")) -
   SUMIFS(MainData[ExtendedPrice], MainData[Date], U159,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9" s="175">
        <f t="shared" si="12"/>
        <v>9483.0649576271171</v>
      </c>
      <c r="X159" s="175">
        <f t="shared" si="13"/>
        <v>73045.8</v>
      </c>
    </row>
    <row r="160" spans="21:24" x14ac:dyDescent="0.25">
      <c r="U160" s="183">
        <f t="shared" si="11"/>
        <v>44719</v>
      </c>
      <c r="V160" s="18">
        <f xml:space="preserve"> SUMIFS(MainData[ExtendedPrice], MainData[Date], U160, MainData[Category], "Beverage", MainData[Pricing], "&lt;&gt;"&amp;"*Adjust*", MainData[Pricing], "&lt;&gt;"&amp;"*LY*", MainData[BillTo], IF('YTD Revenue'!$AJ$14="Yes", "Hotel", "999999")) +
   SUMIFS(MainData[ExtendedPrice], MainData[Date], U160, MainData[Category], "Beverage", MainData[Pricing], "&lt;&gt;"&amp;"*Adjust*", MainData[Pricing], "&lt;&gt;"&amp;"*LY*", MainData[BillTo], IF('YTD Revenue'!$AJ$33="Yes", "EPO", "999999")) +
   SUMIFS(MainData[ExtendedPrice], MainData[Date], U160, MainData[Category], "Beverage", MainData[Pricing], "&lt;&gt;"&amp;"*Adjust*", MainData[Pricing], "&lt;&gt;"&amp;"*LY*", MainData[BillTo], IF('YTD Revenue'!$AJ$52="Yes", "Group", "999999")) -
   SUMIFS(MainData[ExtendedPrice], MainData[Date], U160,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0" s="175">
        <f t="shared" si="12"/>
        <v>9483.0649576271171</v>
      </c>
      <c r="X160" s="175">
        <f t="shared" si="13"/>
        <v>73045.8</v>
      </c>
    </row>
    <row r="161" spans="21:24" x14ac:dyDescent="0.25">
      <c r="U161" s="183">
        <f t="shared" si="11"/>
        <v>44720</v>
      </c>
      <c r="V161" s="18">
        <f xml:space="preserve"> SUMIFS(MainData[ExtendedPrice], MainData[Date], U161, MainData[Category], "Beverage", MainData[Pricing], "&lt;&gt;"&amp;"*Adjust*", MainData[Pricing], "&lt;&gt;"&amp;"*LY*", MainData[BillTo], IF('YTD Revenue'!$AJ$14="Yes", "Hotel", "999999")) +
   SUMIFS(MainData[ExtendedPrice], MainData[Date], U161, MainData[Category], "Beverage", MainData[Pricing], "&lt;&gt;"&amp;"*Adjust*", MainData[Pricing], "&lt;&gt;"&amp;"*LY*", MainData[BillTo], IF('YTD Revenue'!$AJ$33="Yes", "EPO", "999999")) +
   SUMIFS(MainData[ExtendedPrice], MainData[Date], U161, MainData[Category], "Beverage", MainData[Pricing], "&lt;&gt;"&amp;"*Adjust*", MainData[Pricing], "&lt;&gt;"&amp;"*LY*", MainData[BillTo], IF('YTD Revenue'!$AJ$52="Yes", "Group", "999999")) -
   SUMIFS(MainData[ExtendedPrice], MainData[Date], U161,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1" s="175">
        <f t="shared" si="12"/>
        <v>9483.0649576271171</v>
      </c>
      <c r="X161" s="175">
        <f t="shared" si="13"/>
        <v>73045.8</v>
      </c>
    </row>
    <row r="162" spans="21:24" x14ac:dyDescent="0.25">
      <c r="U162" s="183">
        <f t="shared" si="11"/>
        <v>44721</v>
      </c>
      <c r="V162" s="18">
        <f xml:space="preserve"> SUMIFS(MainData[ExtendedPrice], MainData[Date], U162, MainData[Category], "Beverage", MainData[Pricing], "&lt;&gt;"&amp;"*Adjust*", MainData[Pricing], "&lt;&gt;"&amp;"*LY*", MainData[BillTo], IF('YTD Revenue'!$AJ$14="Yes", "Hotel", "999999")) +
   SUMIFS(MainData[ExtendedPrice], MainData[Date], U162, MainData[Category], "Beverage", MainData[Pricing], "&lt;&gt;"&amp;"*Adjust*", MainData[Pricing], "&lt;&gt;"&amp;"*LY*", MainData[BillTo], IF('YTD Revenue'!$AJ$33="Yes", "EPO", "999999")) +
   SUMIFS(MainData[ExtendedPrice], MainData[Date], U162, MainData[Category], "Beverage", MainData[Pricing], "&lt;&gt;"&amp;"*Adjust*", MainData[Pricing], "&lt;&gt;"&amp;"*LY*", MainData[BillTo], IF('YTD Revenue'!$AJ$52="Yes", "Group", "999999")) -
   SUMIFS(MainData[ExtendedPrice], MainData[Date], U162,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2" s="175">
        <f t="shared" si="12"/>
        <v>9483.0649576271171</v>
      </c>
      <c r="X162" s="175">
        <f t="shared" si="13"/>
        <v>73045.8</v>
      </c>
    </row>
    <row r="163" spans="21:24" x14ac:dyDescent="0.25">
      <c r="U163" s="183">
        <f t="shared" si="11"/>
        <v>44722</v>
      </c>
      <c r="V163" s="18">
        <f xml:space="preserve"> SUMIFS(MainData[ExtendedPrice], MainData[Date], U163, MainData[Category], "Beverage", MainData[Pricing], "&lt;&gt;"&amp;"*Adjust*", MainData[Pricing], "&lt;&gt;"&amp;"*LY*", MainData[BillTo], IF('YTD Revenue'!$AJ$14="Yes", "Hotel", "999999")) +
   SUMIFS(MainData[ExtendedPrice], MainData[Date], U163, MainData[Category], "Beverage", MainData[Pricing], "&lt;&gt;"&amp;"*Adjust*", MainData[Pricing], "&lt;&gt;"&amp;"*LY*", MainData[BillTo], IF('YTD Revenue'!$AJ$33="Yes", "EPO", "999999")) +
   SUMIFS(MainData[ExtendedPrice], MainData[Date], U163, MainData[Category], "Beverage", MainData[Pricing], "&lt;&gt;"&amp;"*Adjust*", MainData[Pricing], "&lt;&gt;"&amp;"*LY*", MainData[BillTo], IF('YTD Revenue'!$AJ$52="Yes", "Group", "999999")) -
   SUMIFS(MainData[ExtendedPrice], MainData[Date], U163,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3" s="175">
        <f t="shared" si="12"/>
        <v>9483.0649576271171</v>
      </c>
      <c r="X163" s="175">
        <f t="shared" si="13"/>
        <v>73045.8</v>
      </c>
    </row>
    <row r="164" spans="21:24" x14ac:dyDescent="0.25">
      <c r="U164" s="183">
        <f t="shared" si="11"/>
        <v>44723</v>
      </c>
      <c r="V164" s="18">
        <f xml:space="preserve"> SUMIFS(MainData[ExtendedPrice], MainData[Date], U164, MainData[Category], "Beverage", MainData[Pricing], "&lt;&gt;"&amp;"*Adjust*", MainData[Pricing], "&lt;&gt;"&amp;"*LY*", MainData[BillTo], IF('YTD Revenue'!$AJ$14="Yes", "Hotel", "999999")) +
   SUMIFS(MainData[ExtendedPrice], MainData[Date], U164, MainData[Category], "Beverage", MainData[Pricing], "&lt;&gt;"&amp;"*Adjust*", MainData[Pricing], "&lt;&gt;"&amp;"*LY*", MainData[BillTo], IF('YTD Revenue'!$AJ$33="Yes", "EPO", "999999")) +
   SUMIFS(MainData[ExtendedPrice], MainData[Date], U164, MainData[Category], "Beverage", MainData[Pricing], "&lt;&gt;"&amp;"*Adjust*", MainData[Pricing], "&lt;&gt;"&amp;"*LY*", MainData[BillTo], IF('YTD Revenue'!$AJ$52="Yes", "Group", "999999")) -
   SUMIFS(MainData[ExtendedPrice], MainData[Date], U164,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4" s="175">
        <f t="shared" si="12"/>
        <v>9483.0649576271171</v>
      </c>
      <c r="X164" s="175">
        <f t="shared" si="13"/>
        <v>73045.8</v>
      </c>
    </row>
    <row r="165" spans="21:24" x14ac:dyDescent="0.25">
      <c r="U165" s="183">
        <f t="shared" si="11"/>
        <v>44724</v>
      </c>
      <c r="V165" s="18">
        <f xml:space="preserve"> SUMIFS(MainData[ExtendedPrice], MainData[Date], U165, MainData[Category], "Beverage", MainData[Pricing], "&lt;&gt;"&amp;"*Adjust*", MainData[Pricing], "&lt;&gt;"&amp;"*LY*", MainData[BillTo], IF('YTD Revenue'!$AJ$14="Yes", "Hotel", "999999")) +
   SUMIFS(MainData[ExtendedPrice], MainData[Date], U165, MainData[Category], "Beverage", MainData[Pricing], "&lt;&gt;"&amp;"*Adjust*", MainData[Pricing], "&lt;&gt;"&amp;"*LY*", MainData[BillTo], IF('YTD Revenue'!$AJ$33="Yes", "EPO", "999999")) +
   SUMIFS(MainData[ExtendedPrice], MainData[Date], U165, MainData[Category], "Beverage", MainData[Pricing], "&lt;&gt;"&amp;"*Adjust*", MainData[Pricing], "&lt;&gt;"&amp;"*LY*", MainData[BillTo], IF('YTD Revenue'!$AJ$52="Yes", "Group", "999999")) -
   SUMIFS(MainData[ExtendedPrice], MainData[Date], U165,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5" s="175">
        <f t="shared" si="12"/>
        <v>9483.0649576271171</v>
      </c>
      <c r="X165" s="175">
        <f t="shared" si="13"/>
        <v>73045.8</v>
      </c>
    </row>
    <row r="166" spans="21:24" x14ac:dyDescent="0.25">
      <c r="U166" s="183">
        <f t="shared" si="11"/>
        <v>44725</v>
      </c>
      <c r="V166" s="18">
        <f xml:space="preserve"> SUMIFS(MainData[ExtendedPrice], MainData[Date], U166, MainData[Category], "Beverage", MainData[Pricing], "&lt;&gt;"&amp;"*Adjust*", MainData[Pricing], "&lt;&gt;"&amp;"*LY*", MainData[BillTo], IF('YTD Revenue'!$AJ$14="Yes", "Hotel", "999999")) +
   SUMIFS(MainData[ExtendedPrice], MainData[Date], U166, MainData[Category], "Beverage", MainData[Pricing], "&lt;&gt;"&amp;"*Adjust*", MainData[Pricing], "&lt;&gt;"&amp;"*LY*", MainData[BillTo], IF('YTD Revenue'!$AJ$33="Yes", "EPO", "999999")) +
   SUMIFS(MainData[ExtendedPrice], MainData[Date], U166, MainData[Category], "Beverage", MainData[Pricing], "&lt;&gt;"&amp;"*Adjust*", MainData[Pricing], "&lt;&gt;"&amp;"*LY*", MainData[BillTo], IF('YTD Revenue'!$AJ$52="Yes", "Group", "999999")) -
   SUMIFS(MainData[ExtendedPrice], MainData[Date], U166,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6" s="175">
        <f t="shared" si="12"/>
        <v>9483.0649576271171</v>
      </c>
      <c r="X166" s="175">
        <f t="shared" si="13"/>
        <v>73045.8</v>
      </c>
    </row>
    <row r="167" spans="21:24" x14ac:dyDescent="0.25">
      <c r="U167" s="183">
        <f t="shared" si="11"/>
        <v>44726</v>
      </c>
      <c r="V167" s="18">
        <f xml:space="preserve"> SUMIFS(MainData[ExtendedPrice], MainData[Date], U167, MainData[Category], "Beverage", MainData[Pricing], "&lt;&gt;"&amp;"*Adjust*", MainData[Pricing], "&lt;&gt;"&amp;"*LY*", MainData[BillTo], IF('YTD Revenue'!$AJ$14="Yes", "Hotel", "999999")) +
   SUMIFS(MainData[ExtendedPrice], MainData[Date], U167, MainData[Category], "Beverage", MainData[Pricing], "&lt;&gt;"&amp;"*Adjust*", MainData[Pricing], "&lt;&gt;"&amp;"*LY*", MainData[BillTo], IF('YTD Revenue'!$AJ$33="Yes", "EPO", "999999")) +
   SUMIFS(MainData[ExtendedPrice], MainData[Date], U167, MainData[Category], "Beverage", MainData[Pricing], "&lt;&gt;"&amp;"*Adjust*", MainData[Pricing], "&lt;&gt;"&amp;"*LY*", MainData[BillTo], IF('YTD Revenue'!$AJ$52="Yes", "Group", "999999")) -
   SUMIFS(MainData[ExtendedPrice], MainData[Date], U167,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7" s="175">
        <f t="shared" si="12"/>
        <v>9483.0649576271171</v>
      </c>
      <c r="X167" s="175">
        <f t="shared" si="13"/>
        <v>73045.8</v>
      </c>
    </row>
    <row r="168" spans="21:24" x14ac:dyDescent="0.25">
      <c r="U168" s="183">
        <f t="shared" si="11"/>
        <v>44727</v>
      </c>
      <c r="V168" s="18">
        <f xml:space="preserve"> SUMIFS(MainData[ExtendedPrice], MainData[Date], U168, MainData[Category], "Beverage", MainData[Pricing], "&lt;&gt;"&amp;"*Adjust*", MainData[Pricing], "&lt;&gt;"&amp;"*LY*", MainData[BillTo], IF('YTD Revenue'!$AJ$14="Yes", "Hotel", "999999")) +
   SUMIFS(MainData[ExtendedPrice], MainData[Date], U168, MainData[Category], "Beverage", MainData[Pricing], "&lt;&gt;"&amp;"*Adjust*", MainData[Pricing], "&lt;&gt;"&amp;"*LY*", MainData[BillTo], IF('YTD Revenue'!$AJ$33="Yes", "EPO", "999999")) +
   SUMIFS(MainData[ExtendedPrice], MainData[Date], U168, MainData[Category], "Beverage", MainData[Pricing], "&lt;&gt;"&amp;"*Adjust*", MainData[Pricing], "&lt;&gt;"&amp;"*LY*", MainData[BillTo], IF('YTD Revenue'!$AJ$52="Yes", "Group", "999999")) -
   SUMIFS(MainData[ExtendedPrice], MainData[Date], U168,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8" s="175">
        <f t="shared" si="12"/>
        <v>9483.0649576271171</v>
      </c>
      <c r="X168" s="175">
        <f t="shared" si="13"/>
        <v>73045.8</v>
      </c>
    </row>
    <row r="169" spans="21:24" x14ac:dyDescent="0.25">
      <c r="U169" s="183">
        <f t="shared" si="11"/>
        <v>44728</v>
      </c>
      <c r="V169" s="18">
        <f xml:space="preserve"> SUMIFS(MainData[ExtendedPrice], MainData[Date], U169, MainData[Category], "Beverage", MainData[Pricing], "&lt;&gt;"&amp;"*Adjust*", MainData[Pricing], "&lt;&gt;"&amp;"*LY*", MainData[BillTo], IF('YTD Revenue'!$AJ$14="Yes", "Hotel", "999999")) +
   SUMIFS(MainData[ExtendedPrice], MainData[Date], U169, MainData[Category], "Beverage", MainData[Pricing], "&lt;&gt;"&amp;"*Adjust*", MainData[Pricing], "&lt;&gt;"&amp;"*LY*", MainData[BillTo], IF('YTD Revenue'!$AJ$33="Yes", "EPO", "999999")) +
   SUMIFS(MainData[ExtendedPrice], MainData[Date], U169, MainData[Category], "Beverage", MainData[Pricing], "&lt;&gt;"&amp;"*Adjust*", MainData[Pricing], "&lt;&gt;"&amp;"*LY*", MainData[BillTo], IF('YTD Revenue'!$AJ$52="Yes", "Group", "999999")) -
   SUMIFS(MainData[ExtendedPrice], MainData[Date], U169,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9" s="175">
        <f t="shared" si="12"/>
        <v>9483.0649576271171</v>
      </c>
      <c r="X169" s="175">
        <f t="shared" si="13"/>
        <v>73045.8</v>
      </c>
    </row>
    <row r="170" spans="21:24" x14ac:dyDescent="0.25">
      <c r="U170" s="183">
        <f t="shared" si="11"/>
        <v>44729</v>
      </c>
      <c r="V170" s="18">
        <f xml:space="preserve"> SUMIFS(MainData[ExtendedPrice], MainData[Date], U170, MainData[Category], "Beverage", MainData[Pricing], "&lt;&gt;"&amp;"*Adjust*", MainData[Pricing], "&lt;&gt;"&amp;"*LY*", MainData[BillTo], IF('YTD Revenue'!$AJ$14="Yes", "Hotel", "999999")) +
   SUMIFS(MainData[ExtendedPrice], MainData[Date], U170, MainData[Category], "Beverage", MainData[Pricing], "&lt;&gt;"&amp;"*Adjust*", MainData[Pricing], "&lt;&gt;"&amp;"*LY*", MainData[BillTo], IF('YTD Revenue'!$AJ$33="Yes", "EPO", "999999")) +
   SUMIFS(MainData[ExtendedPrice], MainData[Date], U170, MainData[Category], "Beverage", MainData[Pricing], "&lt;&gt;"&amp;"*Adjust*", MainData[Pricing], "&lt;&gt;"&amp;"*LY*", MainData[BillTo], IF('YTD Revenue'!$AJ$52="Yes", "Group", "999999")) -
   SUMIFS(MainData[ExtendedPrice], MainData[Date], U170,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0" s="175">
        <f t="shared" si="12"/>
        <v>9483.0649576271171</v>
      </c>
      <c r="X170" s="175">
        <f t="shared" si="13"/>
        <v>73045.8</v>
      </c>
    </row>
    <row r="171" spans="21:24" x14ac:dyDescent="0.25">
      <c r="U171" s="183">
        <f t="shared" si="11"/>
        <v>44730</v>
      </c>
      <c r="V171" s="18">
        <f xml:space="preserve"> SUMIFS(MainData[ExtendedPrice], MainData[Date], U171, MainData[Category], "Beverage", MainData[Pricing], "&lt;&gt;"&amp;"*Adjust*", MainData[Pricing], "&lt;&gt;"&amp;"*LY*", MainData[BillTo], IF('YTD Revenue'!$AJ$14="Yes", "Hotel", "999999")) +
   SUMIFS(MainData[ExtendedPrice], MainData[Date], U171, MainData[Category], "Beverage", MainData[Pricing], "&lt;&gt;"&amp;"*Adjust*", MainData[Pricing], "&lt;&gt;"&amp;"*LY*", MainData[BillTo], IF('YTD Revenue'!$AJ$33="Yes", "EPO", "999999")) +
   SUMIFS(MainData[ExtendedPrice], MainData[Date], U171, MainData[Category], "Beverage", MainData[Pricing], "&lt;&gt;"&amp;"*Adjust*", MainData[Pricing], "&lt;&gt;"&amp;"*LY*", MainData[BillTo], IF('YTD Revenue'!$AJ$52="Yes", "Group", "999999")) -
   SUMIFS(MainData[ExtendedPrice], MainData[Date], U171,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1" s="175">
        <f t="shared" si="12"/>
        <v>9483.0649576271171</v>
      </c>
      <c r="X171" s="175">
        <f t="shared" si="13"/>
        <v>73045.8</v>
      </c>
    </row>
    <row r="172" spans="21:24" x14ac:dyDescent="0.25">
      <c r="U172" s="183">
        <f t="shared" si="11"/>
        <v>44731</v>
      </c>
      <c r="V172" s="18">
        <f xml:space="preserve"> SUMIFS(MainData[ExtendedPrice], MainData[Date], U172, MainData[Category], "Beverage", MainData[Pricing], "&lt;&gt;"&amp;"*Adjust*", MainData[Pricing], "&lt;&gt;"&amp;"*LY*", MainData[BillTo], IF('YTD Revenue'!$AJ$14="Yes", "Hotel", "999999")) +
   SUMIFS(MainData[ExtendedPrice], MainData[Date], U172, MainData[Category], "Beverage", MainData[Pricing], "&lt;&gt;"&amp;"*Adjust*", MainData[Pricing], "&lt;&gt;"&amp;"*LY*", MainData[BillTo], IF('YTD Revenue'!$AJ$33="Yes", "EPO", "999999")) +
   SUMIFS(MainData[ExtendedPrice], MainData[Date], U172, MainData[Category], "Beverage", MainData[Pricing], "&lt;&gt;"&amp;"*Adjust*", MainData[Pricing], "&lt;&gt;"&amp;"*LY*", MainData[BillTo], IF('YTD Revenue'!$AJ$52="Yes", "Group", "999999")) -
   SUMIFS(MainData[ExtendedPrice], MainData[Date], U172,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2" s="175">
        <f t="shared" si="12"/>
        <v>9483.0649576271171</v>
      </c>
      <c r="X172" s="175">
        <f t="shared" si="13"/>
        <v>73045.8</v>
      </c>
    </row>
    <row r="173" spans="21:24" x14ac:dyDescent="0.25">
      <c r="U173" s="183">
        <f t="shared" si="11"/>
        <v>44732</v>
      </c>
      <c r="V173" s="18">
        <f xml:space="preserve"> SUMIFS(MainData[ExtendedPrice], MainData[Date], U173, MainData[Category], "Beverage", MainData[Pricing], "&lt;&gt;"&amp;"*Adjust*", MainData[Pricing], "&lt;&gt;"&amp;"*LY*", MainData[BillTo], IF('YTD Revenue'!$AJ$14="Yes", "Hotel", "999999")) +
   SUMIFS(MainData[ExtendedPrice], MainData[Date], U173, MainData[Category], "Beverage", MainData[Pricing], "&lt;&gt;"&amp;"*Adjust*", MainData[Pricing], "&lt;&gt;"&amp;"*LY*", MainData[BillTo], IF('YTD Revenue'!$AJ$33="Yes", "EPO", "999999")) +
   SUMIFS(MainData[ExtendedPrice], MainData[Date], U173, MainData[Category], "Beverage", MainData[Pricing], "&lt;&gt;"&amp;"*Adjust*", MainData[Pricing], "&lt;&gt;"&amp;"*LY*", MainData[BillTo], IF('YTD Revenue'!$AJ$52="Yes", "Group", "999999")) -
   SUMIFS(MainData[ExtendedPrice], MainData[Date], U173,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3" s="175">
        <f t="shared" si="12"/>
        <v>9483.0649576271171</v>
      </c>
      <c r="X173" s="175">
        <f t="shared" si="13"/>
        <v>73045.8</v>
      </c>
    </row>
    <row r="174" spans="21:24" x14ac:dyDescent="0.25">
      <c r="U174" s="183">
        <f t="shared" si="11"/>
        <v>44733</v>
      </c>
      <c r="V174" s="18">
        <f xml:space="preserve"> SUMIFS(MainData[ExtendedPrice], MainData[Date], U174, MainData[Category], "Beverage", MainData[Pricing], "&lt;&gt;"&amp;"*Adjust*", MainData[Pricing], "&lt;&gt;"&amp;"*LY*", MainData[BillTo], IF('YTD Revenue'!$AJ$14="Yes", "Hotel", "999999")) +
   SUMIFS(MainData[ExtendedPrice], MainData[Date], U174, MainData[Category], "Beverage", MainData[Pricing], "&lt;&gt;"&amp;"*Adjust*", MainData[Pricing], "&lt;&gt;"&amp;"*LY*", MainData[BillTo], IF('YTD Revenue'!$AJ$33="Yes", "EPO", "999999")) +
   SUMIFS(MainData[ExtendedPrice], MainData[Date], U174, MainData[Category], "Beverage", MainData[Pricing], "&lt;&gt;"&amp;"*Adjust*", MainData[Pricing], "&lt;&gt;"&amp;"*LY*", MainData[BillTo], IF('YTD Revenue'!$AJ$52="Yes", "Group", "999999")) -
   SUMIFS(MainData[ExtendedPrice], MainData[Date], U174,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4" s="175">
        <f t="shared" si="12"/>
        <v>9483.0649576271171</v>
      </c>
      <c r="X174" s="175">
        <f t="shared" si="13"/>
        <v>73045.8</v>
      </c>
    </row>
    <row r="175" spans="21:24" x14ac:dyDescent="0.25">
      <c r="U175" s="183">
        <f t="shared" si="11"/>
        <v>44734</v>
      </c>
      <c r="V175" s="18">
        <f xml:space="preserve"> SUMIFS(MainData[ExtendedPrice], MainData[Date], U175, MainData[Category], "Beverage", MainData[Pricing], "&lt;&gt;"&amp;"*Adjust*", MainData[Pricing], "&lt;&gt;"&amp;"*LY*", MainData[BillTo], IF('YTD Revenue'!$AJ$14="Yes", "Hotel", "999999")) +
   SUMIFS(MainData[ExtendedPrice], MainData[Date], U175, MainData[Category], "Beverage", MainData[Pricing], "&lt;&gt;"&amp;"*Adjust*", MainData[Pricing], "&lt;&gt;"&amp;"*LY*", MainData[BillTo], IF('YTD Revenue'!$AJ$33="Yes", "EPO", "999999")) +
   SUMIFS(MainData[ExtendedPrice], MainData[Date], U175, MainData[Category], "Beverage", MainData[Pricing], "&lt;&gt;"&amp;"*Adjust*", MainData[Pricing], "&lt;&gt;"&amp;"*LY*", MainData[BillTo], IF('YTD Revenue'!$AJ$52="Yes", "Group", "999999")) -
   SUMIFS(MainData[ExtendedPrice], MainData[Date], U175,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5" s="175">
        <f t="shared" si="12"/>
        <v>9483.0649576271171</v>
      </c>
      <c r="X175" s="175">
        <f t="shared" si="13"/>
        <v>73045.8</v>
      </c>
    </row>
    <row r="176" spans="21:24" x14ac:dyDescent="0.25">
      <c r="U176" s="183">
        <f t="shared" si="11"/>
        <v>44735</v>
      </c>
      <c r="V176" s="18">
        <f xml:space="preserve"> SUMIFS(MainData[ExtendedPrice], MainData[Date], U176, MainData[Category], "Beverage", MainData[Pricing], "&lt;&gt;"&amp;"*Adjust*", MainData[Pricing], "&lt;&gt;"&amp;"*LY*", MainData[BillTo], IF('YTD Revenue'!$AJ$14="Yes", "Hotel", "999999")) +
   SUMIFS(MainData[ExtendedPrice], MainData[Date], U176, MainData[Category], "Beverage", MainData[Pricing], "&lt;&gt;"&amp;"*Adjust*", MainData[Pricing], "&lt;&gt;"&amp;"*LY*", MainData[BillTo], IF('YTD Revenue'!$AJ$33="Yes", "EPO", "999999")) +
   SUMIFS(MainData[ExtendedPrice], MainData[Date], U176, MainData[Category], "Beverage", MainData[Pricing], "&lt;&gt;"&amp;"*Adjust*", MainData[Pricing], "&lt;&gt;"&amp;"*LY*", MainData[BillTo], IF('YTD Revenue'!$AJ$52="Yes", "Group", "999999")) -
   SUMIFS(MainData[ExtendedPrice], MainData[Date], U176,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6" s="175">
        <f t="shared" si="12"/>
        <v>9483.0649576271171</v>
      </c>
      <c r="X176" s="175">
        <f t="shared" si="13"/>
        <v>73045.8</v>
      </c>
    </row>
    <row r="177" spans="21:24" x14ac:dyDescent="0.25">
      <c r="U177" s="183">
        <f t="shared" si="11"/>
        <v>44736</v>
      </c>
      <c r="V177" s="18">
        <f xml:space="preserve"> SUMIFS(MainData[ExtendedPrice], MainData[Date], U177, MainData[Category], "Beverage", MainData[Pricing], "&lt;&gt;"&amp;"*Adjust*", MainData[Pricing], "&lt;&gt;"&amp;"*LY*", MainData[BillTo], IF('YTD Revenue'!$AJ$14="Yes", "Hotel", "999999")) +
   SUMIFS(MainData[ExtendedPrice], MainData[Date], U177, MainData[Category], "Beverage", MainData[Pricing], "&lt;&gt;"&amp;"*Adjust*", MainData[Pricing], "&lt;&gt;"&amp;"*LY*", MainData[BillTo], IF('YTD Revenue'!$AJ$33="Yes", "EPO", "999999")) +
   SUMIFS(MainData[ExtendedPrice], MainData[Date], U177, MainData[Category], "Beverage", MainData[Pricing], "&lt;&gt;"&amp;"*Adjust*", MainData[Pricing], "&lt;&gt;"&amp;"*LY*", MainData[BillTo], IF('YTD Revenue'!$AJ$52="Yes", "Group", "999999")) -
   SUMIFS(MainData[ExtendedPrice], MainData[Date], U177,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7" s="175">
        <f t="shared" si="12"/>
        <v>9483.0649576271171</v>
      </c>
      <c r="X177" s="175">
        <f t="shared" si="13"/>
        <v>73045.8</v>
      </c>
    </row>
    <row r="178" spans="21:24" x14ac:dyDescent="0.25">
      <c r="U178" s="183">
        <f t="shared" si="11"/>
        <v>44737</v>
      </c>
      <c r="V178" s="18">
        <f xml:space="preserve"> SUMIFS(MainData[ExtendedPrice], MainData[Date], U178, MainData[Category], "Beverage", MainData[Pricing], "&lt;&gt;"&amp;"*Adjust*", MainData[Pricing], "&lt;&gt;"&amp;"*LY*", MainData[BillTo], IF('YTD Revenue'!$AJ$14="Yes", "Hotel", "999999")) +
   SUMIFS(MainData[ExtendedPrice], MainData[Date], U178, MainData[Category], "Beverage", MainData[Pricing], "&lt;&gt;"&amp;"*Adjust*", MainData[Pricing], "&lt;&gt;"&amp;"*LY*", MainData[BillTo], IF('YTD Revenue'!$AJ$33="Yes", "EPO", "999999")) +
   SUMIFS(MainData[ExtendedPrice], MainData[Date], U178, MainData[Category], "Beverage", MainData[Pricing], "&lt;&gt;"&amp;"*Adjust*", MainData[Pricing], "&lt;&gt;"&amp;"*LY*", MainData[BillTo], IF('YTD Revenue'!$AJ$52="Yes", "Group", "999999")) -
   SUMIFS(MainData[ExtendedPrice], MainData[Date], U178,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8" s="175">
        <f t="shared" si="12"/>
        <v>9483.0649576271171</v>
      </c>
      <c r="X178" s="175">
        <f t="shared" si="13"/>
        <v>73045.8</v>
      </c>
    </row>
    <row r="179" spans="21:24" x14ac:dyDescent="0.25">
      <c r="U179" s="183">
        <f t="shared" si="11"/>
        <v>44738</v>
      </c>
      <c r="V179" s="18">
        <f xml:space="preserve"> SUMIFS(MainData[ExtendedPrice], MainData[Date], U179, MainData[Category], "Beverage", MainData[Pricing], "&lt;&gt;"&amp;"*Adjust*", MainData[Pricing], "&lt;&gt;"&amp;"*LY*", MainData[BillTo], IF('YTD Revenue'!$AJ$14="Yes", "Hotel", "999999")) +
   SUMIFS(MainData[ExtendedPrice], MainData[Date], U179, MainData[Category], "Beverage", MainData[Pricing], "&lt;&gt;"&amp;"*Adjust*", MainData[Pricing], "&lt;&gt;"&amp;"*LY*", MainData[BillTo], IF('YTD Revenue'!$AJ$33="Yes", "EPO", "999999")) +
   SUMIFS(MainData[ExtendedPrice], MainData[Date], U179, MainData[Category], "Beverage", MainData[Pricing], "&lt;&gt;"&amp;"*Adjust*", MainData[Pricing], "&lt;&gt;"&amp;"*LY*", MainData[BillTo], IF('YTD Revenue'!$AJ$52="Yes", "Group", "999999")) -
   SUMIFS(MainData[ExtendedPrice], MainData[Date], U179,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9" s="175">
        <f t="shared" si="12"/>
        <v>9483.0649576271171</v>
      </c>
      <c r="X179" s="175">
        <f t="shared" si="13"/>
        <v>73045.8</v>
      </c>
    </row>
    <row r="180" spans="21:24" x14ac:dyDescent="0.25">
      <c r="U180" s="183">
        <f t="shared" si="11"/>
        <v>44739</v>
      </c>
      <c r="V180" s="18">
        <f xml:space="preserve"> SUMIFS(MainData[ExtendedPrice], MainData[Date], U180, MainData[Category], "Beverage", MainData[Pricing], "&lt;&gt;"&amp;"*Adjust*", MainData[Pricing], "&lt;&gt;"&amp;"*LY*", MainData[BillTo], IF('YTD Revenue'!$AJ$14="Yes", "Hotel", "999999")) +
   SUMIFS(MainData[ExtendedPrice], MainData[Date], U180, MainData[Category], "Beverage", MainData[Pricing], "&lt;&gt;"&amp;"*Adjust*", MainData[Pricing], "&lt;&gt;"&amp;"*LY*", MainData[BillTo], IF('YTD Revenue'!$AJ$33="Yes", "EPO", "999999")) +
   SUMIFS(MainData[ExtendedPrice], MainData[Date], U180, MainData[Category], "Beverage", MainData[Pricing], "&lt;&gt;"&amp;"*Adjust*", MainData[Pricing], "&lt;&gt;"&amp;"*LY*", MainData[BillTo], IF('YTD Revenue'!$AJ$52="Yes", "Group", "999999")) -
   SUMIFS(MainData[ExtendedPrice], MainData[Date], U180,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0" s="175">
        <f t="shared" si="12"/>
        <v>9483.0649576271171</v>
      </c>
      <c r="X180" s="175">
        <f t="shared" si="13"/>
        <v>73045.8</v>
      </c>
    </row>
    <row r="181" spans="21:24" x14ac:dyDescent="0.25">
      <c r="U181" s="183">
        <f t="shared" si="11"/>
        <v>44740</v>
      </c>
      <c r="V181" s="18">
        <f xml:space="preserve"> SUMIFS(MainData[ExtendedPrice], MainData[Date], U181, MainData[Category], "Beverage", MainData[Pricing], "&lt;&gt;"&amp;"*Adjust*", MainData[Pricing], "&lt;&gt;"&amp;"*LY*", MainData[BillTo], IF('YTD Revenue'!$AJ$14="Yes", "Hotel", "999999")) +
   SUMIFS(MainData[ExtendedPrice], MainData[Date], U181, MainData[Category], "Beverage", MainData[Pricing], "&lt;&gt;"&amp;"*Adjust*", MainData[Pricing], "&lt;&gt;"&amp;"*LY*", MainData[BillTo], IF('YTD Revenue'!$AJ$33="Yes", "EPO", "999999")) +
   SUMIFS(MainData[ExtendedPrice], MainData[Date], U181, MainData[Category], "Beverage", MainData[Pricing], "&lt;&gt;"&amp;"*Adjust*", MainData[Pricing], "&lt;&gt;"&amp;"*LY*", MainData[BillTo], IF('YTD Revenue'!$AJ$52="Yes", "Group", "999999")) -
   SUMIFS(MainData[ExtendedPrice], MainData[Date], U181,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1" s="175">
        <f t="shared" si="12"/>
        <v>9483.0649576271171</v>
      </c>
      <c r="X181" s="175">
        <f t="shared" si="13"/>
        <v>73045.8</v>
      </c>
    </row>
    <row r="182" spans="21:24" x14ac:dyDescent="0.25">
      <c r="U182" s="183">
        <f t="shared" si="11"/>
        <v>44741</v>
      </c>
      <c r="V182" s="18">
        <f xml:space="preserve"> SUMIFS(MainData[ExtendedPrice], MainData[Date], U182, MainData[Category], "Beverage", MainData[Pricing], "&lt;&gt;"&amp;"*Adjust*", MainData[Pricing], "&lt;&gt;"&amp;"*LY*", MainData[BillTo], IF('YTD Revenue'!$AJ$14="Yes", "Hotel", "999999")) +
   SUMIFS(MainData[ExtendedPrice], MainData[Date], U182, MainData[Category], "Beverage", MainData[Pricing], "&lt;&gt;"&amp;"*Adjust*", MainData[Pricing], "&lt;&gt;"&amp;"*LY*", MainData[BillTo], IF('YTD Revenue'!$AJ$33="Yes", "EPO", "999999")) +
   SUMIFS(MainData[ExtendedPrice], MainData[Date], U182, MainData[Category], "Beverage", MainData[Pricing], "&lt;&gt;"&amp;"*Adjust*", MainData[Pricing], "&lt;&gt;"&amp;"*LY*", MainData[BillTo], IF('YTD Revenue'!$AJ$52="Yes", "Group", "999999")) -
   SUMIFS(MainData[ExtendedPrice], MainData[Date], U182,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2" s="175">
        <f t="shared" si="12"/>
        <v>9483.0649576271171</v>
      </c>
      <c r="X182" s="175">
        <f t="shared" si="13"/>
        <v>73045.8</v>
      </c>
    </row>
    <row r="183" spans="21:24" x14ac:dyDescent="0.25">
      <c r="U183" s="183">
        <f t="shared" si="11"/>
        <v>44742</v>
      </c>
      <c r="V183" s="18">
        <f xml:space="preserve"> SUMIFS(MainData[ExtendedPrice], MainData[Date], U183, MainData[Category], "Beverage", MainData[Pricing], "&lt;&gt;"&amp;"*Adjust*", MainData[Pricing], "&lt;&gt;"&amp;"*LY*", MainData[BillTo], IF('YTD Revenue'!$AJ$14="Yes", "Hotel", "999999")) +
   SUMIFS(MainData[ExtendedPrice], MainData[Date], U183, MainData[Category], "Beverage", MainData[Pricing], "&lt;&gt;"&amp;"*Adjust*", MainData[Pricing], "&lt;&gt;"&amp;"*LY*", MainData[BillTo], IF('YTD Revenue'!$AJ$33="Yes", "EPO", "999999")) +
   SUMIFS(MainData[ExtendedPrice], MainData[Date], U183, MainData[Category], "Beverage", MainData[Pricing], "&lt;&gt;"&amp;"*Adjust*", MainData[Pricing], "&lt;&gt;"&amp;"*LY*", MainData[BillTo], IF('YTD Revenue'!$AJ$52="Yes", "Group", "999999")) -
   SUMIFS(MainData[ExtendedPrice], MainData[Date], U183,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3" s="175">
        <f t="shared" si="12"/>
        <v>9483.0649576271171</v>
      </c>
      <c r="X183" s="175">
        <f t="shared" si="13"/>
        <v>73045.8</v>
      </c>
    </row>
    <row r="184" spans="21:24" x14ac:dyDescent="0.25">
      <c r="U184" s="183">
        <f t="shared" si="11"/>
        <v>44743</v>
      </c>
      <c r="V184" s="18">
        <f xml:space="preserve"> SUMIFS(MainData[ExtendedPrice], MainData[Date], U184, MainData[Category], "Beverage", MainData[Pricing], "&lt;&gt;"&amp;"*Adjust*", MainData[Pricing], "&lt;&gt;"&amp;"*LY*", MainData[BillTo], IF('YTD Revenue'!$AJ$14="Yes", "Hotel", "999999")) +
   SUMIFS(MainData[ExtendedPrice], MainData[Date], U184, MainData[Category], "Beverage", MainData[Pricing], "&lt;&gt;"&amp;"*Adjust*", MainData[Pricing], "&lt;&gt;"&amp;"*LY*", MainData[BillTo], IF('YTD Revenue'!$AJ$33="Yes", "EPO", "999999")) +
   SUMIFS(MainData[ExtendedPrice], MainData[Date], U184, MainData[Category], "Beverage", MainData[Pricing], "&lt;&gt;"&amp;"*Adjust*", MainData[Pricing], "&lt;&gt;"&amp;"*LY*", MainData[BillTo], IF('YTD Revenue'!$AJ$52="Yes", "Group", "999999")) -
   SUMIFS(MainData[ExtendedPrice], MainData[Date], U184,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4" s="175">
        <f t="shared" si="12"/>
        <v>9483.0649576271171</v>
      </c>
      <c r="X184" s="175">
        <f t="shared" si="13"/>
        <v>73045.8</v>
      </c>
    </row>
    <row r="185" spans="21:24" x14ac:dyDescent="0.25">
      <c r="U185" s="183">
        <f t="shared" si="11"/>
        <v>44744</v>
      </c>
      <c r="V185" s="18">
        <f xml:space="preserve"> SUMIFS(MainData[ExtendedPrice], MainData[Date], U185, MainData[Category], "Beverage", MainData[Pricing], "&lt;&gt;"&amp;"*Adjust*", MainData[Pricing], "&lt;&gt;"&amp;"*LY*", MainData[BillTo], IF('YTD Revenue'!$AJ$14="Yes", "Hotel", "999999")) +
   SUMIFS(MainData[ExtendedPrice], MainData[Date], U185, MainData[Category], "Beverage", MainData[Pricing], "&lt;&gt;"&amp;"*Adjust*", MainData[Pricing], "&lt;&gt;"&amp;"*LY*", MainData[BillTo], IF('YTD Revenue'!$AJ$33="Yes", "EPO", "999999")) +
   SUMIFS(MainData[ExtendedPrice], MainData[Date], U185, MainData[Category], "Beverage", MainData[Pricing], "&lt;&gt;"&amp;"*Adjust*", MainData[Pricing], "&lt;&gt;"&amp;"*LY*", MainData[BillTo], IF('YTD Revenue'!$AJ$52="Yes", "Group", "999999")) -
   SUMIFS(MainData[ExtendedPrice], MainData[Date], U185,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5" s="175">
        <f t="shared" si="12"/>
        <v>9483.0649576271171</v>
      </c>
      <c r="X185" s="175">
        <f t="shared" si="13"/>
        <v>73045.8</v>
      </c>
    </row>
    <row r="186" spans="21:24" x14ac:dyDescent="0.25">
      <c r="U186" s="183">
        <f t="shared" si="11"/>
        <v>44745</v>
      </c>
      <c r="V186" s="18">
        <f xml:space="preserve"> SUMIFS(MainData[ExtendedPrice], MainData[Date], U186, MainData[Category], "Beverage", MainData[Pricing], "&lt;&gt;"&amp;"*Adjust*", MainData[Pricing], "&lt;&gt;"&amp;"*LY*", MainData[BillTo], IF('YTD Revenue'!$AJ$14="Yes", "Hotel", "999999")) +
   SUMIFS(MainData[ExtendedPrice], MainData[Date], U186, MainData[Category], "Beverage", MainData[Pricing], "&lt;&gt;"&amp;"*Adjust*", MainData[Pricing], "&lt;&gt;"&amp;"*LY*", MainData[BillTo], IF('YTD Revenue'!$AJ$33="Yes", "EPO", "999999")) +
   SUMIFS(MainData[ExtendedPrice], MainData[Date], U186, MainData[Category], "Beverage", MainData[Pricing], "&lt;&gt;"&amp;"*Adjust*", MainData[Pricing], "&lt;&gt;"&amp;"*LY*", MainData[BillTo], IF('YTD Revenue'!$AJ$52="Yes", "Group", "999999")) -
   SUMIFS(MainData[ExtendedPrice], MainData[Date], U186,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6" s="175">
        <f t="shared" si="12"/>
        <v>9483.0649576271171</v>
      </c>
      <c r="X186" s="175">
        <f t="shared" si="13"/>
        <v>73045.8</v>
      </c>
    </row>
    <row r="187" spans="21:24" x14ac:dyDescent="0.25">
      <c r="U187" s="183">
        <f t="shared" si="11"/>
        <v>44746</v>
      </c>
      <c r="V187" s="18">
        <f xml:space="preserve"> SUMIFS(MainData[ExtendedPrice], MainData[Date], U187, MainData[Category], "Beverage", MainData[Pricing], "&lt;&gt;"&amp;"*Adjust*", MainData[Pricing], "&lt;&gt;"&amp;"*LY*", MainData[BillTo], IF('YTD Revenue'!$AJ$14="Yes", "Hotel", "999999")) +
   SUMIFS(MainData[ExtendedPrice], MainData[Date], U187, MainData[Category], "Beverage", MainData[Pricing], "&lt;&gt;"&amp;"*Adjust*", MainData[Pricing], "&lt;&gt;"&amp;"*LY*", MainData[BillTo], IF('YTD Revenue'!$AJ$33="Yes", "EPO", "999999")) +
   SUMIFS(MainData[ExtendedPrice], MainData[Date], U187, MainData[Category], "Beverage", MainData[Pricing], "&lt;&gt;"&amp;"*Adjust*", MainData[Pricing], "&lt;&gt;"&amp;"*LY*", MainData[BillTo], IF('YTD Revenue'!$AJ$52="Yes", "Group", "999999")) -
   SUMIFS(MainData[ExtendedPrice], MainData[Date], U187,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7" s="175">
        <f t="shared" si="12"/>
        <v>9483.0649576271171</v>
      </c>
      <c r="X187" s="175">
        <f t="shared" si="13"/>
        <v>73045.8</v>
      </c>
    </row>
    <row r="188" spans="21:24" x14ac:dyDescent="0.25">
      <c r="U188" s="183">
        <f t="shared" si="11"/>
        <v>44747</v>
      </c>
      <c r="V188" s="18">
        <f xml:space="preserve"> SUMIFS(MainData[ExtendedPrice], MainData[Date], U188, MainData[Category], "Beverage", MainData[Pricing], "&lt;&gt;"&amp;"*Adjust*", MainData[Pricing], "&lt;&gt;"&amp;"*LY*", MainData[BillTo], IF('YTD Revenue'!$AJ$14="Yes", "Hotel", "999999")) +
   SUMIFS(MainData[ExtendedPrice], MainData[Date], U188, MainData[Category], "Beverage", MainData[Pricing], "&lt;&gt;"&amp;"*Adjust*", MainData[Pricing], "&lt;&gt;"&amp;"*LY*", MainData[BillTo], IF('YTD Revenue'!$AJ$33="Yes", "EPO", "999999")) +
   SUMIFS(MainData[ExtendedPrice], MainData[Date], U188, MainData[Category], "Beverage", MainData[Pricing], "&lt;&gt;"&amp;"*Adjust*", MainData[Pricing], "&lt;&gt;"&amp;"*LY*", MainData[BillTo], IF('YTD Revenue'!$AJ$52="Yes", "Group", "999999")) -
   SUMIFS(MainData[ExtendedPrice], MainData[Date], U188,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8" s="175">
        <f t="shared" si="12"/>
        <v>9483.0649576271171</v>
      </c>
      <c r="X188" s="175">
        <f t="shared" si="13"/>
        <v>73045.8</v>
      </c>
    </row>
    <row r="189" spans="21:24" x14ac:dyDescent="0.25">
      <c r="U189" s="183">
        <f t="shared" si="11"/>
        <v>44748</v>
      </c>
      <c r="V189" s="18">
        <f xml:space="preserve"> SUMIFS(MainData[ExtendedPrice], MainData[Date], U189, MainData[Category], "Beverage", MainData[Pricing], "&lt;&gt;"&amp;"*Adjust*", MainData[Pricing], "&lt;&gt;"&amp;"*LY*", MainData[BillTo], IF('YTD Revenue'!$AJ$14="Yes", "Hotel", "999999")) +
   SUMIFS(MainData[ExtendedPrice], MainData[Date], U189, MainData[Category], "Beverage", MainData[Pricing], "&lt;&gt;"&amp;"*Adjust*", MainData[Pricing], "&lt;&gt;"&amp;"*LY*", MainData[BillTo], IF('YTD Revenue'!$AJ$33="Yes", "EPO", "999999")) +
   SUMIFS(MainData[ExtendedPrice], MainData[Date], U189, MainData[Category], "Beverage", MainData[Pricing], "&lt;&gt;"&amp;"*Adjust*", MainData[Pricing], "&lt;&gt;"&amp;"*LY*", MainData[BillTo], IF('YTD Revenue'!$AJ$52="Yes", "Group", "999999")) -
   SUMIFS(MainData[ExtendedPrice], MainData[Date], U189,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9" s="175">
        <f t="shared" si="12"/>
        <v>9483.0649576271171</v>
      </c>
      <c r="X189" s="175">
        <f t="shared" si="13"/>
        <v>73045.8</v>
      </c>
    </row>
    <row r="190" spans="21:24" x14ac:dyDescent="0.25">
      <c r="U190" s="183">
        <f t="shared" si="11"/>
        <v>44749</v>
      </c>
      <c r="V190" s="18">
        <f xml:space="preserve"> SUMIFS(MainData[ExtendedPrice], MainData[Date], U190, MainData[Category], "Beverage", MainData[Pricing], "&lt;&gt;"&amp;"*Adjust*", MainData[Pricing], "&lt;&gt;"&amp;"*LY*", MainData[BillTo], IF('YTD Revenue'!$AJ$14="Yes", "Hotel", "999999")) +
   SUMIFS(MainData[ExtendedPrice], MainData[Date], U190, MainData[Category], "Beverage", MainData[Pricing], "&lt;&gt;"&amp;"*Adjust*", MainData[Pricing], "&lt;&gt;"&amp;"*LY*", MainData[BillTo], IF('YTD Revenue'!$AJ$33="Yes", "EPO", "999999")) +
   SUMIFS(MainData[ExtendedPrice], MainData[Date], U190, MainData[Category], "Beverage", MainData[Pricing], "&lt;&gt;"&amp;"*Adjust*", MainData[Pricing], "&lt;&gt;"&amp;"*LY*", MainData[BillTo], IF('YTD Revenue'!$AJ$52="Yes", "Group", "999999")) -
   SUMIFS(MainData[ExtendedPrice], MainData[Date], U190,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0" s="175">
        <f t="shared" si="12"/>
        <v>9483.0649576271171</v>
      </c>
      <c r="X190" s="175">
        <f t="shared" si="13"/>
        <v>73045.8</v>
      </c>
    </row>
    <row r="191" spans="21:24" x14ac:dyDescent="0.25">
      <c r="U191" s="183">
        <f t="shared" si="11"/>
        <v>44750</v>
      </c>
      <c r="V191" s="18">
        <f xml:space="preserve"> SUMIFS(MainData[ExtendedPrice], MainData[Date], U191, MainData[Category], "Beverage", MainData[Pricing], "&lt;&gt;"&amp;"*Adjust*", MainData[Pricing], "&lt;&gt;"&amp;"*LY*", MainData[BillTo], IF('YTD Revenue'!$AJ$14="Yes", "Hotel", "999999")) +
   SUMIFS(MainData[ExtendedPrice], MainData[Date], U191, MainData[Category], "Beverage", MainData[Pricing], "&lt;&gt;"&amp;"*Adjust*", MainData[Pricing], "&lt;&gt;"&amp;"*LY*", MainData[BillTo], IF('YTD Revenue'!$AJ$33="Yes", "EPO", "999999")) +
   SUMIFS(MainData[ExtendedPrice], MainData[Date], U191, MainData[Category], "Beverage", MainData[Pricing], "&lt;&gt;"&amp;"*Adjust*", MainData[Pricing], "&lt;&gt;"&amp;"*LY*", MainData[BillTo], IF('YTD Revenue'!$AJ$52="Yes", "Group", "999999")) -
   SUMIFS(MainData[ExtendedPrice], MainData[Date], U191,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1" s="175">
        <f t="shared" si="12"/>
        <v>9483.0649576271171</v>
      </c>
      <c r="X191" s="175">
        <f t="shared" si="13"/>
        <v>73045.8</v>
      </c>
    </row>
    <row r="192" spans="21:24" x14ac:dyDescent="0.25">
      <c r="U192" s="183">
        <f t="shared" si="11"/>
        <v>44751</v>
      </c>
      <c r="V192" s="18">
        <f xml:space="preserve"> SUMIFS(MainData[ExtendedPrice], MainData[Date], U192, MainData[Category], "Beverage", MainData[Pricing], "&lt;&gt;"&amp;"*Adjust*", MainData[Pricing], "&lt;&gt;"&amp;"*LY*", MainData[BillTo], IF('YTD Revenue'!$AJ$14="Yes", "Hotel", "999999")) +
   SUMIFS(MainData[ExtendedPrice], MainData[Date], U192, MainData[Category], "Beverage", MainData[Pricing], "&lt;&gt;"&amp;"*Adjust*", MainData[Pricing], "&lt;&gt;"&amp;"*LY*", MainData[BillTo], IF('YTD Revenue'!$AJ$33="Yes", "EPO", "999999")) +
   SUMIFS(MainData[ExtendedPrice], MainData[Date], U192, MainData[Category], "Beverage", MainData[Pricing], "&lt;&gt;"&amp;"*Adjust*", MainData[Pricing], "&lt;&gt;"&amp;"*LY*", MainData[BillTo], IF('YTD Revenue'!$AJ$52="Yes", "Group", "999999")) -
   SUMIFS(MainData[ExtendedPrice], MainData[Date], U192,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2" s="175">
        <f t="shared" si="12"/>
        <v>9483.0649576271171</v>
      </c>
      <c r="X192" s="175">
        <f t="shared" si="13"/>
        <v>73045.8</v>
      </c>
    </row>
    <row r="193" spans="21:24" x14ac:dyDescent="0.25">
      <c r="U193" s="183">
        <f t="shared" si="11"/>
        <v>44752</v>
      </c>
      <c r="V193" s="18">
        <f xml:space="preserve"> SUMIFS(MainData[ExtendedPrice], MainData[Date], U193, MainData[Category], "Beverage", MainData[Pricing], "&lt;&gt;"&amp;"*Adjust*", MainData[Pricing], "&lt;&gt;"&amp;"*LY*", MainData[BillTo], IF('YTD Revenue'!$AJ$14="Yes", "Hotel", "999999")) +
   SUMIFS(MainData[ExtendedPrice], MainData[Date], U193, MainData[Category], "Beverage", MainData[Pricing], "&lt;&gt;"&amp;"*Adjust*", MainData[Pricing], "&lt;&gt;"&amp;"*LY*", MainData[BillTo], IF('YTD Revenue'!$AJ$33="Yes", "EPO", "999999")) +
   SUMIFS(MainData[ExtendedPrice], MainData[Date], U193, MainData[Category], "Beverage", MainData[Pricing], "&lt;&gt;"&amp;"*Adjust*", MainData[Pricing], "&lt;&gt;"&amp;"*LY*", MainData[BillTo], IF('YTD Revenue'!$AJ$52="Yes", "Group", "999999")) -
   SUMIFS(MainData[ExtendedPrice], MainData[Date], U193,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3" s="175">
        <f t="shared" si="12"/>
        <v>9483.0649576271171</v>
      </c>
      <c r="X193" s="175">
        <f t="shared" si="13"/>
        <v>73045.8</v>
      </c>
    </row>
    <row r="194" spans="21:24" x14ac:dyDescent="0.25">
      <c r="U194" s="183">
        <f t="shared" si="11"/>
        <v>44753</v>
      </c>
      <c r="V194" s="18">
        <f xml:space="preserve"> SUMIFS(MainData[ExtendedPrice], MainData[Date], U194, MainData[Category], "Beverage", MainData[Pricing], "&lt;&gt;"&amp;"*Adjust*", MainData[Pricing], "&lt;&gt;"&amp;"*LY*", MainData[BillTo], IF('YTD Revenue'!$AJ$14="Yes", "Hotel", "999999")) +
   SUMIFS(MainData[ExtendedPrice], MainData[Date], U194, MainData[Category], "Beverage", MainData[Pricing], "&lt;&gt;"&amp;"*Adjust*", MainData[Pricing], "&lt;&gt;"&amp;"*LY*", MainData[BillTo], IF('YTD Revenue'!$AJ$33="Yes", "EPO", "999999")) +
   SUMIFS(MainData[ExtendedPrice], MainData[Date], U194, MainData[Category], "Beverage", MainData[Pricing], "&lt;&gt;"&amp;"*Adjust*", MainData[Pricing], "&lt;&gt;"&amp;"*LY*", MainData[BillTo], IF('YTD Revenue'!$AJ$52="Yes", "Group", "999999")) -
   SUMIFS(MainData[ExtendedPrice], MainData[Date], U194,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4" s="175">
        <f t="shared" si="12"/>
        <v>9483.0649576271171</v>
      </c>
      <c r="X194" s="175">
        <f t="shared" si="13"/>
        <v>73045.8</v>
      </c>
    </row>
    <row r="195" spans="21:24" x14ac:dyDescent="0.25">
      <c r="U195" s="183">
        <f t="shared" si="11"/>
        <v>44754</v>
      </c>
      <c r="V195" s="18">
        <f xml:space="preserve"> SUMIFS(MainData[ExtendedPrice], MainData[Date], U195, MainData[Category], "Beverage", MainData[Pricing], "&lt;&gt;"&amp;"*Adjust*", MainData[Pricing], "&lt;&gt;"&amp;"*LY*", MainData[BillTo], IF('YTD Revenue'!$AJ$14="Yes", "Hotel", "999999")) +
   SUMIFS(MainData[ExtendedPrice], MainData[Date], U195, MainData[Category], "Beverage", MainData[Pricing], "&lt;&gt;"&amp;"*Adjust*", MainData[Pricing], "&lt;&gt;"&amp;"*LY*", MainData[BillTo], IF('YTD Revenue'!$AJ$33="Yes", "EPO", "999999")) +
   SUMIFS(MainData[ExtendedPrice], MainData[Date], U195, MainData[Category], "Beverage", MainData[Pricing], "&lt;&gt;"&amp;"*Adjust*", MainData[Pricing], "&lt;&gt;"&amp;"*LY*", MainData[BillTo], IF('YTD Revenue'!$AJ$52="Yes", "Group", "999999")) -
   SUMIFS(MainData[ExtendedPrice], MainData[Date], U195,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5" s="175">
        <f t="shared" si="12"/>
        <v>9483.0649576271171</v>
      </c>
      <c r="X195" s="175">
        <f t="shared" si="13"/>
        <v>73045.8</v>
      </c>
    </row>
    <row r="196" spans="21:24" x14ac:dyDescent="0.25">
      <c r="U196" s="183">
        <f t="shared" si="11"/>
        <v>44755</v>
      </c>
      <c r="V196" s="18">
        <f xml:space="preserve"> SUMIFS(MainData[ExtendedPrice], MainData[Date], U196, MainData[Category], "Beverage", MainData[Pricing], "&lt;&gt;"&amp;"*Adjust*", MainData[Pricing], "&lt;&gt;"&amp;"*LY*", MainData[BillTo], IF('YTD Revenue'!$AJ$14="Yes", "Hotel", "999999")) +
   SUMIFS(MainData[ExtendedPrice], MainData[Date], U196, MainData[Category], "Beverage", MainData[Pricing], "&lt;&gt;"&amp;"*Adjust*", MainData[Pricing], "&lt;&gt;"&amp;"*LY*", MainData[BillTo], IF('YTD Revenue'!$AJ$33="Yes", "EPO", "999999")) +
   SUMIFS(MainData[ExtendedPrice], MainData[Date], U196, MainData[Category], "Beverage", MainData[Pricing], "&lt;&gt;"&amp;"*Adjust*", MainData[Pricing], "&lt;&gt;"&amp;"*LY*", MainData[BillTo], IF('YTD Revenue'!$AJ$52="Yes", "Group", "999999")) -
   SUMIFS(MainData[ExtendedPrice], MainData[Date], U196,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6" s="175">
        <f t="shared" si="12"/>
        <v>9483.0649576271171</v>
      </c>
      <c r="X196" s="175">
        <f t="shared" si="13"/>
        <v>73045.8</v>
      </c>
    </row>
    <row r="197" spans="21:24" x14ac:dyDescent="0.25">
      <c r="U197" s="183">
        <f t="shared" ref="U197:U260" si="14">U196+1</f>
        <v>44756</v>
      </c>
      <c r="V197" s="18">
        <f xml:space="preserve"> SUMIFS(MainData[ExtendedPrice], MainData[Date], U197, MainData[Category], "Beverage", MainData[Pricing], "&lt;&gt;"&amp;"*Adjust*", MainData[Pricing], "&lt;&gt;"&amp;"*LY*", MainData[BillTo], IF('YTD Revenue'!$AJ$14="Yes", "Hotel", "999999")) +
   SUMIFS(MainData[ExtendedPrice], MainData[Date], U197, MainData[Category], "Beverage", MainData[Pricing], "&lt;&gt;"&amp;"*Adjust*", MainData[Pricing], "&lt;&gt;"&amp;"*LY*", MainData[BillTo], IF('YTD Revenue'!$AJ$33="Yes", "EPO", "999999")) +
   SUMIFS(MainData[ExtendedPrice], MainData[Date], U197, MainData[Category], "Beverage", MainData[Pricing], "&lt;&gt;"&amp;"*Adjust*", MainData[Pricing], "&lt;&gt;"&amp;"*LY*", MainData[BillTo], IF('YTD Revenue'!$AJ$52="Yes", "Group", "999999")) -
   SUMIFS(MainData[ExtendedPrice], MainData[Date], U197,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7" s="175">
        <f t="shared" ref="W197:W260" si="15">W196</f>
        <v>9483.0649576271171</v>
      </c>
      <c r="X197" s="175">
        <f t="shared" ref="X197:X260" si="16">X196</f>
        <v>73045.8</v>
      </c>
    </row>
    <row r="198" spans="21:24" x14ac:dyDescent="0.25">
      <c r="U198" s="183">
        <f t="shared" si="14"/>
        <v>44757</v>
      </c>
      <c r="V198" s="18">
        <f xml:space="preserve"> SUMIFS(MainData[ExtendedPrice], MainData[Date], U198, MainData[Category], "Beverage", MainData[Pricing], "&lt;&gt;"&amp;"*Adjust*", MainData[Pricing], "&lt;&gt;"&amp;"*LY*", MainData[BillTo], IF('YTD Revenue'!$AJ$14="Yes", "Hotel", "999999")) +
   SUMIFS(MainData[ExtendedPrice], MainData[Date], U198, MainData[Category], "Beverage", MainData[Pricing], "&lt;&gt;"&amp;"*Adjust*", MainData[Pricing], "&lt;&gt;"&amp;"*LY*", MainData[BillTo], IF('YTD Revenue'!$AJ$33="Yes", "EPO", "999999")) +
   SUMIFS(MainData[ExtendedPrice], MainData[Date], U198, MainData[Category], "Beverage", MainData[Pricing], "&lt;&gt;"&amp;"*Adjust*", MainData[Pricing], "&lt;&gt;"&amp;"*LY*", MainData[BillTo], IF('YTD Revenue'!$AJ$52="Yes", "Group", "999999")) -
   SUMIFS(MainData[ExtendedPrice], MainData[Date], U198,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8" s="175">
        <f t="shared" si="15"/>
        <v>9483.0649576271171</v>
      </c>
      <c r="X198" s="175">
        <f t="shared" si="16"/>
        <v>73045.8</v>
      </c>
    </row>
    <row r="199" spans="21:24" x14ac:dyDescent="0.25">
      <c r="U199" s="183">
        <f t="shared" si="14"/>
        <v>44758</v>
      </c>
      <c r="V199" s="18">
        <f xml:space="preserve"> SUMIFS(MainData[ExtendedPrice], MainData[Date], U199, MainData[Category], "Beverage", MainData[Pricing], "&lt;&gt;"&amp;"*Adjust*", MainData[Pricing], "&lt;&gt;"&amp;"*LY*", MainData[BillTo], IF('YTD Revenue'!$AJ$14="Yes", "Hotel", "999999")) +
   SUMIFS(MainData[ExtendedPrice], MainData[Date], U199, MainData[Category], "Beverage", MainData[Pricing], "&lt;&gt;"&amp;"*Adjust*", MainData[Pricing], "&lt;&gt;"&amp;"*LY*", MainData[BillTo], IF('YTD Revenue'!$AJ$33="Yes", "EPO", "999999")) +
   SUMIFS(MainData[ExtendedPrice], MainData[Date], U199, MainData[Category], "Beverage", MainData[Pricing], "&lt;&gt;"&amp;"*Adjust*", MainData[Pricing], "&lt;&gt;"&amp;"*LY*", MainData[BillTo], IF('YTD Revenue'!$AJ$52="Yes", "Group", "999999")) -
   SUMIFS(MainData[ExtendedPrice], MainData[Date], U199,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9" s="175">
        <f t="shared" si="15"/>
        <v>9483.0649576271171</v>
      </c>
      <c r="X199" s="175">
        <f t="shared" si="16"/>
        <v>73045.8</v>
      </c>
    </row>
    <row r="200" spans="21:24" x14ac:dyDescent="0.25">
      <c r="U200" s="183">
        <f t="shared" si="14"/>
        <v>44759</v>
      </c>
      <c r="V200" s="18">
        <f xml:space="preserve"> SUMIFS(MainData[ExtendedPrice], MainData[Date], U200, MainData[Category], "Beverage", MainData[Pricing], "&lt;&gt;"&amp;"*Adjust*", MainData[Pricing], "&lt;&gt;"&amp;"*LY*", MainData[BillTo], IF('YTD Revenue'!$AJ$14="Yes", "Hotel", "999999")) +
   SUMIFS(MainData[ExtendedPrice], MainData[Date], U200, MainData[Category], "Beverage", MainData[Pricing], "&lt;&gt;"&amp;"*Adjust*", MainData[Pricing], "&lt;&gt;"&amp;"*LY*", MainData[BillTo], IF('YTD Revenue'!$AJ$33="Yes", "EPO", "999999")) +
   SUMIFS(MainData[ExtendedPrice], MainData[Date], U200, MainData[Category], "Beverage", MainData[Pricing], "&lt;&gt;"&amp;"*Adjust*", MainData[Pricing], "&lt;&gt;"&amp;"*LY*", MainData[BillTo], IF('YTD Revenue'!$AJ$52="Yes", "Group", "999999")) -
   SUMIFS(MainData[ExtendedPrice], MainData[Date], U200,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0" s="175">
        <f t="shared" si="15"/>
        <v>9483.0649576271171</v>
      </c>
      <c r="X200" s="175">
        <f t="shared" si="16"/>
        <v>73045.8</v>
      </c>
    </row>
    <row r="201" spans="21:24" x14ac:dyDescent="0.25">
      <c r="U201" s="183">
        <f t="shared" si="14"/>
        <v>44760</v>
      </c>
      <c r="V201" s="18">
        <f xml:space="preserve"> SUMIFS(MainData[ExtendedPrice], MainData[Date], U201, MainData[Category], "Beverage", MainData[Pricing], "&lt;&gt;"&amp;"*Adjust*", MainData[Pricing], "&lt;&gt;"&amp;"*LY*", MainData[BillTo], IF('YTD Revenue'!$AJ$14="Yes", "Hotel", "999999")) +
   SUMIFS(MainData[ExtendedPrice], MainData[Date], U201, MainData[Category], "Beverage", MainData[Pricing], "&lt;&gt;"&amp;"*Adjust*", MainData[Pricing], "&lt;&gt;"&amp;"*LY*", MainData[BillTo], IF('YTD Revenue'!$AJ$33="Yes", "EPO", "999999")) +
   SUMIFS(MainData[ExtendedPrice], MainData[Date], U201, MainData[Category], "Beverage", MainData[Pricing], "&lt;&gt;"&amp;"*Adjust*", MainData[Pricing], "&lt;&gt;"&amp;"*LY*", MainData[BillTo], IF('YTD Revenue'!$AJ$52="Yes", "Group", "999999")) -
   SUMIFS(MainData[ExtendedPrice], MainData[Date], U201,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1" s="175">
        <f t="shared" si="15"/>
        <v>9483.0649576271171</v>
      </c>
      <c r="X201" s="175">
        <f t="shared" si="16"/>
        <v>73045.8</v>
      </c>
    </row>
    <row r="202" spans="21:24" x14ac:dyDescent="0.25">
      <c r="U202" s="183">
        <f t="shared" si="14"/>
        <v>44761</v>
      </c>
      <c r="V202" s="18">
        <f xml:space="preserve"> SUMIFS(MainData[ExtendedPrice], MainData[Date], U202, MainData[Category], "Beverage", MainData[Pricing], "&lt;&gt;"&amp;"*Adjust*", MainData[Pricing], "&lt;&gt;"&amp;"*LY*", MainData[BillTo], IF('YTD Revenue'!$AJ$14="Yes", "Hotel", "999999")) +
   SUMIFS(MainData[ExtendedPrice], MainData[Date], U202, MainData[Category], "Beverage", MainData[Pricing], "&lt;&gt;"&amp;"*Adjust*", MainData[Pricing], "&lt;&gt;"&amp;"*LY*", MainData[BillTo], IF('YTD Revenue'!$AJ$33="Yes", "EPO", "999999")) +
   SUMIFS(MainData[ExtendedPrice], MainData[Date], U202, MainData[Category], "Beverage", MainData[Pricing], "&lt;&gt;"&amp;"*Adjust*", MainData[Pricing], "&lt;&gt;"&amp;"*LY*", MainData[BillTo], IF('YTD Revenue'!$AJ$52="Yes", "Group", "999999")) -
   SUMIFS(MainData[ExtendedPrice], MainData[Date], U202,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2" s="175">
        <f t="shared" si="15"/>
        <v>9483.0649576271171</v>
      </c>
      <c r="X202" s="175">
        <f t="shared" si="16"/>
        <v>73045.8</v>
      </c>
    </row>
    <row r="203" spans="21:24" x14ac:dyDescent="0.25">
      <c r="U203" s="183">
        <f t="shared" si="14"/>
        <v>44762</v>
      </c>
      <c r="V203" s="18">
        <f xml:space="preserve"> SUMIFS(MainData[ExtendedPrice], MainData[Date], U203, MainData[Category], "Beverage", MainData[Pricing], "&lt;&gt;"&amp;"*Adjust*", MainData[Pricing], "&lt;&gt;"&amp;"*LY*", MainData[BillTo], IF('YTD Revenue'!$AJ$14="Yes", "Hotel", "999999")) +
   SUMIFS(MainData[ExtendedPrice], MainData[Date], U203, MainData[Category], "Beverage", MainData[Pricing], "&lt;&gt;"&amp;"*Adjust*", MainData[Pricing], "&lt;&gt;"&amp;"*LY*", MainData[BillTo], IF('YTD Revenue'!$AJ$33="Yes", "EPO", "999999")) +
   SUMIFS(MainData[ExtendedPrice], MainData[Date], U203, MainData[Category], "Beverage", MainData[Pricing], "&lt;&gt;"&amp;"*Adjust*", MainData[Pricing], "&lt;&gt;"&amp;"*LY*", MainData[BillTo], IF('YTD Revenue'!$AJ$52="Yes", "Group", "999999")) -
   SUMIFS(MainData[ExtendedPrice], MainData[Date], U203,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3" s="175">
        <f t="shared" si="15"/>
        <v>9483.0649576271171</v>
      </c>
      <c r="X203" s="175">
        <f t="shared" si="16"/>
        <v>73045.8</v>
      </c>
    </row>
    <row r="204" spans="21:24" x14ac:dyDescent="0.25">
      <c r="U204" s="183">
        <f t="shared" si="14"/>
        <v>44763</v>
      </c>
      <c r="V204" s="18">
        <f xml:space="preserve"> SUMIFS(MainData[ExtendedPrice], MainData[Date], U204, MainData[Category], "Beverage", MainData[Pricing], "&lt;&gt;"&amp;"*Adjust*", MainData[Pricing], "&lt;&gt;"&amp;"*LY*", MainData[BillTo], IF('YTD Revenue'!$AJ$14="Yes", "Hotel", "999999")) +
   SUMIFS(MainData[ExtendedPrice], MainData[Date], U204, MainData[Category], "Beverage", MainData[Pricing], "&lt;&gt;"&amp;"*Adjust*", MainData[Pricing], "&lt;&gt;"&amp;"*LY*", MainData[BillTo], IF('YTD Revenue'!$AJ$33="Yes", "EPO", "999999")) +
   SUMIFS(MainData[ExtendedPrice], MainData[Date], U204, MainData[Category], "Beverage", MainData[Pricing], "&lt;&gt;"&amp;"*Adjust*", MainData[Pricing], "&lt;&gt;"&amp;"*LY*", MainData[BillTo], IF('YTD Revenue'!$AJ$52="Yes", "Group", "999999")) -
   SUMIFS(MainData[ExtendedPrice], MainData[Date], U204,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4" s="175">
        <f t="shared" si="15"/>
        <v>9483.0649576271171</v>
      </c>
      <c r="X204" s="175">
        <f t="shared" si="16"/>
        <v>73045.8</v>
      </c>
    </row>
    <row r="205" spans="21:24" x14ac:dyDescent="0.25">
      <c r="U205" s="183">
        <f t="shared" si="14"/>
        <v>44764</v>
      </c>
      <c r="V205" s="18">
        <f xml:space="preserve"> SUMIFS(MainData[ExtendedPrice], MainData[Date], U205, MainData[Category], "Beverage", MainData[Pricing], "&lt;&gt;"&amp;"*Adjust*", MainData[Pricing], "&lt;&gt;"&amp;"*LY*", MainData[BillTo], IF('YTD Revenue'!$AJ$14="Yes", "Hotel", "999999")) +
   SUMIFS(MainData[ExtendedPrice], MainData[Date], U205, MainData[Category], "Beverage", MainData[Pricing], "&lt;&gt;"&amp;"*Adjust*", MainData[Pricing], "&lt;&gt;"&amp;"*LY*", MainData[BillTo], IF('YTD Revenue'!$AJ$33="Yes", "EPO", "999999")) +
   SUMIFS(MainData[ExtendedPrice], MainData[Date], U205, MainData[Category], "Beverage", MainData[Pricing], "&lt;&gt;"&amp;"*Adjust*", MainData[Pricing], "&lt;&gt;"&amp;"*LY*", MainData[BillTo], IF('YTD Revenue'!$AJ$52="Yes", "Group", "999999")) -
   SUMIFS(MainData[ExtendedPrice], MainData[Date], U205,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5" s="175">
        <f t="shared" si="15"/>
        <v>9483.0649576271171</v>
      </c>
      <c r="X205" s="175">
        <f t="shared" si="16"/>
        <v>73045.8</v>
      </c>
    </row>
    <row r="206" spans="21:24" x14ac:dyDescent="0.25">
      <c r="U206" s="183">
        <f t="shared" si="14"/>
        <v>44765</v>
      </c>
      <c r="V206" s="18">
        <f xml:space="preserve"> SUMIFS(MainData[ExtendedPrice], MainData[Date], U206, MainData[Category], "Beverage", MainData[Pricing], "&lt;&gt;"&amp;"*Adjust*", MainData[Pricing], "&lt;&gt;"&amp;"*LY*", MainData[BillTo], IF('YTD Revenue'!$AJ$14="Yes", "Hotel", "999999")) +
   SUMIFS(MainData[ExtendedPrice], MainData[Date], U206, MainData[Category], "Beverage", MainData[Pricing], "&lt;&gt;"&amp;"*Adjust*", MainData[Pricing], "&lt;&gt;"&amp;"*LY*", MainData[BillTo], IF('YTD Revenue'!$AJ$33="Yes", "EPO", "999999")) +
   SUMIFS(MainData[ExtendedPrice], MainData[Date], U206, MainData[Category], "Beverage", MainData[Pricing], "&lt;&gt;"&amp;"*Adjust*", MainData[Pricing], "&lt;&gt;"&amp;"*LY*", MainData[BillTo], IF('YTD Revenue'!$AJ$52="Yes", "Group", "999999")) -
   SUMIFS(MainData[ExtendedPrice], MainData[Date], U206,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6" s="175">
        <f t="shared" si="15"/>
        <v>9483.0649576271171</v>
      </c>
      <c r="X206" s="175">
        <f t="shared" si="16"/>
        <v>73045.8</v>
      </c>
    </row>
    <row r="207" spans="21:24" x14ac:dyDescent="0.25">
      <c r="U207" s="183">
        <f t="shared" si="14"/>
        <v>44766</v>
      </c>
      <c r="V207" s="18">
        <f xml:space="preserve"> SUMIFS(MainData[ExtendedPrice], MainData[Date], U207, MainData[Category], "Beverage", MainData[Pricing], "&lt;&gt;"&amp;"*Adjust*", MainData[Pricing], "&lt;&gt;"&amp;"*LY*", MainData[BillTo], IF('YTD Revenue'!$AJ$14="Yes", "Hotel", "999999")) +
   SUMIFS(MainData[ExtendedPrice], MainData[Date], U207, MainData[Category], "Beverage", MainData[Pricing], "&lt;&gt;"&amp;"*Adjust*", MainData[Pricing], "&lt;&gt;"&amp;"*LY*", MainData[BillTo], IF('YTD Revenue'!$AJ$33="Yes", "EPO", "999999")) +
   SUMIFS(MainData[ExtendedPrice], MainData[Date], U207, MainData[Category], "Beverage", MainData[Pricing], "&lt;&gt;"&amp;"*Adjust*", MainData[Pricing], "&lt;&gt;"&amp;"*LY*", MainData[BillTo], IF('YTD Revenue'!$AJ$52="Yes", "Group", "999999")) -
   SUMIFS(MainData[ExtendedPrice], MainData[Date], U207,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7" s="175">
        <f t="shared" si="15"/>
        <v>9483.0649576271171</v>
      </c>
      <c r="X207" s="175">
        <f t="shared" si="16"/>
        <v>73045.8</v>
      </c>
    </row>
    <row r="208" spans="21:24" x14ac:dyDescent="0.25">
      <c r="U208" s="183">
        <f t="shared" si="14"/>
        <v>44767</v>
      </c>
      <c r="V208" s="18">
        <f xml:space="preserve"> SUMIFS(MainData[ExtendedPrice], MainData[Date], U208, MainData[Category], "Beverage", MainData[Pricing], "&lt;&gt;"&amp;"*Adjust*", MainData[Pricing], "&lt;&gt;"&amp;"*LY*", MainData[BillTo], IF('YTD Revenue'!$AJ$14="Yes", "Hotel", "999999")) +
   SUMIFS(MainData[ExtendedPrice], MainData[Date], U208, MainData[Category], "Beverage", MainData[Pricing], "&lt;&gt;"&amp;"*Adjust*", MainData[Pricing], "&lt;&gt;"&amp;"*LY*", MainData[BillTo], IF('YTD Revenue'!$AJ$33="Yes", "EPO", "999999")) +
   SUMIFS(MainData[ExtendedPrice], MainData[Date], U208, MainData[Category], "Beverage", MainData[Pricing], "&lt;&gt;"&amp;"*Adjust*", MainData[Pricing], "&lt;&gt;"&amp;"*LY*", MainData[BillTo], IF('YTD Revenue'!$AJ$52="Yes", "Group", "999999")) -
   SUMIFS(MainData[ExtendedPrice], MainData[Date], U208,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8" s="175">
        <f t="shared" si="15"/>
        <v>9483.0649576271171</v>
      </c>
      <c r="X208" s="175">
        <f t="shared" si="16"/>
        <v>73045.8</v>
      </c>
    </row>
    <row r="209" spans="21:24" x14ac:dyDescent="0.25">
      <c r="U209" s="183">
        <f t="shared" si="14"/>
        <v>44768</v>
      </c>
      <c r="V209" s="18">
        <f xml:space="preserve"> SUMIFS(MainData[ExtendedPrice], MainData[Date], U209, MainData[Category], "Beverage", MainData[Pricing], "&lt;&gt;"&amp;"*Adjust*", MainData[Pricing], "&lt;&gt;"&amp;"*LY*", MainData[BillTo], IF('YTD Revenue'!$AJ$14="Yes", "Hotel", "999999")) +
   SUMIFS(MainData[ExtendedPrice], MainData[Date], U209, MainData[Category], "Beverage", MainData[Pricing], "&lt;&gt;"&amp;"*Adjust*", MainData[Pricing], "&lt;&gt;"&amp;"*LY*", MainData[BillTo], IF('YTD Revenue'!$AJ$33="Yes", "EPO", "999999")) +
   SUMIFS(MainData[ExtendedPrice], MainData[Date], U209, MainData[Category], "Beverage", MainData[Pricing], "&lt;&gt;"&amp;"*Adjust*", MainData[Pricing], "&lt;&gt;"&amp;"*LY*", MainData[BillTo], IF('YTD Revenue'!$AJ$52="Yes", "Group", "999999")) -
   SUMIFS(MainData[ExtendedPrice], MainData[Date], U209,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9" s="175">
        <f t="shared" si="15"/>
        <v>9483.0649576271171</v>
      </c>
      <c r="X209" s="175">
        <f t="shared" si="16"/>
        <v>73045.8</v>
      </c>
    </row>
    <row r="210" spans="21:24" x14ac:dyDescent="0.25">
      <c r="U210" s="183">
        <f t="shared" si="14"/>
        <v>44769</v>
      </c>
      <c r="V210" s="18">
        <f xml:space="preserve"> SUMIFS(MainData[ExtendedPrice], MainData[Date], U210, MainData[Category], "Beverage", MainData[Pricing], "&lt;&gt;"&amp;"*Adjust*", MainData[Pricing], "&lt;&gt;"&amp;"*LY*", MainData[BillTo], IF('YTD Revenue'!$AJ$14="Yes", "Hotel", "999999")) +
   SUMIFS(MainData[ExtendedPrice], MainData[Date], U210, MainData[Category], "Beverage", MainData[Pricing], "&lt;&gt;"&amp;"*Adjust*", MainData[Pricing], "&lt;&gt;"&amp;"*LY*", MainData[BillTo], IF('YTD Revenue'!$AJ$33="Yes", "EPO", "999999")) +
   SUMIFS(MainData[ExtendedPrice], MainData[Date], U210, MainData[Category], "Beverage", MainData[Pricing], "&lt;&gt;"&amp;"*Adjust*", MainData[Pricing], "&lt;&gt;"&amp;"*LY*", MainData[BillTo], IF('YTD Revenue'!$AJ$52="Yes", "Group", "999999")) -
   SUMIFS(MainData[ExtendedPrice], MainData[Date], U210,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0" s="175">
        <f t="shared" si="15"/>
        <v>9483.0649576271171</v>
      </c>
      <c r="X210" s="175">
        <f t="shared" si="16"/>
        <v>73045.8</v>
      </c>
    </row>
    <row r="211" spans="21:24" x14ac:dyDescent="0.25">
      <c r="U211" s="183">
        <f t="shared" si="14"/>
        <v>44770</v>
      </c>
      <c r="V211" s="18">
        <f xml:space="preserve"> SUMIFS(MainData[ExtendedPrice], MainData[Date], U211, MainData[Category], "Beverage", MainData[Pricing], "&lt;&gt;"&amp;"*Adjust*", MainData[Pricing], "&lt;&gt;"&amp;"*LY*", MainData[BillTo], IF('YTD Revenue'!$AJ$14="Yes", "Hotel", "999999")) +
   SUMIFS(MainData[ExtendedPrice], MainData[Date], U211, MainData[Category], "Beverage", MainData[Pricing], "&lt;&gt;"&amp;"*Adjust*", MainData[Pricing], "&lt;&gt;"&amp;"*LY*", MainData[BillTo], IF('YTD Revenue'!$AJ$33="Yes", "EPO", "999999")) +
   SUMIFS(MainData[ExtendedPrice], MainData[Date], U211, MainData[Category], "Beverage", MainData[Pricing], "&lt;&gt;"&amp;"*Adjust*", MainData[Pricing], "&lt;&gt;"&amp;"*LY*", MainData[BillTo], IF('YTD Revenue'!$AJ$52="Yes", "Group", "999999")) -
   SUMIFS(MainData[ExtendedPrice], MainData[Date], U211,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1" s="175">
        <f t="shared" si="15"/>
        <v>9483.0649576271171</v>
      </c>
      <c r="X211" s="175">
        <f t="shared" si="16"/>
        <v>73045.8</v>
      </c>
    </row>
    <row r="212" spans="21:24" x14ac:dyDescent="0.25">
      <c r="U212" s="183">
        <f t="shared" si="14"/>
        <v>44771</v>
      </c>
      <c r="V212" s="18">
        <f xml:space="preserve"> SUMIFS(MainData[ExtendedPrice], MainData[Date], U212, MainData[Category], "Beverage", MainData[Pricing], "&lt;&gt;"&amp;"*Adjust*", MainData[Pricing], "&lt;&gt;"&amp;"*LY*", MainData[BillTo], IF('YTD Revenue'!$AJ$14="Yes", "Hotel", "999999")) +
   SUMIFS(MainData[ExtendedPrice], MainData[Date], U212, MainData[Category], "Beverage", MainData[Pricing], "&lt;&gt;"&amp;"*Adjust*", MainData[Pricing], "&lt;&gt;"&amp;"*LY*", MainData[BillTo], IF('YTD Revenue'!$AJ$33="Yes", "EPO", "999999")) +
   SUMIFS(MainData[ExtendedPrice], MainData[Date], U212, MainData[Category], "Beverage", MainData[Pricing], "&lt;&gt;"&amp;"*Adjust*", MainData[Pricing], "&lt;&gt;"&amp;"*LY*", MainData[BillTo], IF('YTD Revenue'!$AJ$52="Yes", "Group", "999999")) -
   SUMIFS(MainData[ExtendedPrice], MainData[Date], U212,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2" s="175">
        <f t="shared" si="15"/>
        <v>9483.0649576271171</v>
      </c>
      <c r="X212" s="175">
        <f t="shared" si="16"/>
        <v>73045.8</v>
      </c>
    </row>
    <row r="213" spans="21:24" x14ac:dyDescent="0.25">
      <c r="U213" s="183">
        <f t="shared" si="14"/>
        <v>44772</v>
      </c>
      <c r="V213" s="18">
        <f xml:space="preserve"> SUMIFS(MainData[ExtendedPrice], MainData[Date], U213, MainData[Category], "Beverage", MainData[Pricing], "&lt;&gt;"&amp;"*Adjust*", MainData[Pricing], "&lt;&gt;"&amp;"*LY*", MainData[BillTo], IF('YTD Revenue'!$AJ$14="Yes", "Hotel", "999999")) +
   SUMIFS(MainData[ExtendedPrice], MainData[Date], U213, MainData[Category], "Beverage", MainData[Pricing], "&lt;&gt;"&amp;"*Adjust*", MainData[Pricing], "&lt;&gt;"&amp;"*LY*", MainData[BillTo], IF('YTD Revenue'!$AJ$33="Yes", "EPO", "999999")) +
   SUMIFS(MainData[ExtendedPrice], MainData[Date], U213, MainData[Category], "Beverage", MainData[Pricing], "&lt;&gt;"&amp;"*Adjust*", MainData[Pricing], "&lt;&gt;"&amp;"*LY*", MainData[BillTo], IF('YTD Revenue'!$AJ$52="Yes", "Group", "999999")) -
   SUMIFS(MainData[ExtendedPrice], MainData[Date], U213,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3" s="175">
        <f t="shared" si="15"/>
        <v>9483.0649576271171</v>
      </c>
      <c r="X213" s="175">
        <f t="shared" si="16"/>
        <v>73045.8</v>
      </c>
    </row>
    <row r="214" spans="21:24" x14ac:dyDescent="0.25">
      <c r="U214" s="183">
        <f t="shared" si="14"/>
        <v>44773</v>
      </c>
      <c r="V214" s="18">
        <f xml:space="preserve"> SUMIFS(MainData[ExtendedPrice], MainData[Date], U214, MainData[Category], "Beverage", MainData[Pricing], "&lt;&gt;"&amp;"*Adjust*", MainData[Pricing], "&lt;&gt;"&amp;"*LY*", MainData[BillTo], IF('YTD Revenue'!$AJ$14="Yes", "Hotel", "999999")) +
   SUMIFS(MainData[ExtendedPrice], MainData[Date], U214, MainData[Category], "Beverage", MainData[Pricing], "&lt;&gt;"&amp;"*Adjust*", MainData[Pricing], "&lt;&gt;"&amp;"*LY*", MainData[BillTo], IF('YTD Revenue'!$AJ$33="Yes", "EPO", "999999")) +
   SUMIFS(MainData[ExtendedPrice], MainData[Date], U214, MainData[Category], "Beverage", MainData[Pricing], "&lt;&gt;"&amp;"*Adjust*", MainData[Pricing], "&lt;&gt;"&amp;"*LY*", MainData[BillTo], IF('YTD Revenue'!$AJ$52="Yes", "Group", "999999")) -
   SUMIFS(MainData[ExtendedPrice], MainData[Date], U214,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4" s="175">
        <f t="shared" si="15"/>
        <v>9483.0649576271171</v>
      </c>
      <c r="X214" s="175">
        <f t="shared" si="16"/>
        <v>73045.8</v>
      </c>
    </row>
    <row r="215" spans="21:24" x14ac:dyDescent="0.25">
      <c r="U215" s="183">
        <f t="shared" si="14"/>
        <v>44774</v>
      </c>
      <c r="V215" s="18">
        <f xml:space="preserve"> SUMIFS(MainData[ExtendedPrice], MainData[Date], U215, MainData[Category], "Beverage", MainData[Pricing], "&lt;&gt;"&amp;"*Adjust*", MainData[Pricing], "&lt;&gt;"&amp;"*LY*", MainData[BillTo], IF('YTD Revenue'!$AJ$14="Yes", "Hotel", "999999")) +
   SUMIFS(MainData[ExtendedPrice], MainData[Date], U215, MainData[Category], "Beverage", MainData[Pricing], "&lt;&gt;"&amp;"*Adjust*", MainData[Pricing], "&lt;&gt;"&amp;"*LY*", MainData[BillTo], IF('YTD Revenue'!$AJ$33="Yes", "EPO", "999999")) +
   SUMIFS(MainData[ExtendedPrice], MainData[Date], U215, MainData[Category], "Beverage", MainData[Pricing], "&lt;&gt;"&amp;"*Adjust*", MainData[Pricing], "&lt;&gt;"&amp;"*LY*", MainData[BillTo], IF('YTD Revenue'!$AJ$52="Yes", "Group", "999999")) -
   SUMIFS(MainData[ExtendedPrice], MainData[Date], U215,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5" s="175">
        <f t="shared" si="15"/>
        <v>9483.0649576271171</v>
      </c>
      <c r="X215" s="175">
        <f t="shared" si="16"/>
        <v>73045.8</v>
      </c>
    </row>
    <row r="216" spans="21:24" x14ac:dyDescent="0.25">
      <c r="U216" s="183">
        <f t="shared" si="14"/>
        <v>44775</v>
      </c>
      <c r="V216" s="18">
        <f xml:space="preserve"> SUMIFS(MainData[ExtendedPrice], MainData[Date], U216, MainData[Category], "Beverage", MainData[Pricing], "&lt;&gt;"&amp;"*Adjust*", MainData[Pricing], "&lt;&gt;"&amp;"*LY*", MainData[BillTo], IF('YTD Revenue'!$AJ$14="Yes", "Hotel", "999999")) +
   SUMIFS(MainData[ExtendedPrice], MainData[Date], U216, MainData[Category], "Beverage", MainData[Pricing], "&lt;&gt;"&amp;"*Adjust*", MainData[Pricing], "&lt;&gt;"&amp;"*LY*", MainData[BillTo], IF('YTD Revenue'!$AJ$33="Yes", "EPO", "999999")) +
   SUMIFS(MainData[ExtendedPrice], MainData[Date], U216, MainData[Category], "Beverage", MainData[Pricing], "&lt;&gt;"&amp;"*Adjust*", MainData[Pricing], "&lt;&gt;"&amp;"*LY*", MainData[BillTo], IF('YTD Revenue'!$AJ$52="Yes", "Group", "999999")) -
   SUMIFS(MainData[ExtendedPrice], MainData[Date], U216,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6" s="175">
        <f t="shared" si="15"/>
        <v>9483.0649576271171</v>
      </c>
      <c r="X216" s="175">
        <f t="shared" si="16"/>
        <v>73045.8</v>
      </c>
    </row>
    <row r="217" spans="21:24" x14ac:dyDescent="0.25">
      <c r="U217" s="183">
        <f t="shared" si="14"/>
        <v>44776</v>
      </c>
      <c r="V217" s="18">
        <f xml:space="preserve"> SUMIFS(MainData[ExtendedPrice], MainData[Date], U217, MainData[Category], "Beverage", MainData[Pricing], "&lt;&gt;"&amp;"*Adjust*", MainData[Pricing], "&lt;&gt;"&amp;"*LY*", MainData[BillTo], IF('YTD Revenue'!$AJ$14="Yes", "Hotel", "999999")) +
   SUMIFS(MainData[ExtendedPrice], MainData[Date], U217, MainData[Category], "Beverage", MainData[Pricing], "&lt;&gt;"&amp;"*Adjust*", MainData[Pricing], "&lt;&gt;"&amp;"*LY*", MainData[BillTo], IF('YTD Revenue'!$AJ$33="Yes", "EPO", "999999")) +
   SUMIFS(MainData[ExtendedPrice], MainData[Date], U217, MainData[Category], "Beverage", MainData[Pricing], "&lt;&gt;"&amp;"*Adjust*", MainData[Pricing], "&lt;&gt;"&amp;"*LY*", MainData[BillTo], IF('YTD Revenue'!$AJ$52="Yes", "Group", "999999")) -
   SUMIFS(MainData[ExtendedPrice], MainData[Date], U217,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7" s="175">
        <f t="shared" si="15"/>
        <v>9483.0649576271171</v>
      </c>
      <c r="X217" s="175">
        <f t="shared" si="16"/>
        <v>73045.8</v>
      </c>
    </row>
    <row r="218" spans="21:24" x14ac:dyDescent="0.25">
      <c r="U218" s="183">
        <f t="shared" si="14"/>
        <v>44777</v>
      </c>
      <c r="V218" s="18">
        <f xml:space="preserve"> SUMIFS(MainData[ExtendedPrice], MainData[Date], U218, MainData[Category], "Beverage", MainData[Pricing], "&lt;&gt;"&amp;"*Adjust*", MainData[Pricing], "&lt;&gt;"&amp;"*LY*", MainData[BillTo], IF('YTD Revenue'!$AJ$14="Yes", "Hotel", "999999")) +
   SUMIFS(MainData[ExtendedPrice], MainData[Date], U218, MainData[Category], "Beverage", MainData[Pricing], "&lt;&gt;"&amp;"*Adjust*", MainData[Pricing], "&lt;&gt;"&amp;"*LY*", MainData[BillTo], IF('YTD Revenue'!$AJ$33="Yes", "EPO", "999999")) +
   SUMIFS(MainData[ExtendedPrice], MainData[Date], U218, MainData[Category], "Beverage", MainData[Pricing], "&lt;&gt;"&amp;"*Adjust*", MainData[Pricing], "&lt;&gt;"&amp;"*LY*", MainData[BillTo], IF('YTD Revenue'!$AJ$52="Yes", "Group", "999999")) -
   SUMIFS(MainData[ExtendedPrice], MainData[Date], U218,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8" s="175">
        <f t="shared" si="15"/>
        <v>9483.0649576271171</v>
      </c>
      <c r="X218" s="175">
        <f t="shared" si="16"/>
        <v>73045.8</v>
      </c>
    </row>
    <row r="219" spans="21:24" x14ac:dyDescent="0.25">
      <c r="U219" s="183">
        <f t="shared" si="14"/>
        <v>44778</v>
      </c>
      <c r="V219" s="18">
        <f xml:space="preserve"> SUMIFS(MainData[ExtendedPrice], MainData[Date], U219, MainData[Category], "Beverage", MainData[Pricing], "&lt;&gt;"&amp;"*Adjust*", MainData[Pricing], "&lt;&gt;"&amp;"*LY*", MainData[BillTo], IF('YTD Revenue'!$AJ$14="Yes", "Hotel", "999999")) +
   SUMIFS(MainData[ExtendedPrice], MainData[Date], U219, MainData[Category], "Beverage", MainData[Pricing], "&lt;&gt;"&amp;"*Adjust*", MainData[Pricing], "&lt;&gt;"&amp;"*LY*", MainData[BillTo], IF('YTD Revenue'!$AJ$33="Yes", "EPO", "999999")) +
   SUMIFS(MainData[ExtendedPrice], MainData[Date], U219, MainData[Category], "Beverage", MainData[Pricing], "&lt;&gt;"&amp;"*Adjust*", MainData[Pricing], "&lt;&gt;"&amp;"*LY*", MainData[BillTo], IF('YTD Revenue'!$AJ$52="Yes", "Group", "999999")) -
   SUMIFS(MainData[ExtendedPrice], MainData[Date], U219,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9" s="175">
        <f t="shared" si="15"/>
        <v>9483.0649576271171</v>
      </c>
      <c r="X219" s="175">
        <f t="shared" si="16"/>
        <v>73045.8</v>
      </c>
    </row>
    <row r="220" spans="21:24" x14ac:dyDescent="0.25">
      <c r="U220" s="183">
        <f t="shared" si="14"/>
        <v>44779</v>
      </c>
      <c r="V220" s="18">
        <f xml:space="preserve"> SUMIFS(MainData[ExtendedPrice], MainData[Date], U220, MainData[Category], "Beverage", MainData[Pricing], "&lt;&gt;"&amp;"*Adjust*", MainData[Pricing], "&lt;&gt;"&amp;"*LY*", MainData[BillTo], IF('YTD Revenue'!$AJ$14="Yes", "Hotel", "999999")) +
   SUMIFS(MainData[ExtendedPrice], MainData[Date], U220, MainData[Category], "Beverage", MainData[Pricing], "&lt;&gt;"&amp;"*Adjust*", MainData[Pricing], "&lt;&gt;"&amp;"*LY*", MainData[BillTo], IF('YTD Revenue'!$AJ$33="Yes", "EPO", "999999")) +
   SUMIFS(MainData[ExtendedPrice], MainData[Date], U220, MainData[Category], "Beverage", MainData[Pricing], "&lt;&gt;"&amp;"*Adjust*", MainData[Pricing], "&lt;&gt;"&amp;"*LY*", MainData[BillTo], IF('YTD Revenue'!$AJ$52="Yes", "Group", "999999")) -
   SUMIFS(MainData[ExtendedPrice], MainData[Date], U220,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0" s="175">
        <f t="shared" si="15"/>
        <v>9483.0649576271171</v>
      </c>
      <c r="X220" s="175">
        <f t="shared" si="16"/>
        <v>73045.8</v>
      </c>
    </row>
    <row r="221" spans="21:24" x14ac:dyDescent="0.25">
      <c r="U221" s="183">
        <f t="shared" si="14"/>
        <v>44780</v>
      </c>
      <c r="V221" s="18">
        <f xml:space="preserve"> SUMIFS(MainData[ExtendedPrice], MainData[Date], U221, MainData[Category], "Beverage", MainData[Pricing], "&lt;&gt;"&amp;"*Adjust*", MainData[Pricing], "&lt;&gt;"&amp;"*LY*", MainData[BillTo], IF('YTD Revenue'!$AJ$14="Yes", "Hotel", "999999")) +
   SUMIFS(MainData[ExtendedPrice], MainData[Date], U221, MainData[Category], "Beverage", MainData[Pricing], "&lt;&gt;"&amp;"*Adjust*", MainData[Pricing], "&lt;&gt;"&amp;"*LY*", MainData[BillTo], IF('YTD Revenue'!$AJ$33="Yes", "EPO", "999999")) +
   SUMIFS(MainData[ExtendedPrice], MainData[Date], U221, MainData[Category], "Beverage", MainData[Pricing], "&lt;&gt;"&amp;"*Adjust*", MainData[Pricing], "&lt;&gt;"&amp;"*LY*", MainData[BillTo], IF('YTD Revenue'!$AJ$52="Yes", "Group", "999999")) -
   SUMIFS(MainData[ExtendedPrice], MainData[Date], U221,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1" s="175">
        <f t="shared" si="15"/>
        <v>9483.0649576271171</v>
      </c>
      <c r="X221" s="175">
        <f t="shared" si="16"/>
        <v>73045.8</v>
      </c>
    </row>
    <row r="222" spans="21:24" x14ac:dyDescent="0.25">
      <c r="U222" s="183">
        <f t="shared" si="14"/>
        <v>44781</v>
      </c>
      <c r="V222" s="18">
        <f xml:space="preserve"> SUMIFS(MainData[ExtendedPrice], MainData[Date], U222, MainData[Category], "Beverage", MainData[Pricing], "&lt;&gt;"&amp;"*Adjust*", MainData[Pricing], "&lt;&gt;"&amp;"*LY*", MainData[BillTo], IF('YTD Revenue'!$AJ$14="Yes", "Hotel", "999999")) +
   SUMIFS(MainData[ExtendedPrice], MainData[Date], U222, MainData[Category], "Beverage", MainData[Pricing], "&lt;&gt;"&amp;"*Adjust*", MainData[Pricing], "&lt;&gt;"&amp;"*LY*", MainData[BillTo], IF('YTD Revenue'!$AJ$33="Yes", "EPO", "999999")) +
   SUMIFS(MainData[ExtendedPrice], MainData[Date], U222, MainData[Category], "Beverage", MainData[Pricing], "&lt;&gt;"&amp;"*Adjust*", MainData[Pricing], "&lt;&gt;"&amp;"*LY*", MainData[BillTo], IF('YTD Revenue'!$AJ$52="Yes", "Group", "999999")) -
   SUMIFS(MainData[ExtendedPrice], MainData[Date], U222,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2" s="175">
        <f t="shared" si="15"/>
        <v>9483.0649576271171</v>
      </c>
      <c r="X222" s="175">
        <f t="shared" si="16"/>
        <v>73045.8</v>
      </c>
    </row>
    <row r="223" spans="21:24" x14ac:dyDescent="0.25">
      <c r="U223" s="183">
        <f t="shared" si="14"/>
        <v>44782</v>
      </c>
      <c r="V223" s="18">
        <f xml:space="preserve"> SUMIFS(MainData[ExtendedPrice], MainData[Date], U223, MainData[Category], "Beverage", MainData[Pricing], "&lt;&gt;"&amp;"*Adjust*", MainData[Pricing], "&lt;&gt;"&amp;"*LY*", MainData[BillTo], IF('YTD Revenue'!$AJ$14="Yes", "Hotel", "999999")) +
   SUMIFS(MainData[ExtendedPrice], MainData[Date], U223, MainData[Category], "Beverage", MainData[Pricing], "&lt;&gt;"&amp;"*Adjust*", MainData[Pricing], "&lt;&gt;"&amp;"*LY*", MainData[BillTo], IF('YTD Revenue'!$AJ$33="Yes", "EPO", "999999")) +
   SUMIFS(MainData[ExtendedPrice], MainData[Date], U223, MainData[Category], "Beverage", MainData[Pricing], "&lt;&gt;"&amp;"*Adjust*", MainData[Pricing], "&lt;&gt;"&amp;"*LY*", MainData[BillTo], IF('YTD Revenue'!$AJ$52="Yes", "Group", "999999")) -
   SUMIFS(MainData[ExtendedPrice], MainData[Date], U223,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3" s="175">
        <f t="shared" si="15"/>
        <v>9483.0649576271171</v>
      </c>
      <c r="X223" s="175">
        <f t="shared" si="16"/>
        <v>73045.8</v>
      </c>
    </row>
    <row r="224" spans="21:24" x14ac:dyDescent="0.25">
      <c r="U224" s="183">
        <f t="shared" si="14"/>
        <v>44783</v>
      </c>
      <c r="V224" s="18">
        <f xml:space="preserve"> SUMIFS(MainData[ExtendedPrice], MainData[Date], U224, MainData[Category], "Beverage", MainData[Pricing], "&lt;&gt;"&amp;"*Adjust*", MainData[Pricing], "&lt;&gt;"&amp;"*LY*", MainData[BillTo], IF('YTD Revenue'!$AJ$14="Yes", "Hotel", "999999")) +
   SUMIFS(MainData[ExtendedPrice], MainData[Date], U224, MainData[Category], "Beverage", MainData[Pricing], "&lt;&gt;"&amp;"*Adjust*", MainData[Pricing], "&lt;&gt;"&amp;"*LY*", MainData[BillTo], IF('YTD Revenue'!$AJ$33="Yes", "EPO", "999999")) +
   SUMIFS(MainData[ExtendedPrice], MainData[Date], U224, MainData[Category], "Beverage", MainData[Pricing], "&lt;&gt;"&amp;"*Adjust*", MainData[Pricing], "&lt;&gt;"&amp;"*LY*", MainData[BillTo], IF('YTD Revenue'!$AJ$52="Yes", "Group", "999999")) -
   SUMIFS(MainData[ExtendedPrice], MainData[Date], U224,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4" s="175">
        <f t="shared" si="15"/>
        <v>9483.0649576271171</v>
      </c>
      <c r="X224" s="175">
        <f t="shared" si="16"/>
        <v>73045.8</v>
      </c>
    </row>
    <row r="225" spans="21:24" x14ac:dyDescent="0.25">
      <c r="U225" s="183">
        <f t="shared" si="14"/>
        <v>44784</v>
      </c>
      <c r="V225" s="18">
        <f xml:space="preserve"> SUMIFS(MainData[ExtendedPrice], MainData[Date], U225, MainData[Category], "Beverage", MainData[Pricing], "&lt;&gt;"&amp;"*Adjust*", MainData[Pricing], "&lt;&gt;"&amp;"*LY*", MainData[BillTo], IF('YTD Revenue'!$AJ$14="Yes", "Hotel", "999999")) +
   SUMIFS(MainData[ExtendedPrice], MainData[Date], U225, MainData[Category], "Beverage", MainData[Pricing], "&lt;&gt;"&amp;"*Adjust*", MainData[Pricing], "&lt;&gt;"&amp;"*LY*", MainData[BillTo], IF('YTD Revenue'!$AJ$33="Yes", "EPO", "999999")) +
   SUMIFS(MainData[ExtendedPrice], MainData[Date], U225, MainData[Category], "Beverage", MainData[Pricing], "&lt;&gt;"&amp;"*Adjust*", MainData[Pricing], "&lt;&gt;"&amp;"*LY*", MainData[BillTo], IF('YTD Revenue'!$AJ$52="Yes", "Group", "999999")) -
   SUMIFS(MainData[ExtendedPrice], MainData[Date], U225,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5" s="175">
        <f t="shared" si="15"/>
        <v>9483.0649576271171</v>
      </c>
      <c r="X225" s="175">
        <f t="shared" si="16"/>
        <v>73045.8</v>
      </c>
    </row>
    <row r="226" spans="21:24" x14ac:dyDescent="0.25">
      <c r="U226" s="183">
        <f t="shared" si="14"/>
        <v>44785</v>
      </c>
      <c r="V226" s="18">
        <f xml:space="preserve"> SUMIFS(MainData[ExtendedPrice], MainData[Date], U226, MainData[Category], "Beverage", MainData[Pricing], "&lt;&gt;"&amp;"*Adjust*", MainData[Pricing], "&lt;&gt;"&amp;"*LY*", MainData[BillTo], IF('YTD Revenue'!$AJ$14="Yes", "Hotel", "999999")) +
   SUMIFS(MainData[ExtendedPrice], MainData[Date], U226, MainData[Category], "Beverage", MainData[Pricing], "&lt;&gt;"&amp;"*Adjust*", MainData[Pricing], "&lt;&gt;"&amp;"*LY*", MainData[BillTo], IF('YTD Revenue'!$AJ$33="Yes", "EPO", "999999")) +
   SUMIFS(MainData[ExtendedPrice], MainData[Date], U226, MainData[Category], "Beverage", MainData[Pricing], "&lt;&gt;"&amp;"*Adjust*", MainData[Pricing], "&lt;&gt;"&amp;"*LY*", MainData[BillTo], IF('YTD Revenue'!$AJ$52="Yes", "Group", "999999")) -
   SUMIFS(MainData[ExtendedPrice], MainData[Date], U226,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6" s="175">
        <f t="shared" si="15"/>
        <v>9483.0649576271171</v>
      </c>
      <c r="X226" s="175">
        <f t="shared" si="16"/>
        <v>73045.8</v>
      </c>
    </row>
    <row r="227" spans="21:24" x14ac:dyDescent="0.25">
      <c r="U227" s="183">
        <f t="shared" si="14"/>
        <v>44786</v>
      </c>
      <c r="V227" s="18">
        <f xml:space="preserve"> SUMIFS(MainData[ExtendedPrice], MainData[Date], U227, MainData[Category], "Beverage", MainData[Pricing], "&lt;&gt;"&amp;"*Adjust*", MainData[Pricing], "&lt;&gt;"&amp;"*LY*", MainData[BillTo], IF('YTD Revenue'!$AJ$14="Yes", "Hotel", "999999")) +
   SUMIFS(MainData[ExtendedPrice], MainData[Date], U227, MainData[Category], "Beverage", MainData[Pricing], "&lt;&gt;"&amp;"*Adjust*", MainData[Pricing], "&lt;&gt;"&amp;"*LY*", MainData[BillTo], IF('YTD Revenue'!$AJ$33="Yes", "EPO", "999999")) +
   SUMIFS(MainData[ExtendedPrice], MainData[Date], U227, MainData[Category], "Beverage", MainData[Pricing], "&lt;&gt;"&amp;"*Adjust*", MainData[Pricing], "&lt;&gt;"&amp;"*LY*", MainData[BillTo], IF('YTD Revenue'!$AJ$52="Yes", "Group", "999999")) -
   SUMIFS(MainData[ExtendedPrice], MainData[Date], U227,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7" s="175">
        <f t="shared" si="15"/>
        <v>9483.0649576271171</v>
      </c>
      <c r="X227" s="175">
        <f t="shared" si="16"/>
        <v>73045.8</v>
      </c>
    </row>
    <row r="228" spans="21:24" x14ac:dyDescent="0.25">
      <c r="U228" s="183">
        <f t="shared" si="14"/>
        <v>44787</v>
      </c>
      <c r="V228" s="18">
        <f xml:space="preserve"> SUMIFS(MainData[ExtendedPrice], MainData[Date], U228, MainData[Category], "Beverage", MainData[Pricing], "&lt;&gt;"&amp;"*Adjust*", MainData[Pricing], "&lt;&gt;"&amp;"*LY*", MainData[BillTo], IF('YTD Revenue'!$AJ$14="Yes", "Hotel", "999999")) +
   SUMIFS(MainData[ExtendedPrice], MainData[Date], U228, MainData[Category], "Beverage", MainData[Pricing], "&lt;&gt;"&amp;"*Adjust*", MainData[Pricing], "&lt;&gt;"&amp;"*LY*", MainData[BillTo], IF('YTD Revenue'!$AJ$33="Yes", "EPO", "999999")) +
   SUMIFS(MainData[ExtendedPrice], MainData[Date], U228, MainData[Category], "Beverage", MainData[Pricing], "&lt;&gt;"&amp;"*Adjust*", MainData[Pricing], "&lt;&gt;"&amp;"*LY*", MainData[BillTo], IF('YTD Revenue'!$AJ$52="Yes", "Group", "999999")) -
   SUMIFS(MainData[ExtendedPrice], MainData[Date], U228,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8" s="175">
        <f t="shared" si="15"/>
        <v>9483.0649576271171</v>
      </c>
      <c r="X228" s="175">
        <f t="shared" si="16"/>
        <v>73045.8</v>
      </c>
    </row>
    <row r="229" spans="21:24" x14ac:dyDescent="0.25">
      <c r="U229" s="183">
        <f t="shared" si="14"/>
        <v>44788</v>
      </c>
      <c r="V229" s="18">
        <f xml:space="preserve"> SUMIFS(MainData[ExtendedPrice], MainData[Date], U229, MainData[Category], "Beverage", MainData[Pricing], "&lt;&gt;"&amp;"*Adjust*", MainData[Pricing], "&lt;&gt;"&amp;"*LY*", MainData[BillTo], IF('YTD Revenue'!$AJ$14="Yes", "Hotel", "999999")) +
   SUMIFS(MainData[ExtendedPrice], MainData[Date], U229, MainData[Category], "Beverage", MainData[Pricing], "&lt;&gt;"&amp;"*Adjust*", MainData[Pricing], "&lt;&gt;"&amp;"*LY*", MainData[BillTo], IF('YTD Revenue'!$AJ$33="Yes", "EPO", "999999")) +
   SUMIFS(MainData[ExtendedPrice], MainData[Date], U229, MainData[Category], "Beverage", MainData[Pricing], "&lt;&gt;"&amp;"*Adjust*", MainData[Pricing], "&lt;&gt;"&amp;"*LY*", MainData[BillTo], IF('YTD Revenue'!$AJ$52="Yes", "Group", "999999")) -
   SUMIFS(MainData[ExtendedPrice], MainData[Date], U229,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9" s="175">
        <f t="shared" si="15"/>
        <v>9483.0649576271171</v>
      </c>
      <c r="X229" s="175">
        <f t="shared" si="16"/>
        <v>73045.8</v>
      </c>
    </row>
    <row r="230" spans="21:24" x14ac:dyDescent="0.25">
      <c r="U230" s="183">
        <f t="shared" si="14"/>
        <v>44789</v>
      </c>
      <c r="V230" s="18">
        <f xml:space="preserve"> SUMIFS(MainData[ExtendedPrice], MainData[Date], U230, MainData[Category], "Beverage", MainData[Pricing], "&lt;&gt;"&amp;"*Adjust*", MainData[Pricing], "&lt;&gt;"&amp;"*LY*", MainData[BillTo], IF('YTD Revenue'!$AJ$14="Yes", "Hotel", "999999")) +
   SUMIFS(MainData[ExtendedPrice], MainData[Date], U230, MainData[Category], "Beverage", MainData[Pricing], "&lt;&gt;"&amp;"*Adjust*", MainData[Pricing], "&lt;&gt;"&amp;"*LY*", MainData[BillTo], IF('YTD Revenue'!$AJ$33="Yes", "EPO", "999999")) +
   SUMIFS(MainData[ExtendedPrice], MainData[Date], U230, MainData[Category], "Beverage", MainData[Pricing], "&lt;&gt;"&amp;"*Adjust*", MainData[Pricing], "&lt;&gt;"&amp;"*LY*", MainData[BillTo], IF('YTD Revenue'!$AJ$52="Yes", "Group", "999999")) -
   SUMIFS(MainData[ExtendedPrice], MainData[Date], U230,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0" s="175">
        <f t="shared" si="15"/>
        <v>9483.0649576271171</v>
      </c>
      <c r="X230" s="175">
        <f t="shared" si="16"/>
        <v>73045.8</v>
      </c>
    </row>
    <row r="231" spans="21:24" x14ac:dyDescent="0.25">
      <c r="U231" s="183">
        <f t="shared" si="14"/>
        <v>44790</v>
      </c>
      <c r="V231" s="18">
        <f xml:space="preserve"> SUMIFS(MainData[ExtendedPrice], MainData[Date], U231, MainData[Category], "Beverage", MainData[Pricing], "&lt;&gt;"&amp;"*Adjust*", MainData[Pricing], "&lt;&gt;"&amp;"*LY*", MainData[BillTo], IF('YTD Revenue'!$AJ$14="Yes", "Hotel", "999999")) +
   SUMIFS(MainData[ExtendedPrice], MainData[Date], U231, MainData[Category], "Beverage", MainData[Pricing], "&lt;&gt;"&amp;"*Adjust*", MainData[Pricing], "&lt;&gt;"&amp;"*LY*", MainData[BillTo], IF('YTD Revenue'!$AJ$33="Yes", "EPO", "999999")) +
   SUMIFS(MainData[ExtendedPrice], MainData[Date], U231, MainData[Category], "Beverage", MainData[Pricing], "&lt;&gt;"&amp;"*Adjust*", MainData[Pricing], "&lt;&gt;"&amp;"*LY*", MainData[BillTo], IF('YTD Revenue'!$AJ$52="Yes", "Group", "999999")) -
   SUMIFS(MainData[ExtendedPrice], MainData[Date], U231,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1" s="175">
        <f t="shared" si="15"/>
        <v>9483.0649576271171</v>
      </c>
      <c r="X231" s="175">
        <f t="shared" si="16"/>
        <v>73045.8</v>
      </c>
    </row>
    <row r="232" spans="21:24" x14ac:dyDescent="0.25">
      <c r="U232" s="183">
        <f t="shared" si="14"/>
        <v>44791</v>
      </c>
      <c r="V232" s="18">
        <f xml:space="preserve"> SUMIFS(MainData[ExtendedPrice], MainData[Date], U232, MainData[Category], "Beverage", MainData[Pricing], "&lt;&gt;"&amp;"*Adjust*", MainData[Pricing], "&lt;&gt;"&amp;"*LY*", MainData[BillTo], IF('YTD Revenue'!$AJ$14="Yes", "Hotel", "999999")) +
   SUMIFS(MainData[ExtendedPrice], MainData[Date], U232, MainData[Category], "Beverage", MainData[Pricing], "&lt;&gt;"&amp;"*Adjust*", MainData[Pricing], "&lt;&gt;"&amp;"*LY*", MainData[BillTo], IF('YTD Revenue'!$AJ$33="Yes", "EPO", "999999")) +
   SUMIFS(MainData[ExtendedPrice], MainData[Date], U232, MainData[Category], "Beverage", MainData[Pricing], "&lt;&gt;"&amp;"*Adjust*", MainData[Pricing], "&lt;&gt;"&amp;"*LY*", MainData[BillTo], IF('YTD Revenue'!$AJ$52="Yes", "Group", "999999")) -
   SUMIFS(MainData[ExtendedPrice], MainData[Date], U232,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2" s="175">
        <f t="shared" si="15"/>
        <v>9483.0649576271171</v>
      </c>
      <c r="X232" s="175">
        <f t="shared" si="16"/>
        <v>73045.8</v>
      </c>
    </row>
    <row r="233" spans="21:24" x14ac:dyDescent="0.25">
      <c r="U233" s="183">
        <f t="shared" si="14"/>
        <v>44792</v>
      </c>
      <c r="V233" s="18">
        <f xml:space="preserve"> SUMIFS(MainData[ExtendedPrice], MainData[Date], U233, MainData[Category], "Beverage", MainData[Pricing], "&lt;&gt;"&amp;"*Adjust*", MainData[Pricing], "&lt;&gt;"&amp;"*LY*", MainData[BillTo], IF('YTD Revenue'!$AJ$14="Yes", "Hotel", "999999")) +
   SUMIFS(MainData[ExtendedPrice], MainData[Date], U233, MainData[Category], "Beverage", MainData[Pricing], "&lt;&gt;"&amp;"*Adjust*", MainData[Pricing], "&lt;&gt;"&amp;"*LY*", MainData[BillTo], IF('YTD Revenue'!$AJ$33="Yes", "EPO", "999999")) +
   SUMIFS(MainData[ExtendedPrice], MainData[Date], U233, MainData[Category], "Beverage", MainData[Pricing], "&lt;&gt;"&amp;"*Adjust*", MainData[Pricing], "&lt;&gt;"&amp;"*LY*", MainData[BillTo], IF('YTD Revenue'!$AJ$52="Yes", "Group", "999999")) -
   SUMIFS(MainData[ExtendedPrice], MainData[Date], U233,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3" s="175">
        <f t="shared" si="15"/>
        <v>9483.0649576271171</v>
      </c>
      <c r="X233" s="175">
        <f t="shared" si="16"/>
        <v>73045.8</v>
      </c>
    </row>
    <row r="234" spans="21:24" x14ac:dyDescent="0.25">
      <c r="U234" s="183">
        <f t="shared" si="14"/>
        <v>44793</v>
      </c>
      <c r="V234" s="18">
        <f xml:space="preserve"> SUMIFS(MainData[ExtendedPrice], MainData[Date], U234, MainData[Category], "Beverage", MainData[Pricing], "&lt;&gt;"&amp;"*Adjust*", MainData[Pricing], "&lt;&gt;"&amp;"*LY*", MainData[BillTo], IF('YTD Revenue'!$AJ$14="Yes", "Hotel", "999999")) +
   SUMIFS(MainData[ExtendedPrice], MainData[Date], U234, MainData[Category], "Beverage", MainData[Pricing], "&lt;&gt;"&amp;"*Adjust*", MainData[Pricing], "&lt;&gt;"&amp;"*LY*", MainData[BillTo], IF('YTD Revenue'!$AJ$33="Yes", "EPO", "999999")) +
   SUMIFS(MainData[ExtendedPrice], MainData[Date], U234, MainData[Category], "Beverage", MainData[Pricing], "&lt;&gt;"&amp;"*Adjust*", MainData[Pricing], "&lt;&gt;"&amp;"*LY*", MainData[BillTo], IF('YTD Revenue'!$AJ$52="Yes", "Group", "999999")) -
   SUMIFS(MainData[ExtendedPrice], MainData[Date], U234,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4" s="175">
        <f t="shared" si="15"/>
        <v>9483.0649576271171</v>
      </c>
      <c r="X234" s="175">
        <f t="shared" si="16"/>
        <v>73045.8</v>
      </c>
    </row>
    <row r="235" spans="21:24" x14ac:dyDescent="0.25">
      <c r="U235" s="183">
        <f t="shared" si="14"/>
        <v>44794</v>
      </c>
      <c r="V235" s="18">
        <f xml:space="preserve"> SUMIFS(MainData[ExtendedPrice], MainData[Date], U235, MainData[Category], "Beverage", MainData[Pricing], "&lt;&gt;"&amp;"*Adjust*", MainData[Pricing], "&lt;&gt;"&amp;"*LY*", MainData[BillTo], IF('YTD Revenue'!$AJ$14="Yes", "Hotel", "999999")) +
   SUMIFS(MainData[ExtendedPrice], MainData[Date], U235, MainData[Category], "Beverage", MainData[Pricing], "&lt;&gt;"&amp;"*Adjust*", MainData[Pricing], "&lt;&gt;"&amp;"*LY*", MainData[BillTo], IF('YTD Revenue'!$AJ$33="Yes", "EPO", "999999")) +
   SUMIFS(MainData[ExtendedPrice], MainData[Date], U235, MainData[Category], "Beverage", MainData[Pricing], "&lt;&gt;"&amp;"*Adjust*", MainData[Pricing], "&lt;&gt;"&amp;"*LY*", MainData[BillTo], IF('YTD Revenue'!$AJ$52="Yes", "Group", "999999")) -
   SUMIFS(MainData[ExtendedPrice], MainData[Date], U235,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5" s="175">
        <f t="shared" si="15"/>
        <v>9483.0649576271171</v>
      </c>
      <c r="X235" s="175">
        <f t="shared" si="16"/>
        <v>73045.8</v>
      </c>
    </row>
    <row r="236" spans="21:24" x14ac:dyDescent="0.25">
      <c r="U236" s="183">
        <f t="shared" si="14"/>
        <v>44795</v>
      </c>
      <c r="V236" s="18">
        <f xml:space="preserve"> SUMIFS(MainData[ExtendedPrice], MainData[Date], U236, MainData[Category], "Beverage", MainData[Pricing], "&lt;&gt;"&amp;"*Adjust*", MainData[Pricing], "&lt;&gt;"&amp;"*LY*", MainData[BillTo], IF('YTD Revenue'!$AJ$14="Yes", "Hotel", "999999")) +
   SUMIFS(MainData[ExtendedPrice], MainData[Date], U236, MainData[Category], "Beverage", MainData[Pricing], "&lt;&gt;"&amp;"*Adjust*", MainData[Pricing], "&lt;&gt;"&amp;"*LY*", MainData[BillTo], IF('YTD Revenue'!$AJ$33="Yes", "EPO", "999999")) +
   SUMIFS(MainData[ExtendedPrice], MainData[Date], U236, MainData[Category], "Beverage", MainData[Pricing], "&lt;&gt;"&amp;"*Adjust*", MainData[Pricing], "&lt;&gt;"&amp;"*LY*", MainData[BillTo], IF('YTD Revenue'!$AJ$52="Yes", "Group", "999999")) -
   SUMIFS(MainData[ExtendedPrice], MainData[Date], U236,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6" s="175">
        <f t="shared" si="15"/>
        <v>9483.0649576271171</v>
      </c>
      <c r="X236" s="175">
        <f t="shared" si="16"/>
        <v>73045.8</v>
      </c>
    </row>
    <row r="237" spans="21:24" x14ac:dyDescent="0.25">
      <c r="U237" s="183">
        <f t="shared" si="14"/>
        <v>44796</v>
      </c>
      <c r="V237" s="18">
        <f xml:space="preserve"> SUMIFS(MainData[ExtendedPrice], MainData[Date], U237, MainData[Category], "Beverage", MainData[Pricing], "&lt;&gt;"&amp;"*Adjust*", MainData[Pricing], "&lt;&gt;"&amp;"*LY*", MainData[BillTo], IF('YTD Revenue'!$AJ$14="Yes", "Hotel", "999999")) +
   SUMIFS(MainData[ExtendedPrice], MainData[Date], U237, MainData[Category], "Beverage", MainData[Pricing], "&lt;&gt;"&amp;"*Adjust*", MainData[Pricing], "&lt;&gt;"&amp;"*LY*", MainData[BillTo], IF('YTD Revenue'!$AJ$33="Yes", "EPO", "999999")) +
   SUMIFS(MainData[ExtendedPrice], MainData[Date], U237, MainData[Category], "Beverage", MainData[Pricing], "&lt;&gt;"&amp;"*Adjust*", MainData[Pricing], "&lt;&gt;"&amp;"*LY*", MainData[BillTo], IF('YTD Revenue'!$AJ$52="Yes", "Group", "999999")) -
   SUMIFS(MainData[ExtendedPrice], MainData[Date], U237,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7" s="175">
        <f t="shared" si="15"/>
        <v>9483.0649576271171</v>
      </c>
      <c r="X237" s="175">
        <f t="shared" si="16"/>
        <v>73045.8</v>
      </c>
    </row>
    <row r="238" spans="21:24" x14ac:dyDescent="0.25">
      <c r="U238" s="183">
        <f t="shared" si="14"/>
        <v>44797</v>
      </c>
      <c r="V238" s="18">
        <f xml:space="preserve"> SUMIFS(MainData[ExtendedPrice], MainData[Date], U238, MainData[Category], "Beverage", MainData[Pricing], "&lt;&gt;"&amp;"*Adjust*", MainData[Pricing], "&lt;&gt;"&amp;"*LY*", MainData[BillTo], IF('YTD Revenue'!$AJ$14="Yes", "Hotel", "999999")) +
   SUMIFS(MainData[ExtendedPrice], MainData[Date], U238, MainData[Category], "Beverage", MainData[Pricing], "&lt;&gt;"&amp;"*Adjust*", MainData[Pricing], "&lt;&gt;"&amp;"*LY*", MainData[BillTo], IF('YTD Revenue'!$AJ$33="Yes", "EPO", "999999")) +
   SUMIFS(MainData[ExtendedPrice], MainData[Date], U238, MainData[Category], "Beverage", MainData[Pricing], "&lt;&gt;"&amp;"*Adjust*", MainData[Pricing], "&lt;&gt;"&amp;"*LY*", MainData[BillTo], IF('YTD Revenue'!$AJ$52="Yes", "Group", "999999")) -
   SUMIFS(MainData[ExtendedPrice], MainData[Date], U238,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8" s="175">
        <f t="shared" si="15"/>
        <v>9483.0649576271171</v>
      </c>
      <c r="X238" s="175">
        <f t="shared" si="16"/>
        <v>73045.8</v>
      </c>
    </row>
    <row r="239" spans="21:24" x14ac:dyDescent="0.25">
      <c r="U239" s="183">
        <f t="shared" si="14"/>
        <v>44798</v>
      </c>
      <c r="V239" s="18">
        <f xml:space="preserve"> SUMIFS(MainData[ExtendedPrice], MainData[Date], U239, MainData[Category], "Beverage", MainData[Pricing], "&lt;&gt;"&amp;"*Adjust*", MainData[Pricing], "&lt;&gt;"&amp;"*LY*", MainData[BillTo], IF('YTD Revenue'!$AJ$14="Yes", "Hotel", "999999")) +
   SUMIFS(MainData[ExtendedPrice], MainData[Date], U239, MainData[Category], "Beverage", MainData[Pricing], "&lt;&gt;"&amp;"*Adjust*", MainData[Pricing], "&lt;&gt;"&amp;"*LY*", MainData[BillTo], IF('YTD Revenue'!$AJ$33="Yes", "EPO", "999999")) +
   SUMIFS(MainData[ExtendedPrice], MainData[Date], U239, MainData[Category], "Beverage", MainData[Pricing], "&lt;&gt;"&amp;"*Adjust*", MainData[Pricing], "&lt;&gt;"&amp;"*LY*", MainData[BillTo], IF('YTD Revenue'!$AJ$52="Yes", "Group", "999999")) -
   SUMIFS(MainData[ExtendedPrice], MainData[Date], U239,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9" s="175">
        <f t="shared" si="15"/>
        <v>9483.0649576271171</v>
      </c>
      <c r="X239" s="175">
        <f t="shared" si="16"/>
        <v>73045.8</v>
      </c>
    </row>
    <row r="240" spans="21:24" x14ac:dyDescent="0.25">
      <c r="U240" s="183">
        <f t="shared" si="14"/>
        <v>44799</v>
      </c>
      <c r="V240" s="18">
        <f xml:space="preserve"> SUMIFS(MainData[ExtendedPrice], MainData[Date], U240, MainData[Category], "Beverage", MainData[Pricing], "&lt;&gt;"&amp;"*Adjust*", MainData[Pricing], "&lt;&gt;"&amp;"*LY*", MainData[BillTo], IF('YTD Revenue'!$AJ$14="Yes", "Hotel", "999999")) +
   SUMIFS(MainData[ExtendedPrice], MainData[Date], U240, MainData[Category], "Beverage", MainData[Pricing], "&lt;&gt;"&amp;"*Adjust*", MainData[Pricing], "&lt;&gt;"&amp;"*LY*", MainData[BillTo], IF('YTD Revenue'!$AJ$33="Yes", "EPO", "999999")) +
   SUMIFS(MainData[ExtendedPrice], MainData[Date], U240, MainData[Category], "Beverage", MainData[Pricing], "&lt;&gt;"&amp;"*Adjust*", MainData[Pricing], "&lt;&gt;"&amp;"*LY*", MainData[BillTo], IF('YTD Revenue'!$AJ$52="Yes", "Group", "999999")) -
   SUMIFS(MainData[ExtendedPrice], MainData[Date], U240,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0" s="175">
        <f t="shared" si="15"/>
        <v>9483.0649576271171</v>
      </c>
      <c r="X240" s="175">
        <f t="shared" si="16"/>
        <v>73045.8</v>
      </c>
    </row>
    <row r="241" spans="21:24" x14ac:dyDescent="0.25">
      <c r="U241" s="183">
        <f t="shared" si="14"/>
        <v>44800</v>
      </c>
      <c r="V241" s="18">
        <f xml:space="preserve"> SUMIFS(MainData[ExtendedPrice], MainData[Date], U241, MainData[Category], "Beverage", MainData[Pricing], "&lt;&gt;"&amp;"*Adjust*", MainData[Pricing], "&lt;&gt;"&amp;"*LY*", MainData[BillTo], IF('YTD Revenue'!$AJ$14="Yes", "Hotel", "999999")) +
   SUMIFS(MainData[ExtendedPrice], MainData[Date], U241, MainData[Category], "Beverage", MainData[Pricing], "&lt;&gt;"&amp;"*Adjust*", MainData[Pricing], "&lt;&gt;"&amp;"*LY*", MainData[BillTo], IF('YTD Revenue'!$AJ$33="Yes", "EPO", "999999")) +
   SUMIFS(MainData[ExtendedPrice], MainData[Date], U241, MainData[Category], "Beverage", MainData[Pricing], "&lt;&gt;"&amp;"*Adjust*", MainData[Pricing], "&lt;&gt;"&amp;"*LY*", MainData[BillTo], IF('YTD Revenue'!$AJ$52="Yes", "Group", "999999")) -
   SUMIFS(MainData[ExtendedPrice], MainData[Date], U241,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1" s="175">
        <f t="shared" si="15"/>
        <v>9483.0649576271171</v>
      </c>
      <c r="X241" s="175">
        <f t="shared" si="16"/>
        <v>73045.8</v>
      </c>
    </row>
    <row r="242" spans="21:24" x14ac:dyDescent="0.25">
      <c r="U242" s="183">
        <f t="shared" si="14"/>
        <v>44801</v>
      </c>
      <c r="V242" s="18">
        <f xml:space="preserve"> SUMIFS(MainData[ExtendedPrice], MainData[Date], U242, MainData[Category], "Beverage", MainData[Pricing], "&lt;&gt;"&amp;"*Adjust*", MainData[Pricing], "&lt;&gt;"&amp;"*LY*", MainData[BillTo], IF('YTD Revenue'!$AJ$14="Yes", "Hotel", "999999")) +
   SUMIFS(MainData[ExtendedPrice], MainData[Date], U242, MainData[Category], "Beverage", MainData[Pricing], "&lt;&gt;"&amp;"*Adjust*", MainData[Pricing], "&lt;&gt;"&amp;"*LY*", MainData[BillTo], IF('YTD Revenue'!$AJ$33="Yes", "EPO", "999999")) +
   SUMIFS(MainData[ExtendedPrice], MainData[Date], U242, MainData[Category], "Beverage", MainData[Pricing], "&lt;&gt;"&amp;"*Adjust*", MainData[Pricing], "&lt;&gt;"&amp;"*LY*", MainData[BillTo], IF('YTD Revenue'!$AJ$52="Yes", "Group", "999999")) -
   SUMIFS(MainData[ExtendedPrice], MainData[Date], U242,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2" s="175">
        <f t="shared" si="15"/>
        <v>9483.0649576271171</v>
      </c>
      <c r="X242" s="175">
        <f t="shared" si="16"/>
        <v>73045.8</v>
      </c>
    </row>
    <row r="243" spans="21:24" x14ac:dyDescent="0.25">
      <c r="U243" s="183">
        <f t="shared" si="14"/>
        <v>44802</v>
      </c>
      <c r="V243" s="18">
        <f xml:space="preserve"> SUMIFS(MainData[ExtendedPrice], MainData[Date], U243, MainData[Category], "Beverage", MainData[Pricing], "&lt;&gt;"&amp;"*Adjust*", MainData[Pricing], "&lt;&gt;"&amp;"*LY*", MainData[BillTo], IF('YTD Revenue'!$AJ$14="Yes", "Hotel", "999999")) +
   SUMIFS(MainData[ExtendedPrice], MainData[Date], U243, MainData[Category], "Beverage", MainData[Pricing], "&lt;&gt;"&amp;"*Adjust*", MainData[Pricing], "&lt;&gt;"&amp;"*LY*", MainData[BillTo], IF('YTD Revenue'!$AJ$33="Yes", "EPO", "999999")) +
   SUMIFS(MainData[ExtendedPrice], MainData[Date], U243, MainData[Category], "Beverage", MainData[Pricing], "&lt;&gt;"&amp;"*Adjust*", MainData[Pricing], "&lt;&gt;"&amp;"*LY*", MainData[BillTo], IF('YTD Revenue'!$AJ$52="Yes", "Group", "999999")) -
   SUMIFS(MainData[ExtendedPrice], MainData[Date], U243,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3" s="175">
        <f t="shared" si="15"/>
        <v>9483.0649576271171</v>
      </c>
      <c r="X243" s="175">
        <f t="shared" si="16"/>
        <v>73045.8</v>
      </c>
    </row>
    <row r="244" spans="21:24" x14ac:dyDescent="0.25">
      <c r="U244" s="183">
        <f t="shared" si="14"/>
        <v>44803</v>
      </c>
      <c r="V244" s="18">
        <f xml:space="preserve"> SUMIFS(MainData[ExtendedPrice], MainData[Date], U244, MainData[Category], "Beverage", MainData[Pricing], "&lt;&gt;"&amp;"*Adjust*", MainData[Pricing], "&lt;&gt;"&amp;"*LY*", MainData[BillTo], IF('YTD Revenue'!$AJ$14="Yes", "Hotel", "999999")) +
   SUMIFS(MainData[ExtendedPrice], MainData[Date], U244, MainData[Category], "Beverage", MainData[Pricing], "&lt;&gt;"&amp;"*Adjust*", MainData[Pricing], "&lt;&gt;"&amp;"*LY*", MainData[BillTo], IF('YTD Revenue'!$AJ$33="Yes", "EPO", "999999")) +
   SUMIFS(MainData[ExtendedPrice], MainData[Date], U244, MainData[Category], "Beverage", MainData[Pricing], "&lt;&gt;"&amp;"*Adjust*", MainData[Pricing], "&lt;&gt;"&amp;"*LY*", MainData[BillTo], IF('YTD Revenue'!$AJ$52="Yes", "Group", "999999")) -
   SUMIFS(MainData[ExtendedPrice], MainData[Date], U244,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4" s="175">
        <f t="shared" si="15"/>
        <v>9483.0649576271171</v>
      </c>
      <c r="X244" s="175">
        <f t="shared" si="16"/>
        <v>73045.8</v>
      </c>
    </row>
    <row r="245" spans="21:24" x14ac:dyDescent="0.25">
      <c r="U245" s="183">
        <f t="shared" si="14"/>
        <v>44804</v>
      </c>
      <c r="V245" s="18">
        <f xml:space="preserve"> SUMIFS(MainData[ExtendedPrice], MainData[Date], U245, MainData[Category], "Beverage", MainData[Pricing], "&lt;&gt;"&amp;"*Adjust*", MainData[Pricing], "&lt;&gt;"&amp;"*LY*", MainData[BillTo], IF('YTD Revenue'!$AJ$14="Yes", "Hotel", "999999")) +
   SUMIFS(MainData[ExtendedPrice], MainData[Date], U245, MainData[Category], "Beverage", MainData[Pricing], "&lt;&gt;"&amp;"*Adjust*", MainData[Pricing], "&lt;&gt;"&amp;"*LY*", MainData[BillTo], IF('YTD Revenue'!$AJ$33="Yes", "EPO", "999999")) +
   SUMIFS(MainData[ExtendedPrice], MainData[Date], U245, MainData[Category], "Beverage", MainData[Pricing], "&lt;&gt;"&amp;"*Adjust*", MainData[Pricing], "&lt;&gt;"&amp;"*LY*", MainData[BillTo], IF('YTD Revenue'!$AJ$52="Yes", "Group", "999999")) -
   SUMIFS(MainData[ExtendedPrice], MainData[Date], U245,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5" s="175">
        <f t="shared" si="15"/>
        <v>9483.0649576271171</v>
      </c>
      <c r="X245" s="175">
        <f t="shared" si="16"/>
        <v>73045.8</v>
      </c>
    </row>
    <row r="246" spans="21:24" x14ac:dyDescent="0.25">
      <c r="U246" s="183">
        <f t="shared" si="14"/>
        <v>44805</v>
      </c>
      <c r="V246" s="18">
        <f xml:space="preserve"> SUMIFS(MainData[ExtendedPrice], MainData[Date], U246, MainData[Category], "Beverage", MainData[Pricing], "&lt;&gt;"&amp;"*Adjust*", MainData[Pricing], "&lt;&gt;"&amp;"*LY*", MainData[BillTo], IF('YTD Revenue'!$AJ$14="Yes", "Hotel", "999999")) +
   SUMIFS(MainData[ExtendedPrice], MainData[Date], U246, MainData[Category], "Beverage", MainData[Pricing], "&lt;&gt;"&amp;"*Adjust*", MainData[Pricing], "&lt;&gt;"&amp;"*LY*", MainData[BillTo], IF('YTD Revenue'!$AJ$33="Yes", "EPO", "999999")) +
   SUMIFS(MainData[ExtendedPrice], MainData[Date], U246, MainData[Category], "Beverage", MainData[Pricing], "&lt;&gt;"&amp;"*Adjust*", MainData[Pricing], "&lt;&gt;"&amp;"*LY*", MainData[BillTo], IF('YTD Revenue'!$AJ$52="Yes", "Group", "999999")) -
   SUMIFS(MainData[ExtendedPrice], MainData[Date], U246,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6" s="175">
        <f t="shared" si="15"/>
        <v>9483.0649576271171</v>
      </c>
      <c r="X246" s="175">
        <f t="shared" si="16"/>
        <v>73045.8</v>
      </c>
    </row>
    <row r="247" spans="21:24" x14ac:dyDescent="0.25">
      <c r="U247" s="183">
        <f t="shared" si="14"/>
        <v>44806</v>
      </c>
      <c r="V247" s="18">
        <f xml:space="preserve"> SUMIFS(MainData[ExtendedPrice], MainData[Date], U247, MainData[Category], "Beverage", MainData[Pricing], "&lt;&gt;"&amp;"*Adjust*", MainData[Pricing], "&lt;&gt;"&amp;"*LY*", MainData[BillTo], IF('YTD Revenue'!$AJ$14="Yes", "Hotel", "999999")) +
   SUMIFS(MainData[ExtendedPrice], MainData[Date], U247, MainData[Category], "Beverage", MainData[Pricing], "&lt;&gt;"&amp;"*Adjust*", MainData[Pricing], "&lt;&gt;"&amp;"*LY*", MainData[BillTo], IF('YTD Revenue'!$AJ$33="Yes", "EPO", "999999")) +
   SUMIFS(MainData[ExtendedPrice], MainData[Date], U247, MainData[Category], "Beverage", MainData[Pricing], "&lt;&gt;"&amp;"*Adjust*", MainData[Pricing], "&lt;&gt;"&amp;"*LY*", MainData[BillTo], IF('YTD Revenue'!$AJ$52="Yes", "Group", "999999")) -
   SUMIFS(MainData[ExtendedPrice], MainData[Date], U247,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7" s="175">
        <f t="shared" si="15"/>
        <v>9483.0649576271171</v>
      </c>
      <c r="X247" s="175">
        <f t="shared" si="16"/>
        <v>73045.8</v>
      </c>
    </row>
    <row r="248" spans="21:24" x14ac:dyDescent="0.25">
      <c r="U248" s="183">
        <f t="shared" si="14"/>
        <v>44807</v>
      </c>
      <c r="V248" s="18">
        <f xml:space="preserve"> SUMIFS(MainData[ExtendedPrice], MainData[Date], U248, MainData[Category], "Beverage", MainData[Pricing], "&lt;&gt;"&amp;"*Adjust*", MainData[Pricing], "&lt;&gt;"&amp;"*LY*", MainData[BillTo], IF('YTD Revenue'!$AJ$14="Yes", "Hotel", "999999")) +
   SUMIFS(MainData[ExtendedPrice], MainData[Date], U248, MainData[Category], "Beverage", MainData[Pricing], "&lt;&gt;"&amp;"*Adjust*", MainData[Pricing], "&lt;&gt;"&amp;"*LY*", MainData[BillTo], IF('YTD Revenue'!$AJ$33="Yes", "EPO", "999999")) +
   SUMIFS(MainData[ExtendedPrice], MainData[Date], U248, MainData[Category], "Beverage", MainData[Pricing], "&lt;&gt;"&amp;"*Adjust*", MainData[Pricing], "&lt;&gt;"&amp;"*LY*", MainData[BillTo], IF('YTD Revenue'!$AJ$52="Yes", "Group", "999999")) -
   SUMIFS(MainData[ExtendedPrice], MainData[Date], U248,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8" s="175">
        <f t="shared" si="15"/>
        <v>9483.0649576271171</v>
      </c>
      <c r="X248" s="175">
        <f t="shared" si="16"/>
        <v>73045.8</v>
      </c>
    </row>
    <row r="249" spans="21:24" x14ac:dyDescent="0.25">
      <c r="U249" s="183">
        <f t="shared" si="14"/>
        <v>44808</v>
      </c>
      <c r="V249" s="18">
        <f xml:space="preserve"> SUMIFS(MainData[ExtendedPrice], MainData[Date], U249, MainData[Category], "Beverage", MainData[Pricing], "&lt;&gt;"&amp;"*Adjust*", MainData[Pricing], "&lt;&gt;"&amp;"*LY*", MainData[BillTo], IF('YTD Revenue'!$AJ$14="Yes", "Hotel", "999999")) +
   SUMIFS(MainData[ExtendedPrice], MainData[Date], U249, MainData[Category], "Beverage", MainData[Pricing], "&lt;&gt;"&amp;"*Adjust*", MainData[Pricing], "&lt;&gt;"&amp;"*LY*", MainData[BillTo], IF('YTD Revenue'!$AJ$33="Yes", "EPO", "999999")) +
   SUMIFS(MainData[ExtendedPrice], MainData[Date], U249, MainData[Category], "Beverage", MainData[Pricing], "&lt;&gt;"&amp;"*Adjust*", MainData[Pricing], "&lt;&gt;"&amp;"*LY*", MainData[BillTo], IF('YTD Revenue'!$AJ$52="Yes", "Group", "999999")) -
   SUMIFS(MainData[ExtendedPrice], MainData[Date], U249,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9" s="175">
        <f t="shared" si="15"/>
        <v>9483.0649576271171</v>
      </c>
      <c r="X249" s="175">
        <f t="shared" si="16"/>
        <v>73045.8</v>
      </c>
    </row>
    <row r="250" spans="21:24" x14ac:dyDescent="0.25">
      <c r="U250" s="183">
        <f t="shared" si="14"/>
        <v>44809</v>
      </c>
      <c r="V250" s="18">
        <f xml:space="preserve"> SUMIFS(MainData[ExtendedPrice], MainData[Date], U250, MainData[Category], "Beverage", MainData[Pricing], "&lt;&gt;"&amp;"*Adjust*", MainData[Pricing], "&lt;&gt;"&amp;"*LY*", MainData[BillTo], IF('YTD Revenue'!$AJ$14="Yes", "Hotel", "999999")) +
   SUMIFS(MainData[ExtendedPrice], MainData[Date], U250, MainData[Category], "Beverage", MainData[Pricing], "&lt;&gt;"&amp;"*Adjust*", MainData[Pricing], "&lt;&gt;"&amp;"*LY*", MainData[BillTo], IF('YTD Revenue'!$AJ$33="Yes", "EPO", "999999")) +
   SUMIFS(MainData[ExtendedPrice], MainData[Date], U250, MainData[Category], "Beverage", MainData[Pricing], "&lt;&gt;"&amp;"*Adjust*", MainData[Pricing], "&lt;&gt;"&amp;"*LY*", MainData[BillTo], IF('YTD Revenue'!$AJ$52="Yes", "Group", "999999")) -
   SUMIFS(MainData[ExtendedPrice], MainData[Date], U250,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0" s="175">
        <f t="shared" si="15"/>
        <v>9483.0649576271171</v>
      </c>
      <c r="X250" s="175">
        <f t="shared" si="16"/>
        <v>73045.8</v>
      </c>
    </row>
    <row r="251" spans="21:24" x14ac:dyDescent="0.25">
      <c r="U251" s="183">
        <f t="shared" si="14"/>
        <v>44810</v>
      </c>
      <c r="V251" s="18">
        <f xml:space="preserve"> SUMIFS(MainData[ExtendedPrice], MainData[Date], U251, MainData[Category], "Beverage", MainData[Pricing], "&lt;&gt;"&amp;"*Adjust*", MainData[Pricing], "&lt;&gt;"&amp;"*LY*", MainData[BillTo], IF('YTD Revenue'!$AJ$14="Yes", "Hotel", "999999")) +
   SUMIFS(MainData[ExtendedPrice], MainData[Date], U251, MainData[Category], "Beverage", MainData[Pricing], "&lt;&gt;"&amp;"*Adjust*", MainData[Pricing], "&lt;&gt;"&amp;"*LY*", MainData[BillTo], IF('YTD Revenue'!$AJ$33="Yes", "EPO", "999999")) +
   SUMIFS(MainData[ExtendedPrice], MainData[Date], U251, MainData[Category], "Beverage", MainData[Pricing], "&lt;&gt;"&amp;"*Adjust*", MainData[Pricing], "&lt;&gt;"&amp;"*LY*", MainData[BillTo], IF('YTD Revenue'!$AJ$52="Yes", "Group", "999999")) -
   SUMIFS(MainData[ExtendedPrice], MainData[Date], U251,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1" s="175">
        <f t="shared" si="15"/>
        <v>9483.0649576271171</v>
      </c>
      <c r="X251" s="175">
        <f t="shared" si="16"/>
        <v>73045.8</v>
      </c>
    </row>
    <row r="252" spans="21:24" x14ac:dyDescent="0.25">
      <c r="U252" s="183">
        <f t="shared" si="14"/>
        <v>44811</v>
      </c>
      <c r="V252" s="18">
        <f xml:space="preserve"> SUMIFS(MainData[ExtendedPrice], MainData[Date], U252, MainData[Category], "Beverage", MainData[Pricing], "&lt;&gt;"&amp;"*Adjust*", MainData[Pricing], "&lt;&gt;"&amp;"*LY*", MainData[BillTo], IF('YTD Revenue'!$AJ$14="Yes", "Hotel", "999999")) +
   SUMIFS(MainData[ExtendedPrice], MainData[Date], U252, MainData[Category], "Beverage", MainData[Pricing], "&lt;&gt;"&amp;"*Adjust*", MainData[Pricing], "&lt;&gt;"&amp;"*LY*", MainData[BillTo], IF('YTD Revenue'!$AJ$33="Yes", "EPO", "999999")) +
   SUMIFS(MainData[ExtendedPrice], MainData[Date], U252, MainData[Category], "Beverage", MainData[Pricing], "&lt;&gt;"&amp;"*Adjust*", MainData[Pricing], "&lt;&gt;"&amp;"*LY*", MainData[BillTo], IF('YTD Revenue'!$AJ$52="Yes", "Group", "999999")) -
   SUMIFS(MainData[ExtendedPrice], MainData[Date], U252,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2" s="175">
        <f t="shared" si="15"/>
        <v>9483.0649576271171</v>
      </c>
      <c r="X252" s="175">
        <f t="shared" si="16"/>
        <v>73045.8</v>
      </c>
    </row>
    <row r="253" spans="21:24" x14ac:dyDescent="0.25">
      <c r="U253" s="183">
        <f t="shared" si="14"/>
        <v>44812</v>
      </c>
      <c r="V253" s="18">
        <f xml:space="preserve"> SUMIFS(MainData[ExtendedPrice], MainData[Date], U253, MainData[Category], "Beverage", MainData[Pricing], "&lt;&gt;"&amp;"*Adjust*", MainData[Pricing], "&lt;&gt;"&amp;"*LY*", MainData[BillTo], IF('YTD Revenue'!$AJ$14="Yes", "Hotel", "999999")) +
   SUMIFS(MainData[ExtendedPrice], MainData[Date], U253, MainData[Category], "Beverage", MainData[Pricing], "&lt;&gt;"&amp;"*Adjust*", MainData[Pricing], "&lt;&gt;"&amp;"*LY*", MainData[BillTo], IF('YTD Revenue'!$AJ$33="Yes", "EPO", "999999")) +
   SUMIFS(MainData[ExtendedPrice], MainData[Date], U253, MainData[Category], "Beverage", MainData[Pricing], "&lt;&gt;"&amp;"*Adjust*", MainData[Pricing], "&lt;&gt;"&amp;"*LY*", MainData[BillTo], IF('YTD Revenue'!$AJ$52="Yes", "Group", "999999")) -
   SUMIFS(MainData[ExtendedPrice], MainData[Date], U253,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3" s="175">
        <f t="shared" si="15"/>
        <v>9483.0649576271171</v>
      </c>
      <c r="X253" s="175">
        <f t="shared" si="16"/>
        <v>73045.8</v>
      </c>
    </row>
    <row r="254" spans="21:24" x14ac:dyDescent="0.25">
      <c r="U254" s="183">
        <f t="shared" si="14"/>
        <v>44813</v>
      </c>
      <c r="V254" s="18">
        <f xml:space="preserve"> SUMIFS(MainData[ExtendedPrice], MainData[Date], U254, MainData[Category], "Beverage", MainData[Pricing], "&lt;&gt;"&amp;"*Adjust*", MainData[Pricing], "&lt;&gt;"&amp;"*LY*", MainData[BillTo], IF('YTD Revenue'!$AJ$14="Yes", "Hotel", "999999")) +
   SUMIFS(MainData[ExtendedPrice], MainData[Date], U254, MainData[Category], "Beverage", MainData[Pricing], "&lt;&gt;"&amp;"*Adjust*", MainData[Pricing], "&lt;&gt;"&amp;"*LY*", MainData[BillTo], IF('YTD Revenue'!$AJ$33="Yes", "EPO", "999999")) +
   SUMIFS(MainData[ExtendedPrice], MainData[Date], U254, MainData[Category], "Beverage", MainData[Pricing], "&lt;&gt;"&amp;"*Adjust*", MainData[Pricing], "&lt;&gt;"&amp;"*LY*", MainData[BillTo], IF('YTD Revenue'!$AJ$52="Yes", "Group", "999999")) -
   SUMIFS(MainData[ExtendedPrice], MainData[Date], U254,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4" s="175">
        <f t="shared" si="15"/>
        <v>9483.0649576271171</v>
      </c>
      <c r="X254" s="175">
        <f t="shared" si="16"/>
        <v>73045.8</v>
      </c>
    </row>
    <row r="255" spans="21:24" x14ac:dyDescent="0.25">
      <c r="U255" s="183">
        <f t="shared" si="14"/>
        <v>44814</v>
      </c>
      <c r="V255" s="18">
        <f xml:space="preserve"> SUMIFS(MainData[ExtendedPrice], MainData[Date], U255, MainData[Category], "Beverage", MainData[Pricing], "&lt;&gt;"&amp;"*Adjust*", MainData[Pricing], "&lt;&gt;"&amp;"*LY*", MainData[BillTo], IF('YTD Revenue'!$AJ$14="Yes", "Hotel", "999999")) +
   SUMIFS(MainData[ExtendedPrice], MainData[Date], U255, MainData[Category], "Beverage", MainData[Pricing], "&lt;&gt;"&amp;"*Adjust*", MainData[Pricing], "&lt;&gt;"&amp;"*LY*", MainData[BillTo], IF('YTD Revenue'!$AJ$33="Yes", "EPO", "999999")) +
   SUMIFS(MainData[ExtendedPrice], MainData[Date], U255, MainData[Category], "Beverage", MainData[Pricing], "&lt;&gt;"&amp;"*Adjust*", MainData[Pricing], "&lt;&gt;"&amp;"*LY*", MainData[BillTo], IF('YTD Revenue'!$AJ$52="Yes", "Group", "999999")) -
   SUMIFS(MainData[ExtendedPrice], MainData[Date], U255,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5" s="175">
        <f t="shared" si="15"/>
        <v>9483.0649576271171</v>
      </c>
      <c r="X255" s="175">
        <f t="shared" si="16"/>
        <v>73045.8</v>
      </c>
    </row>
    <row r="256" spans="21:24" x14ac:dyDescent="0.25">
      <c r="U256" s="183">
        <f t="shared" si="14"/>
        <v>44815</v>
      </c>
      <c r="V256" s="18">
        <f xml:space="preserve"> SUMIFS(MainData[ExtendedPrice], MainData[Date], U256, MainData[Category], "Beverage", MainData[Pricing], "&lt;&gt;"&amp;"*Adjust*", MainData[Pricing], "&lt;&gt;"&amp;"*LY*", MainData[BillTo], IF('YTD Revenue'!$AJ$14="Yes", "Hotel", "999999")) +
   SUMIFS(MainData[ExtendedPrice], MainData[Date], U256, MainData[Category], "Beverage", MainData[Pricing], "&lt;&gt;"&amp;"*Adjust*", MainData[Pricing], "&lt;&gt;"&amp;"*LY*", MainData[BillTo], IF('YTD Revenue'!$AJ$33="Yes", "EPO", "999999")) +
   SUMIFS(MainData[ExtendedPrice], MainData[Date], U256, MainData[Category], "Beverage", MainData[Pricing], "&lt;&gt;"&amp;"*Adjust*", MainData[Pricing], "&lt;&gt;"&amp;"*LY*", MainData[BillTo], IF('YTD Revenue'!$AJ$52="Yes", "Group", "999999")) -
   SUMIFS(MainData[ExtendedPrice], MainData[Date], U256,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6" s="175">
        <f t="shared" si="15"/>
        <v>9483.0649576271171</v>
      </c>
      <c r="X256" s="175">
        <f t="shared" si="16"/>
        <v>73045.8</v>
      </c>
    </row>
    <row r="257" spans="21:24" x14ac:dyDescent="0.25">
      <c r="U257" s="183">
        <f t="shared" si="14"/>
        <v>44816</v>
      </c>
      <c r="V257" s="18">
        <f xml:space="preserve"> SUMIFS(MainData[ExtendedPrice], MainData[Date], U257, MainData[Category], "Beverage", MainData[Pricing], "&lt;&gt;"&amp;"*Adjust*", MainData[Pricing], "&lt;&gt;"&amp;"*LY*", MainData[BillTo], IF('YTD Revenue'!$AJ$14="Yes", "Hotel", "999999")) +
   SUMIFS(MainData[ExtendedPrice], MainData[Date], U257, MainData[Category], "Beverage", MainData[Pricing], "&lt;&gt;"&amp;"*Adjust*", MainData[Pricing], "&lt;&gt;"&amp;"*LY*", MainData[BillTo], IF('YTD Revenue'!$AJ$33="Yes", "EPO", "999999")) +
   SUMIFS(MainData[ExtendedPrice], MainData[Date], U257, MainData[Category], "Beverage", MainData[Pricing], "&lt;&gt;"&amp;"*Adjust*", MainData[Pricing], "&lt;&gt;"&amp;"*LY*", MainData[BillTo], IF('YTD Revenue'!$AJ$52="Yes", "Group", "999999")) -
   SUMIFS(MainData[ExtendedPrice], MainData[Date], U257,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7" s="175">
        <f t="shared" si="15"/>
        <v>9483.0649576271171</v>
      </c>
      <c r="X257" s="175">
        <f t="shared" si="16"/>
        <v>73045.8</v>
      </c>
    </row>
    <row r="258" spans="21:24" x14ac:dyDescent="0.25">
      <c r="U258" s="183">
        <f t="shared" si="14"/>
        <v>44817</v>
      </c>
      <c r="V258" s="18">
        <f xml:space="preserve"> SUMIFS(MainData[ExtendedPrice], MainData[Date], U258, MainData[Category], "Beverage", MainData[Pricing], "&lt;&gt;"&amp;"*Adjust*", MainData[Pricing], "&lt;&gt;"&amp;"*LY*", MainData[BillTo], IF('YTD Revenue'!$AJ$14="Yes", "Hotel", "999999")) +
   SUMIFS(MainData[ExtendedPrice], MainData[Date], U258, MainData[Category], "Beverage", MainData[Pricing], "&lt;&gt;"&amp;"*Adjust*", MainData[Pricing], "&lt;&gt;"&amp;"*LY*", MainData[BillTo], IF('YTD Revenue'!$AJ$33="Yes", "EPO", "999999")) +
   SUMIFS(MainData[ExtendedPrice], MainData[Date], U258, MainData[Category], "Beverage", MainData[Pricing], "&lt;&gt;"&amp;"*Adjust*", MainData[Pricing], "&lt;&gt;"&amp;"*LY*", MainData[BillTo], IF('YTD Revenue'!$AJ$52="Yes", "Group", "999999")) -
   SUMIFS(MainData[ExtendedPrice], MainData[Date], U258,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8" s="175">
        <f t="shared" si="15"/>
        <v>9483.0649576271171</v>
      </c>
      <c r="X258" s="175">
        <f t="shared" si="16"/>
        <v>73045.8</v>
      </c>
    </row>
    <row r="259" spans="21:24" x14ac:dyDescent="0.25">
      <c r="U259" s="183">
        <f t="shared" si="14"/>
        <v>44818</v>
      </c>
      <c r="V259" s="18">
        <f xml:space="preserve"> SUMIFS(MainData[ExtendedPrice], MainData[Date], U259, MainData[Category], "Beverage", MainData[Pricing], "&lt;&gt;"&amp;"*Adjust*", MainData[Pricing], "&lt;&gt;"&amp;"*LY*", MainData[BillTo], IF('YTD Revenue'!$AJ$14="Yes", "Hotel", "999999")) +
   SUMIFS(MainData[ExtendedPrice], MainData[Date], U259, MainData[Category], "Beverage", MainData[Pricing], "&lt;&gt;"&amp;"*Adjust*", MainData[Pricing], "&lt;&gt;"&amp;"*LY*", MainData[BillTo], IF('YTD Revenue'!$AJ$33="Yes", "EPO", "999999")) +
   SUMIFS(MainData[ExtendedPrice], MainData[Date], U259, MainData[Category], "Beverage", MainData[Pricing], "&lt;&gt;"&amp;"*Adjust*", MainData[Pricing], "&lt;&gt;"&amp;"*LY*", MainData[BillTo], IF('YTD Revenue'!$AJ$52="Yes", "Group", "999999")) -
   SUMIFS(MainData[ExtendedPrice], MainData[Date], U259,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9" s="175">
        <f t="shared" si="15"/>
        <v>9483.0649576271171</v>
      </c>
      <c r="X259" s="175">
        <f t="shared" si="16"/>
        <v>73045.8</v>
      </c>
    </row>
    <row r="260" spans="21:24" x14ac:dyDescent="0.25">
      <c r="U260" s="183">
        <f t="shared" si="14"/>
        <v>44819</v>
      </c>
      <c r="V260" s="18">
        <f xml:space="preserve"> SUMIFS(MainData[ExtendedPrice], MainData[Date], U260, MainData[Category], "Beverage", MainData[Pricing], "&lt;&gt;"&amp;"*Adjust*", MainData[Pricing], "&lt;&gt;"&amp;"*LY*", MainData[BillTo], IF('YTD Revenue'!$AJ$14="Yes", "Hotel", "999999")) +
   SUMIFS(MainData[ExtendedPrice], MainData[Date], U260, MainData[Category], "Beverage", MainData[Pricing], "&lt;&gt;"&amp;"*Adjust*", MainData[Pricing], "&lt;&gt;"&amp;"*LY*", MainData[BillTo], IF('YTD Revenue'!$AJ$33="Yes", "EPO", "999999")) +
   SUMIFS(MainData[ExtendedPrice], MainData[Date], U260, MainData[Category], "Beverage", MainData[Pricing], "&lt;&gt;"&amp;"*Adjust*", MainData[Pricing], "&lt;&gt;"&amp;"*LY*", MainData[BillTo], IF('YTD Revenue'!$AJ$52="Yes", "Group", "999999")) -
   SUMIFS(MainData[ExtendedPrice], MainData[Date], U260,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0" s="175">
        <f t="shared" si="15"/>
        <v>9483.0649576271171</v>
      </c>
      <c r="X260" s="175">
        <f t="shared" si="16"/>
        <v>73045.8</v>
      </c>
    </row>
    <row r="261" spans="21:24" x14ac:dyDescent="0.25">
      <c r="U261" s="183">
        <f t="shared" ref="U261:U267" si="17">U260+1</f>
        <v>44820</v>
      </c>
      <c r="V261" s="18">
        <f xml:space="preserve"> SUMIFS(MainData[ExtendedPrice], MainData[Date], U261, MainData[Category], "Beverage", MainData[Pricing], "&lt;&gt;"&amp;"*Adjust*", MainData[Pricing], "&lt;&gt;"&amp;"*LY*", MainData[BillTo], IF('YTD Revenue'!$AJ$14="Yes", "Hotel", "999999")) +
   SUMIFS(MainData[ExtendedPrice], MainData[Date], U261, MainData[Category], "Beverage", MainData[Pricing], "&lt;&gt;"&amp;"*Adjust*", MainData[Pricing], "&lt;&gt;"&amp;"*LY*", MainData[BillTo], IF('YTD Revenue'!$AJ$33="Yes", "EPO", "999999")) +
   SUMIFS(MainData[ExtendedPrice], MainData[Date], U261, MainData[Category], "Beverage", MainData[Pricing], "&lt;&gt;"&amp;"*Adjust*", MainData[Pricing], "&lt;&gt;"&amp;"*LY*", MainData[BillTo], IF('YTD Revenue'!$AJ$52="Yes", "Group", "999999")) -
   SUMIFS(MainData[ExtendedPrice], MainData[Date], U261,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1" s="175">
        <f t="shared" ref="W261:W324" si="18">W260</f>
        <v>9483.0649576271171</v>
      </c>
      <c r="X261" s="175">
        <f t="shared" ref="X261:X324" si="19">X260</f>
        <v>73045.8</v>
      </c>
    </row>
    <row r="262" spans="21:24" x14ac:dyDescent="0.25">
      <c r="U262" s="183">
        <f t="shared" si="17"/>
        <v>44821</v>
      </c>
      <c r="V262" s="18">
        <f xml:space="preserve"> SUMIFS(MainData[ExtendedPrice], MainData[Date], U262, MainData[Category], "Beverage", MainData[Pricing], "&lt;&gt;"&amp;"*Adjust*", MainData[Pricing], "&lt;&gt;"&amp;"*LY*", MainData[BillTo], IF('YTD Revenue'!$AJ$14="Yes", "Hotel", "999999")) +
   SUMIFS(MainData[ExtendedPrice], MainData[Date], U262, MainData[Category], "Beverage", MainData[Pricing], "&lt;&gt;"&amp;"*Adjust*", MainData[Pricing], "&lt;&gt;"&amp;"*LY*", MainData[BillTo], IF('YTD Revenue'!$AJ$33="Yes", "EPO", "999999")) +
   SUMIFS(MainData[ExtendedPrice], MainData[Date], U262, MainData[Category], "Beverage", MainData[Pricing], "&lt;&gt;"&amp;"*Adjust*", MainData[Pricing], "&lt;&gt;"&amp;"*LY*", MainData[BillTo], IF('YTD Revenue'!$AJ$52="Yes", "Group", "999999")) -
   SUMIFS(MainData[ExtendedPrice], MainData[Date], U262,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2" s="175">
        <f t="shared" si="18"/>
        <v>9483.0649576271171</v>
      </c>
      <c r="X262" s="175">
        <f t="shared" si="19"/>
        <v>73045.8</v>
      </c>
    </row>
    <row r="263" spans="21:24" x14ac:dyDescent="0.25">
      <c r="U263" s="183">
        <f t="shared" si="17"/>
        <v>44822</v>
      </c>
      <c r="V263" s="18">
        <f xml:space="preserve"> SUMIFS(MainData[ExtendedPrice], MainData[Date], U263, MainData[Category], "Beverage", MainData[Pricing], "&lt;&gt;"&amp;"*Adjust*", MainData[Pricing], "&lt;&gt;"&amp;"*LY*", MainData[BillTo], IF('YTD Revenue'!$AJ$14="Yes", "Hotel", "999999")) +
   SUMIFS(MainData[ExtendedPrice], MainData[Date], U263, MainData[Category], "Beverage", MainData[Pricing], "&lt;&gt;"&amp;"*Adjust*", MainData[Pricing], "&lt;&gt;"&amp;"*LY*", MainData[BillTo], IF('YTD Revenue'!$AJ$33="Yes", "EPO", "999999")) +
   SUMIFS(MainData[ExtendedPrice], MainData[Date], U263, MainData[Category], "Beverage", MainData[Pricing], "&lt;&gt;"&amp;"*Adjust*", MainData[Pricing], "&lt;&gt;"&amp;"*LY*", MainData[BillTo], IF('YTD Revenue'!$AJ$52="Yes", "Group", "999999")) -
   SUMIFS(MainData[ExtendedPrice], MainData[Date], U263,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3" s="175">
        <f t="shared" si="18"/>
        <v>9483.0649576271171</v>
      </c>
      <c r="X263" s="175">
        <f t="shared" si="19"/>
        <v>73045.8</v>
      </c>
    </row>
    <row r="264" spans="21:24" x14ac:dyDescent="0.25">
      <c r="U264" s="183">
        <f t="shared" si="17"/>
        <v>44823</v>
      </c>
      <c r="V264" s="18">
        <f xml:space="preserve"> SUMIFS(MainData[ExtendedPrice], MainData[Date], U264, MainData[Category], "Beverage", MainData[Pricing], "&lt;&gt;"&amp;"*Adjust*", MainData[Pricing], "&lt;&gt;"&amp;"*LY*", MainData[BillTo], IF('YTD Revenue'!$AJ$14="Yes", "Hotel", "999999")) +
   SUMIFS(MainData[ExtendedPrice], MainData[Date], U264, MainData[Category], "Beverage", MainData[Pricing], "&lt;&gt;"&amp;"*Adjust*", MainData[Pricing], "&lt;&gt;"&amp;"*LY*", MainData[BillTo], IF('YTD Revenue'!$AJ$33="Yes", "EPO", "999999")) +
   SUMIFS(MainData[ExtendedPrice], MainData[Date], U264, MainData[Category], "Beverage", MainData[Pricing], "&lt;&gt;"&amp;"*Adjust*", MainData[Pricing], "&lt;&gt;"&amp;"*LY*", MainData[BillTo], IF('YTD Revenue'!$AJ$52="Yes", "Group", "999999")) -
   SUMIFS(MainData[ExtendedPrice], MainData[Date], U264,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4" s="175">
        <f t="shared" si="18"/>
        <v>9483.0649576271171</v>
      </c>
      <c r="X264" s="175">
        <f t="shared" si="19"/>
        <v>73045.8</v>
      </c>
    </row>
    <row r="265" spans="21:24" x14ac:dyDescent="0.25">
      <c r="U265" s="183">
        <f t="shared" si="17"/>
        <v>44824</v>
      </c>
      <c r="V265" s="18">
        <f xml:space="preserve"> SUMIFS(MainData[ExtendedPrice], MainData[Date], U265, MainData[Category], "Beverage", MainData[Pricing], "&lt;&gt;"&amp;"*Adjust*", MainData[Pricing], "&lt;&gt;"&amp;"*LY*", MainData[BillTo], IF('YTD Revenue'!$AJ$14="Yes", "Hotel", "999999")) +
   SUMIFS(MainData[ExtendedPrice], MainData[Date], U265, MainData[Category], "Beverage", MainData[Pricing], "&lt;&gt;"&amp;"*Adjust*", MainData[Pricing], "&lt;&gt;"&amp;"*LY*", MainData[BillTo], IF('YTD Revenue'!$AJ$33="Yes", "EPO", "999999")) +
   SUMIFS(MainData[ExtendedPrice], MainData[Date], U265, MainData[Category], "Beverage", MainData[Pricing], "&lt;&gt;"&amp;"*Adjust*", MainData[Pricing], "&lt;&gt;"&amp;"*LY*", MainData[BillTo], IF('YTD Revenue'!$AJ$52="Yes", "Group", "999999")) -
   SUMIFS(MainData[ExtendedPrice], MainData[Date], U265,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5" s="175">
        <f t="shared" si="18"/>
        <v>9483.0649576271171</v>
      </c>
      <c r="X265" s="175">
        <f t="shared" si="19"/>
        <v>73045.8</v>
      </c>
    </row>
    <row r="266" spans="21:24" x14ac:dyDescent="0.25">
      <c r="U266" s="183">
        <f t="shared" si="17"/>
        <v>44825</v>
      </c>
      <c r="V266" s="18">
        <f xml:space="preserve"> SUMIFS(MainData[ExtendedPrice], MainData[Date], U266, MainData[Category], "Beverage", MainData[Pricing], "&lt;&gt;"&amp;"*Adjust*", MainData[Pricing], "&lt;&gt;"&amp;"*LY*", MainData[BillTo], IF('YTD Revenue'!$AJ$14="Yes", "Hotel", "999999")) +
   SUMIFS(MainData[ExtendedPrice], MainData[Date], U266, MainData[Category], "Beverage", MainData[Pricing], "&lt;&gt;"&amp;"*Adjust*", MainData[Pricing], "&lt;&gt;"&amp;"*LY*", MainData[BillTo], IF('YTD Revenue'!$AJ$33="Yes", "EPO", "999999")) +
   SUMIFS(MainData[ExtendedPrice], MainData[Date], U266, MainData[Category], "Beverage", MainData[Pricing], "&lt;&gt;"&amp;"*Adjust*", MainData[Pricing], "&lt;&gt;"&amp;"*LY*", MainData[BillTo], IF('YTD Revenue'!$AJ$52="Yes", "Group", "999999")) -
   SUMIFS(MainData[ExtendedPrice], MainData[Date], U266,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6" s="175">
        <f t="shared" si="18"/>
        <v>9483.0649576271171</v>
      </c>
      <c r="X266" s="175">
        <f t="shared" si="19"/>
        <v>73045.8</v>
      </c>
    </row>
    <row r="267" spans="21:24" x14ac:dyDescent="0.25">
      <c r="U267" s="183">
        <f t="shared" si="17"/>
        <v>44826</v>
      </c>
      <c r="V267" s="18">
        <f xml:space="preserve"> SUMIFS(MainData[ExtendedPrice], MainData[Date], U267, MainData[Category], "Beverage", MainData[Pricing], "&lt;&gt;"&amp;"*Adjust*", MainData[Pricing], "&lt;&gt;"&amp;"*LY*", MainData[BillTo], IF('YTD Revenue'!$AJ$14="Yes", "Hotel", "999999")) +
   SUMIFS(MainData[ExtendedPrice], MainData[Date], U267, MainData[Category], "Beverage", MainData[Pricing], "&lt;&gt;"&amp;"*Adjust*", MainData[Pricing], "&lt;&gt;"&amp;"*LY*", MainData[BillTo], IF('YTD Revenue'!$AJ$33="Yes", "EPO", "999999")) +
   SUMIFS(MainData[ExtendedPrice], MainData[Date], U267, MainData[Category], "Beverage", MainData[Pricing], "&lt;&gt;"&amp;"*Adjust*", MainData[Pricing], "&lt;&gt;"&amp;"*LY*", MainData[BillTo], IF('YTD Revenue'!$AJ$52="Yes", "Group", "999999")) -
   SUMIFS(MainData[ExtendedPrice], MainData[Date], U267,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7" s="175">
        <f t="shared" si="18"/>
        <v>9483.0649576271171</v>
      </c>
      <c r="X267" s="175">
        <f t="shared" si="19"/>
        <v>73045.8</v>
      </c>
    </row>
    <row r="268" spans="21:24" x14ac:dyDescent="0.25">
      <c r="U268" s="183">
        <f>U267+1</f>
        <v>44827</v>
      </c>
      <c r="V268" s="18">
        <f xml:space="preserve"> SUMIFS(MainData[ExtendedPrice], MainData[Date], U268, MainData[Category], "Beverage", MainData[Pricing], "&lt;&gt;"&amp;"*Adjust*", MainData[Pricing], "&lt;&gt;"&amp;"*LY*", MainData[BillTo], IF('YTD Revenue'!$AJ$14="Yes", "Hotel", "999999")) +
   SUMIFS(MainData[ExtendedPrice], MainData[Date], U268, MainData[Category], "Beverage", MainData[Pricing], "&lt;&gt;"&amp;"*Adjust*", MainData[Pricing], "&lt;&gt;"&amp;"*LY*", MainData[BillTo], IF('YTD Revenue'!$AJ$33="Yes", "EPO", "999999")) +
   SUMIFS(MainData[ExtendedPrice], MainData[Date], U268, MainData[Category], "Beverage", MainData[Pricing], "&lt;&gt;"&amp;"*Adjust*", MainData[Pricing], "&lt;&gt;"&amp;"*LY*", MainData[BillTo], IF('YTD Revenue'!$AJ$52="Yes", "Group", "999999")) -
   SUMIFS(MainData[ExtendedPrice], MainData[Date], U268,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8" s="175">
        <f t="shared" si="18"/>
        <v>9483.0649576271171</v>
      </c>
      <c r="X268" s="175">
        <f t="shared" si="19"/>
        <v>73045.8</v>
      </c>
    </row>
    <row r="269" spans="21:24" x14ac:dyDescent="0.25">
      <c r="U269" s="183">
        <f t="shared" ref="U269:U332" si="20">U268+1</f>
        <v>44828</v>
      </c>
      <c r="V269" s="18">
        <f xml:space="preserve"> SUMIFS(MainData[ExtendedPrice], MainData[Date], U269, MainData[Category], "Beverage", MainData[Pricing], "&lt;&gt;"&amp;"*Adjust*", MainData[Pricing], "&lt;&gt;"&amp;"*LY*", MainData[BillTo], IF('YTD Revenue'!$AJ$14="Yes", "Hotel", "999999")) +
   SUMIFS(MainData[ExtendedPrice], MainData[Date], U269, MainData[Category], "Beverage", MainData[Pricing], "&lt;&gt;"&amp;"*Adjust*", MainData[Pricing], "&lt;&gt;"&amp;"*LY*", MainData[BillTo], IF('YTD Revenue'!$AJ$33="Yes", "EPO", "999999")) +
   SUMIFS(MainData[ExtendedPrice], MainData[Date], U269, MainData[Category], "Beverage", MainData[Pricing], "&lt;&gt;"&amp;"*Adjust*", MainData[Pricing], "&lt;&gt;"&amp;"*LY*", MainData[BillTo], IF('YTD Revenue'!$AJ$52="Yes", "Group", "999999")) -
   SUMIFS(MainData[ExtendedPrice], MainData[Date], U269,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9" s="175">
        <f t="shared" si="18"/>
        <v>9483.0649576271171</v>
      </c>
      <c r="X269" s="175">
        <f t="shared" si="19"/>
        <v>73045.8</v>
      </c>
    </row>
    <row r="270" spans="21:24" x14ac:dyDescent="0.25">
      <c r="U270" s="183">
        <f t="shared" si="20"/>
        <v>44829</v>
      </c>
      <c r="V270" s="18">
        <f xml:space="preserve"> SUMIFS(MainData[ExtendedPrice], MainData[Date], U270, MainData[Category], "Beverage", MainData[Pricing], "&lt;&gt;"&amp;"*Adjust*", MainData[Pricing], "&lt;&gt;"&amp;"*LY*", MainData[BillTo], IF('YTD Revenue'!$AJ$14="Yes", "Hotel", "999999")) +
   SUMIFS(MainData[ExtendedPrice], MainData[Date], U270, MainData[Category], "Beverage", MainData[Pricing], "&lt;&gt;"&amp;"*Adjust*", MainData[Pricing], "&lt;&gt;"&amp;"*LY*", MainData[BillTo], IF('YTD Revenue'!$AJ$33="Yes", "EPO", "999999")) +
   SUMIFS(MainData[ExtendedPrice], MainData[Date], U270, MainData[Category], "Beverage", MainData[Pricing], "&lt;&gt;"&amp;"*Adjust*", MainData[Pricing], "&lt;&gt;"&amp;"*LY*", MainData[BillTo], IF('YTD Revenue'!$AJ$52="Yes", "Group", "999999")) -
   SUMIFS(MainData[ExtendedPrice], MainData[Date], U270,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0" s="175">
        <f t="shared" si="18"/>
        <v>9483.0649576271171</v>
      </c>
      <c r="X270" s="175">
        <f t="shared" si="19"/>
        <v>73045.8</v>
      </c>
    </row>
    <row r="271" spans="21:24" x14ac:dyDescent="0.25">
      <c r="U271" s="183">
        <f t="shared" si="20"/>
        <v>44830</v>
      </c>
      <c r="V271" s="18">
        <f xml:space="preserve"> SUMIFS(MainData[ExtendedPrice], MainData[Date], U271, MainData[Category], "Beverage", MainData[Pricing], "&lt;&gt;"&amp;"*Adjust*", MainData[Pricing], "&lt;&gt;"&amp;"*LY*", MainData[BillTo], IF('YTD Revenue'!$AJ$14="Yes", "Hotel", "999999")) +
   SUMIFS(MainData[ExtendedPrice], MainData[Date], U271, MainData[Category], "Beverage", MainData[Pricing], "&lt;&gt;"&amp;"*Adjust*", MainData[Pricing], "&lt;&gt;"&amp;"*LY*", MainData[BillTo], IF('YTD Revenue'!$AJ$33="Yes", "EPO", "999999")) +
   SUMIFS(MainData[ExtendedPrice], MainData[Date], U271, MainData[Category], "Beverage", MainData[Pricing], "&lt;&gt;"&amp;"*Adjust*", MainData[Pricing], "&lt;&gt;"&amp;"*LY*", MainData[BillTo], IF('YTD Revenue'!$AJ$52="Yes", "Group", "999999")) -
   SUMIFS(MainData[ExtendedPrice], MainData[Date], U271,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1" s="175">
        <f t="shared" si="18"/>
        <v>9483.0649576271171</v>
      </c>
      <c r="X271" s="175">
        <f t="shared" si="19"/>
        <v>73045.8</v>
      </c>
    </row>
    <row r="272" spans="21:24" x14ac:dyDescent="0.25">
      <c r="U272" s="183">
        <f t="shared" si="20"/>
        <v>44831</v>
      </c>
      <c r="V272" s="18">
        <f xml:space="preserve"> SUMIFS(MainData[ExtendedPrice], MainData[Date], U272, MainData[Category], "Beverage", MainData[Pricing], "&lt;&gt;"&amp;"*Adjust*", MainData[Pricing], "&lt;&gt;"&amp;"*LY*", MainData[BillTo], IF('YTD Revenue'!$AJ$14="Yes", "Hotel", "999999")) +
   SUMIFS(MainData[ExtendedPrice], MainData[Date], U272, MainData[Category], "Beverage", MainData[Pricing], "&lt;&gt;"&amp;"*Adjust*", MainData[Pricing], "&lt;&gt;"&amp;"*LY*", MainData[BillTo], IF('YTD Revenue'!$AJ$33="Yes", "EPO", "999999")) +
   SUMIFS(MainData[ExtendedPrice], MainData[Date], U272, MainData[Category], "Beverage", MainData[Pricing], "&lt;&gt;"&amp;"*Adjust*", MainData[Pricing], "&lt;&gt;"&amp;"*LY*", MainData[BillTo], IF('YTD Revenue'!$AJ$52="Yes", "Group", "999999")) -
   SUMIFS(MainData[ExtendedPrice], MainData[Date], U272,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2" s="175">
        <f t="shared" si="18"/>
        <v>9483.0649576271171</v>
      </c>
      <c r="X272" s="175">
        <f t="shared" si="19"/>
        <v>73045.8</v>
      </c>
    </row>
    <row r="273" spans="21:24" x14ac:dyDescent="0.25">
      <c r="U273" s="183">
        <f t="shared" si="20"/>
        <v>44832</v>
      </c>
      <c r="V273" s="18">
        <f xml:space="preserve"> SUMIFS(MainData[ExtendedPrice], MainData[Date], U273, MainData[Category], "Beverage", MainData[Pricing], "&lt;&gt;"&amp;"*Adjust*", MainData[Pricing], "&lt;&gt;"&amp;"*LY*", MainData[BillTo], IF('YTD Revenue'!$AJ$14="Yes", "Hotel", "999999")) +
   SUMIFS(MainData[ExtendedPrice], MainData[Date], U273, MainData[Category], "Beverage", MainData[Pricing], "&lt;&gt;"&amp;"*Adjust*", MainData[Pricing], "&lt;&gt;"&amp;"*LY*", MainData[BillTo], IF('YTD Revenue'!$AJ$33="Yes", "EPO", "999999")) +
   SUMIFS(MainData[ExtendedPrice], MainData[Date], U273, MainData[Category], "Beverage", MainData[Pricing], "&lt;&gt;"&amp;"*Adjust*", MainData[Pricing], "&lt;&gt;"&amp;"*LY*", MainData[BillTo], IF('YTD Revenue'!$AJ$52="Yes", "Group", "999999")) -
   SUMIFS(MainData[ExtendedPrice], MainData[Date], U273,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3" s="175">
        <f t="shared" si="18"/>
        <v>9483.0649576271171</v>
      </c>
      <c r="X273" s="175">
        <f t="shared" si="19"/>
        <v>73045.8</v>
      </c>
    </row>
    <row r="274" spans="21:24" x14ac:dyDescent="0.25">
      <c r="U274" s="183">
        <f t="shared" si="20"/>
        <v>44833</v>
      </c>
      <c r="V274" s="18">
        <f xml:space="preserve"> SUMIFS(MainData[ExtendedPrice], MainData[Date], U274, MainData[Category], "Beverage", MainData[Pricing], "&lt;&gt;"&amp;"*Adjust*", MainData[Pricing], "&lt;&gt;"&amp;"*LY*", MainData[BillTo], IF('YTD Revenue'!$AJ$14="Yes", "Hotel", "999999")) +
   SUMIFS(MainData[ExtendedPrice], MainData[Date], U274, MainData[Category], "Beverage", MainData[Pricing], "&lt;&gt;"&amp;"*Adjust*", MainData[Pricing], "&lt;&gt;"&amp;"*LY*", MainData[BillTo], IF('YTD Revenue'!$AJ$33="Yes", "EPO", "999999")) +
   SUMIFS(MainData[ExtendedPrice], MainData[Date], U274, MainData[Category], "Beverage", MainData[Pricing], "&lt;&gt;"&amp;"*Adjust*", MainData[Pricing], "&lt;&gt;"&amp;"*LY*", MainData[BillTo], IF('YTD Revenue'!$AJ$52="Yes", "Group", "999999")) -
   SUMIFS(MainData[ExtendedPrice], MainData[Date], U274,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4" s="175">
        <f t="shared" si="18"/>
        <v>9483.0649576271171</v>
      </c>
      <c r="X274" s="175">
        <f t="shared" si="19"/>
        <v>73045.8</v>
      </c>
    </row>
    <row r="275" spans="21:24" x14ac:dyDescent="0.25">
      <c r="U275" s="183">
        <f t="shared" si="20"/>
        <v>44834</v>
      </c>
      <c r="V275" s="18">
        <f xml:space="preserve"> SUMIFS(MainData[ExtendedPrice], MainData[Date], U275, MainData[Category], "Beverage", MainData[Pricing], "&lt;&gt;"&amp;"*Adjust*", MainData[Pricing], "&lt;&gt;"&amp;"*LY*", MainData[BillTo], IF('YTD Revenue'!$AJ$14="Yes", "Hotel", "999999")) +
   SUMIFS(MainData[ExtendedPrice], MainData[Date], U275, MainData[Category], "Beverage", MainData[Pricing], "&lt;&gt;"&amp;"*Adjust*", MainData[Pricing], "&lt;&gt;"&amp;"*LY*", MainData[BillTo], IF('YTD Revenue'!$AJ$33="Yes", "EPO", "999999")) +
   SUMIFS(MainData[ExtendedPrice], MainData[Date], U275, MainData[Category], "Beverage", MainData[Pricing], "&lt;&gt;"&amp;"*Adjust*", MainData[Pricing], "&lt;&gt;"&amp;"*LY*", MainData[BillTo], IF('YTD Revenue'!$AJ$52="Yes", "Group", "999999")) -
   SUMIFS(MainData[ExtendedPrice], MainData[Date], U275,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5" s="175">
        <f t="shared" si="18"/>
        <v>9483.0649576271171</v>
      </c>
      <c r="X275" s="175">
        <f t="shared" si="19"/>
        <v>73045.8</v>
      </c>
    </row>
    <row r="276" spans="21:24" x14ac:dyDescent="0.25">
      <c r="U276" s="183">
        <f t="shared" si="20"/>
        <v>44835</v>
      </c>
      <c r="V276" s="18">
        <f xml:space="preserve"> SUMIFS(MainData[ExtendedPrice], MainData[Date], U276, MainData[Category], "Beverage", MainData[Pricing], "&lt;&gt;"&amp;"*Adjust*", MainData[Pricing], "&lt;&gt;"&amp;"*LY*", MainData[BillTo], IF('YTD Revenue'!$AJ$14="Yes", "Hotel", "999999")) +
   SUMIFS(MainData[ExtendedPrice], MainData[Date], U276, MainData[Category], "Beverage", MainData[Pricing], "&lt;&gt;"&amp;"*Adjust*", MainData[Pricing], "&lt;&gt;"&amp;"*LY*", MainData[BillTo], IF('YTD Revenue'!$AJ$33="Yes", "EPO", "999999")) +
   SUMIFS(MainData[ExtendedPrice], MainData[Date], U276, MainData[Category], "Beverage", MainData[Pricing], "&lt;&gt;"&amp;"*Adjust*", MainData[Pricing], "&lt;&gt;"&amp;"*LY*", MainData[BillTo], IF('YTD Revenue'!$AJ$52="Yes", "Group", "999999")) -
   SUMIFS(MainData[ExtendedPrice], MainData[Date], U276,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6" s="175">
        <f t="shared" si="18"/>
        <v>9483.0649576271171</v>
      </c>
      <c r="X276" s="175">
        <f t="shared" si="19"/>
        <v>73045.8</v>
      </c>
    </row>
    <row r="277" spans="21:24" x14ac:dyDescent="0.25">
      <c r="U277" s="183">
        <f t="shared" si="20"/>
        <v>44836</v>
      </c>
      <c r="V277" s="18">
        <f xml:space="preserve"> SUMIFS(MainData[ExtendedPrice], MainData[Date], U277, MainData[Category], "Beverage", MainData[Pricing], "&lt;&gt;"&amp;"*Adjust*", MainData[Pricing], "&lt;&gt;"&amp;"*LY*", MainData[BillTo], IF('YTD Revenue'!$AJ$14="Yes", "Hotel", "999999")) +
   SUMIFS(MainData[ExtendedPrice], MainData[Date], U277, MainData[Category], "Beverage", MainData[Pricing], "&lt;&gt;"&amp;"*Adjust*", MainData[Pricing], "&lt;&gt;"&amp;"*LY*", MainData[BillTo], IF('YTD Revenue'!$AJ$33="Yes", "EPO", "999999")) +
   SUMIFS(MainData[ExtendedPrice], MainData[Date], U277, MainData[Category], "Beverage", MainData[Pricing], "&lt;&gt;"&amp;"*Adjust*", MainData[Pricing], "&lt;&gt;"&amp;"*LY*", MainData[BillTo], IF('YTD Revenue'!$AJ$52="Yes", "Group", "999999")) -
   SUMIFS(MainData[ExtendedPrice], MainData[Date], U277,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7" s="175">
        <f t="shared" si="18"/>
        <v>9483.0649576271171</v>
      </c>
      <c r="X277" s="175">
        <f t="shared" si="19"/>
        <v>73045.8</v>
      </c>
    </row>
    <row r="278" spans="21:24" x14ac:dyDescent="0.25">
      <c r="U278" s="183">
        <f t="shared" si="20"/>
        <v>44837</v>
      </c>
      <c r="V278" s="18">
        <f xml:space="preserve"> SUMIFS(MainData[ExtendedPrice], MainData[Date], U278, MainData[Category], "Beverage", MainData[Pricing], "&lt;&gt;"&amp;"*Adjust*", MainData[Pricing], "&lt;&gt;"&amp;"*LY*", MainData[BillTo], IF('YTD Revenue'!$AJ$14="Yes", "Hotel", "999999")) +
   SUMIFS(MainData[ExtendedPrice], MainData[Date], U278, MainData[Category], "Beverage", MainData[Pricing], "&lt;&gt;"&amp;"*Adjust*", MainData[Pricing], "&lt;&gt;"&amp;"*LY*", MainData[BillTo], IF('YTD Revenue'!$AJ$33="Yes", "EPO", "999999")) +
   SUMIFS(MainData[ExtendedPrice], MainData[Date], U278, MainData[Category], "Beverage", MainData[Pricing], "&lt;&gt;"&amp;"*Adjust*", MainData[Pricing], "&lt;&gt;"&amp;"*LY*", MainData[BillTo], IF('YTD Revenue'!$AJ$52="Yes", "Group", "999999")) -
   SUMIFS(MainData[ExtendedPrice], MainData[Date], U278,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8" s="175">
        <f t="shared" si="18"/>
        <v>9483.0649576271171</v>
      </c>
      <c r="X278" s="175">
        <f t="shared" si="19"/>
        <v>73045.8</v>
      </c>
    </row>
    <row r="279" spans="21:24" x14ac:dyDescent="0.25">
      <c r="U279" s="183">
        <f t="shared" si="20"/>
        <v>44838</v>
      </c>
      <c r="V279" s="18">
        <f xml:space="preserve"> SUMIFS(MainData[ExtendedPrice], MainData[Date], U279, MainData[Category], "Beverage", MainData[Pricing], "&lt;&gt;"&amp;"*Adjust*", MainData[Pricing], "&lt;&gt;"&amp;"*LY*", MainData[BillTo], IF('YTD Revenue'!$AJ$14="Yes", "Hotel", "999999")) +
   SUMIFS(MainData[ExtendedPrice], MainData[Date], U279, MainData[Category], "Beverage", MainData[Pricing], "&lt;&gt;"&amp;"*Adjust*", MainData[Pricing], "&lt;&gt;"&amp;"*LY*", MainData[BillTo], IF('YTD Revenue'!$AJ$33="Yes", "EPO", "999999")) +
   SUMIFS(MainData[ExtendedPrice], MainData[Date], U279, MainData[Category], "Beverage", MainData[Pricing], "&lt;&gt;"&amp;"*Adjust*", MainData[Pricing], "&lt;&gt;"&amp;"*LY*", MainData[BillTo], IF('YTD Revenue'!$AJ$52="Yes", "Group", "999999")) -
   SUMIFS(MainData[ExtendedPrice], MainData[Date], U279,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9" s="175">
        <f t="shared" si="18"/>
        <v>9483.0649576271171</v>
      </c>
      <c r="X279" s="175">
        <f t="shared" si="19"/>
        <v>73045.8</v>
      </c>
    </row>
    <row r="280" spans="21:24" x14ac:dyDescent="0.25">
      <c r="U280" s="183">
        <f t="shared" si="20"/>
        <v>44839</v>
      </c>
      <c r="V280" s="18">
        <f xml:space="preserve"> SUMIFS(MainData[ExtendedPrice], MainData[Date], U280, MainData[Category], "Beverage", MainData[Pricing], "&lt;&gt;"&amp;"*Adjust*", MainData[Pricing], "&lt;&gt;"&amp;"*LY*", MainData[BillTo], IF('YTD Revenue'!$AJ$14="Yes", "Hotel", "999999")) +
   SUMIFS(MainData[ExtendedPrice], MainData[Date], U280, MainData[Category], "Beverage", MainData[Pricing], "&lt;&gt;"&amp;"*Adjust*", MainData[Pricing], "&lt;&gt;"&amp;"*LY*", MainData[BillTo], IF('YTD Revenue'!$AJ$33="Yes", "EPO", "999999")) +
   SUMIFS(MainData[ExtendedPrice], MainData[Date], U280, MainData[Category], "Beverage", MainData[Pricing], "&lt;&gt;"&amp;"*Adjust*", MainData[Pricing], "&lt;&gt;"&amp;"*LY*", MainData[BillTo], IF('YTD Revenue'!$AJ$52="Yes", "Group", "999999")) -
   SUMIFS(MainData[ExtendedPrice], MainData[Date], U280,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0" s="175">
        <f t="shared" si="18"/>
        <v>9483.0649576271171</v>
      </c>
      <c r="X280" s="175">
        <f t="shared" si="19"/>
        <v>73045.8</v>
      </c>
    </row>
    <row r="281" spans="21:24" x14ac:dyDescent="0.25">
      <c r="U281" s="183">
        <f t="shared" si="20"/>
        <v>44840</v>
      </c>
      <c r="V281" s="18">
        <f xml:space="preserve"> SUMIFS(MainData[ExtendedPrice], MainData[Date], U281, MainData[Category], "Beverage", MainData[Pricing], "&lt;&gt;"&amp;"*Adjust*", MainData[Pricing], "&lt;&gt;"&amp;"*LY*", MainData[BillTo], IF('YTD Revenue'!$AJ$14="Yes", "Hotel", "999999")) +
   SUMIFS(MainData[ExtendedPrice], MainData[Date], U281, MainData[Category], "Beverage", MainData[Pricing], "&lt;&gt;"&amp;"*Adjust*", MainData[Pricing], "&lt;&gt;"&amp;"*LY*", MainData[BillTo], IF('YTD Revenue'!$AJ$33="Yes", "EPO", "999999")) +
   SUMIFS(MainData[ExtendedPrice], MainData[Date], U281, MainData[Category], "Beverage", MainData[Pricing], "&lt;&gt;"&amp;"*Adjust*", MainData[Pricing], "&lt;&gt;"&amp;"*LY*", MainData[BillTo], IF('YTD Revenue'!$AJ$52="Yes", "Group", "999999")) -
   SUMIFS(MainData[ExtendedPrice], MainData[Date], U281,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1" s="175">
        <f t="shared" si="18"/>
        <v>9483.0649576271171</v>
      </c>
      <c r="X281" s="175">
        <f t="shared" si="19"/>
        <v>73045.8</v>
      </c>
    </row>
    <row r="282" spans="21:24" x14ac:dyDescent="0.25">
      <c r="U282" s="183">
        <f t="shared" si="20"/>
        <v>44841</v>
      </c>
      <c r="V282" s="18">
        <f xml:space="preserve"> SUMIFS(MainData[ExtendedPrice], MainData[Date], U282, MainData[Category], "Beverage", MainData[Pricing], "&lt;&gt;"&amp;"*Adjust*", MainData[Pricing], "&lt;&gt;"&amp;"*LY*", MainData[BillTo], IF('YTD Revenue'!$AJ$14="Yes", "Hotel", "999999")) +
   SUMIFS(MainData[ExtendedPrice], MainData[Date], U282, MainData[Category], "Beverage", MainData[Pricing], "&lt;&gt;"&amp;"*Adjust*", MainData[Pricing], "&lt;&gt;"&amp;"*LY*", MainData[BillTo], IF('YTD Revenue'!$AJ$33="Yes", "EPO", "999999")) +
   SUMIFS(MainData[ExtendedPrice], MainData[Date], U282, MainData[Category], "Beverage", MainData[Pricing], "&lt;&gt;"&amp;"*Adjust*", MainData[Pricing], "&lt;&gt;"&amp;"*LY*", MainData[BillTo], IF('YTD Revenue'!$AJ$52="Yes", "Group", "999999")) -
   SUMIFS(MainData[ExtendedPrice], MainData[Date], U282,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2" s="175">
        <f t="shared" si="18"/>
        <v>9483.0649576271171</v>
      </c>
      <c r="X282" s="175">
        <f t="shared" si="19"/>
        <v>73045.8</v>
      </c>
    </row>
    <row r="283" spans="21:24" x14ac:dyDescent="0.25">
      <c r="U283" s="183">
        <f t="shared" si="20"/>
        <v>44842</v>
      </c>
      <c r="V283" s="18">
        <f xml:space="preserve"> SUMIFS(MainData[ExtendedPrice], MainData[Date], U283, MainData[Category], "Beverage", MainData[Pricing], "&lt;&gt;"&amp;"*Adjust*", MainData[Pricing], "&lt;&gt;"&amp;"*LY*", MainData[BillTo], IF('YTD Revenue'!$AJ$14="Yes", "Hotel", "999999")) +
   SUMIFS(MainData[ExtendedPrice], MainData[Date], U283, MainData[Category], "Beverage", MainData[Pricing], "&lt;&gt;"&amp;"*Adjust*", MainData[Pricing], "&lt;&gt;"&amp;"*LY*", MainData[BillTo], IF('YTD Revenue'!$AJ$33="Yes", "EPO", "999999")) +
   SUMIFS(MainData[ExtendedPrice], MainData[Date], U283, MainData[Category], "Beverage", MainData[Pricing], "&lt;&gt;"&amp;"*Adjust*", MainData[Pricing], "&lt;&gt;"&amp;"*LY*", MainData[BillTo], IF('YTD Revenue'!$AJ$52="Yes", "Group", "999999")) -
   SUMIFS(MainData[ExtendedPrice], MainData[Date], U283,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3" s="175">
        <f t="shared" si="18"/>
        <v>9483.0649576271171</v>
      </c>
      <c r="X283" s="175">
        <f t="shared" si="19"/>
        <v>73045.8</v>
      </c>
    </row>
    <row r="284" spans="21:24" x14ac:dyDescent="0.25">
      <c r="U284" s="183">
        <f t="shared" si="20"/>
        <v>44843</v>
      </c>
      <c r="V284" s="18">
        <f xml:space="preserve"> SUMIFS(MainData[ExtendedPrice], MainData[Date], U284, MainData[Category], "Beverage", MainData[Pricing], "&lt;&gt;"&amp;"*Adjust*", MainData[Pricing], "&lt;&gt;"&amp;"*LY*", MainData[BillTo], IF('YTD Revenue'!$AJ$14="Yes", "Hotel", "999999")) +
   SUMIFS(MainData[ExtendedPrice], MainData[Date], U284, MainData[Category], "Beverage", MainData[Pricing], "&lt;&gt;"&amp;"*Adjust*", MainData[Pricing], "&lt;&gt;"&amp;"*LY*", MainData[BillTo], IF('YTD Revenue'!$AJ$33="Yes", "EPO", "999999")) +
   SUMIFS(MainData[ExtendedPrice], MainData[Date], U284, MainData[Category], "Beverage", MainData[Pricing], "&lt;&gt;"&amp;"*Adjust*", MainData[Pricing], "&lt;&gt;"&amp;"*LY*", MainData[BillTo], IF('YTD Revenue'!$AJ$52="Yes", "Group", "999999")) -
   SUMIFS(MainData[ExtendedPrice], MainData[Date], U284,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4" s="175">
        <f t="shared" si="18"/>
        <v>9483.0649576271171</v>
      </c>
      <c r="X284" s="175">
        <f t="shared" si="19"/>
        <v>73045.8</v>
      </c>
    </row>
    <row r="285" spans="21:24" x14ac:dyDescent="0.25">
      <c r="U285" s="183">
        <f t="shared" si="20"/>
        <v>44844</v>
      </c>
      <c r="V285" s="18">
        <f xml:space="preserve"> SUMIFS(MainData[ExtendedPrice], MainData[Date], U285, MainData[Category], "Beverage", MainData[Pricing], "&lt;&gt;"&amp;"*Adjust*", MainData[Pricing], "&lt;&gt;"&amp;"*LY*", MainData[BillTo], IF('YTD Revenue'!$AJ$14="Yes", "Hotel", "999999")) +
   SUMIFS(MainData[ExtendedPrice], MainData[Date], U285, MainData[Category], "Beverage", MainData[Pricing], "&lt;&gt;"&amp;"*Adjust*", MainData[Pricing], "&lt;&gt;"&amp;"*LY*", MainData[BillTo], IF('YTD Revenue'!$AJ$33="Yes", "EPO", "999999")) +
   SUMIFS(MainData[ExtendedPrice], MainData[Date], U285, MainData[Category], "Beverage", MainData[Pricing], "&lt;&gt;"&amp;"*Adjust*", MainData[Pricing], "&lt;&gt;"&amp;"*LY*", MainData[BillTo], IF('YTD Revenue'!$AJ$52="Yes", "Group", "999999")) -
   SUMIFS(MainData[ExtendedPrice], MainData[Date], U285,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5" s="175">
        <f t="shared" si="18"/>
        <v>9483.0649576271171</v>
      </c>
      <c r="X285" s="175">
        <f t="shared" si="19"/>
        <v>73045.8</v>
      </c>
    </row>
    <row r="286" spans="21:24" x14ac:dyDescent="0.25">
      <c r="U286" s="183">
        <f t="shared" si="20"/>
        <v>44845</v>
      </c>
      <c r="V286" s="18">
        <f xml:space="preserve"> SUMIFS(MainData[ExtendedPrice], MainData[Date], U286, MainData[Category], "Beverage", MainData[Pricing], "&lt;&gt;"&amp;"*Adjust*", MainData[Pricing], "&lt;&gt;"&amp;"*LY*", MainData[BillTo], IF('YTD Revenue'!$AJ$14="Yes", "Hotel", "999999")) +
   SUMIFS(MainData[ExtendedPrice], MainData[Date], U286, MainData[Category], "Beverage", MainData[Pricing], "&lt;&gt;"&amp;"*Adjust*", MainData[Pricing], "&lt;&gt;"&amp;"*LY*", MainData[BillTo], IF('YTD Revenue'!$AJ$33="Yes", "EPO", "999999")) +
   SUMIFS(MainData[ExtendedPrice], MainData[Date], U286, MainData[Category], "Beverage", MainData[Pricing], "&lt;&gt;"&amp;"*Adjust*", MainData[Pricing], "&lt;&gt;"&amp;"*LY*", MainData[BillTo], IF('YTD Revenue'!$AJ$52="Yes", "Group", "999999")) -
   SUMIFS(MainData[ExtendedPrice], MainData[Date], U286,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6" s="175">
        <f t="shared" si="18"/>
        <v>9483.0649576271171</v>
      </c>
      <c r="X286" s="175">
        <f t="shared" si="19"/>
        <v>73045.8</v>
      </c>
    </row>
    <row r="287" spans="21:24" x14ac:dyDescent="0.25">
      <c r="U287" s="183">
        <f t="shared" si="20"/>
        <v>44846</v>
      </c>
      <c r="V287" s="18">
        <f xml:space="preserve"> SUMIFS(MainData[ExtendedPrice], MainData[Date], U287, MainData[Category], "Beverage", MainData[Pricing], "&lt;&gt;"&amp;"*Adjust*", MainData[Pricing], "&lt;&gt;"&amp;"*LY*", MainData[BillTo], IF('YTD Revenue'!$AJ$14="Yes", "Hotel", "999999")) +
   SUMIFS(MainData[ExtendedPrice], MainData[Date], U287, MainData[Category], "Beverage", MainData[Pricing], "&lt;&gt;"&amp;"*Adjust*", MainData[Pricing], "&lt;&gt;"&amp;"*LY*", MainData[BillTo], IF('YTD Revenue'!$AJ$33="Yes", "EPO", "999999")) +
   SUMIFS(MainData[ExtendedPrice], MainData[Date], U287, MainData[Category], "Beverage", MainData[Pricing], "&lt;&gt;"&amp;"*Adjust*", MainData[Pricing], "&lt;&gt;"&amp;"*LY*", MainData[BillTo], IF('YTD Revenue'!$AJ$52="Yes", "Group", "999999")) -
   SUMIFS(MainData[ExtendedPrice], MainData[Date], U287,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7" s="175">
        <f t="shared" si="18"/>
        <v>9483.0649576271171</v>
      </c>
      <c r="X287" s="175">
        <f t="shared" si="19"/>
        <v>73045.8</v>
      </c>
    </row>
    <row r="288" spans="21:24" x14ac:dyDescent="0.25">
      <c r="U288" s="183">
        <f t="shared" si="20"/>
        <v>44847</v>
      </c>
      <c r="V288" s="18">
        <f xml:space="preserve"> SUMIFS(MainData[ExtendedPrice], MainData[Date], U288, MainData[Category], "Beverage", MainData[Pricing], "&lt;&gt;"&amp;"*Adjust*", MainData[Pricing], "&lt;&gt;"&amp;"*LY*", MainData[BillTo], IF('YTD Revenue'!$AJ$14="Yes", "Hotel", "999999")) +
   SUMIFS(MainData[ExtendedPrice], MainData[Date], U288, MainData[Category], "Beverage", MainData[Pricing], "&lt;&gt;"&amp;"*Adjust*", MainData[Pricing], "&lt;&gt;"&amp;"*LY*", MainData[BillTo], IF('YTD Revenue'!$AJ$33="Yes", "EPO", "999999")) +
   SUMIFS(MainData[ExtendedPrice], MainData[Date], U288, MainData[Category], "Beverage", MainData[Pricing], "&lt;&gt;"&amp;"*Adjust*", MainData[Pricing], "&lt;&gt;"&amp;"*LY*", MainData[BillTo], IF('YTD Revenue'!$AJ$52="Yes", "Group", "999999")) -
   SUMIFS(MainData[ExtendedPrice], MainData[Date], U288,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8" s="175">
        <f t="shared" si="18"/>
        <v>9483.0649576271171</v>
      </c>
      <c r="X288" s="175">
        <f t="shared" si="19"/>
        <v>73045.8</v>
      </c>
    </row>
    <row r="289" spans="21:24" x14ac:dyDescent="0.25">
      <c r="U289" s="183">
        <f t="shared" si="20"/>
        <v>44848</v>
      </c>
      <c r="V289" s="18">
        <f xml:space="preserve"> SUMIFS(MainData[ExtendedPrice], MainData[Date], U289, MainData[Category], "Beverage", MainData[Pricing], "&lt;&gt;"&amp;"*Adjust*", MainData[Pricing], "&lt;&gt;"&amp;"*LY*", MainData[BillTo], IF('YTD Revenue'!$AJ$14="Yes", "Hotel", "999999")) +
   SUMIFS(MainData[ExtendedPrice], MainData[Date], U289, MainData[Category], "Beverage", MainData[Pricing], "&lt;&gt;"&amp;"*Adjust*", MainData[Pricing], "&lt;&gt;"&amp;"*LY*", MainData[BillTo], IF('YTD Revenue'!$AJ$33="Yes", "EPO", "999999")) +
   SUMIFS(MainData[ExtendedPrice], MainData[Date], U289, MainData[Category], "Beverage", MainData[Pricing], "&lt;&gt;"&amp;"*Adjust*", MainData[Pricing], "&lt;&gt;"&amp;"*LY*", MainData[BillTo], IF('YTD Revenue'!$AJ$52="Yes", "Group", "999999")) -
   SUMIFS(MainData[ExtendedPrice], MainData[Date], U289,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9" s="175">
        <f t="shared" si="18"/>
        <v>9483.0649576271171</v>
      </c>
      <c r="X289" s="175">
        <f t="shared" si="19"/>
        <v>73045.8</v>
      </c>
    </row>
    <row r="290" spans="21:24" x14ac:dyDescent="0.25">
      <c r="U290" s="183">
        <f t="shared" si="20"/>
        <v>44849</v>
      </c>
      <c r="V290" s="18">
        <f xml:space="preserve"> SUMIFS(MainData[ExtendedPrice], MainData[Date], U290, MainData[Category], "Beverage", MainData[Pricing], "&lt;&gt;"&amp;"*Adjust*", MainData[Pricing], "&lt;&gt;"&amp;"*LY*", MainData[BillTo], IF('YTD Revenue'!$AJ$14="Yes", "Hotel", "999999")) +
   SUMIFS(MainData[ExtendedPrice], MainData[Date], U290, MainData[Category], "Beverage", MainData[Pricing], "&lt;&gt;"&amp;"*Adjust*", MainData[Pricing], "&lt;&gt;"&amp;"*LY*", MainData[BillTo], IF('YTD Revenue'!$AJ$33="Yes", "EPO", "999999")) +
   SUMIFS(MainData[ExtendedPrice], MainData[Date], U290, MainData[Category], "Beverage", MainData[Pricing], "&lt;&gt;"&amp;"*Adjust*", MainData[Pricing], "&lt;&gt;"&amp;"*LY*", MainData[BillTo], IF('YTD Revenue'!$AJ$52="Yes", "Group", "999999")) -
   SUMIFS(MainData[ExtendedPrice], MainData[Date], U290,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0" s="175">
        <f t="shared" si="18"/>
        <v>9483.0649576271171</v>
      </c>
      <c r="X290" s="175">
        <f t="shared" si="19"/>
        <v>73045.8</v>
      </c>
    </row>
    <row r="291" spans="21:24" x14ac:dyDescent="0.25">
      <c r="U291" s="183">
        <f t="shared" si="20"/>
        <v>44850</v>
      </c>
      <c r="V291" s="18">
        <f xml:space="preserve"> SUMIFS(MainData[ExtendedPrice], MainData[Date], U291, MainData[Category], "Beverage", MainData[Pricing], "&lt;&gt;"&amp;"*Adjust*", MainData[Pricing], "&lt;&gt;"&amp;"*LY*", MainData[BillTo], IF('YTD Revenue'!$AJ$14="Yes", "Hotel", "999999")) +
   SUMIFS(MainData[ExtendedPrice], MainData[Date], U291, MainData[Category], "Beverage", MainData[Pricing], "&lt;&gt;"&amp;"*Adjust*", MainData[Pricing], "&lt;&gt;"&amp;"*LY*", MainData[BillTo], IF('YTD Revenue'!$AJ$33="Yes", "EPO", "999999")) +
   SUMIFS(MainData[ExtendedPrice], MainData[Date], U291, MainData[Category], "Beverage", MainData[Pricing], "&lt;&gt;"&amp;"*Adjust*", MainData[Pricing], "&lt;&gt;"&amp;"*LY*", MainData[BillTo], IF('YTD Revenue'!$AJ$52="Yes", "Group", "999999")) -
   SUMIFS(MainData[ExtendedPrice], MainData[Date], U291,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1" s="175">
        <f t="shared" si="18"/>
        <v>9483.0649576271171</v>
      </c>
      <c r="X291" s="175">
        <f t="shared" si="19"/>
        <v>73045.8</v>
      </c>
    </row>
    <row r="292" spans="21:24" x14ac:dyDescent="0.25">
      <c r="U292" s="183">
        <f t="shared" si="20"/>
        <v>44851</v>
      </c>
      <c r="V292" s="18">
        <f xml:space="preserve"> SUMIFS(MainData[ExtendedPrice], MainData[Date], U292, MainData[Category], "Beverage", MainData[Pricing], "&lt;&gt;"&amp;"*Adjust*", MainData[Pricing], "&lt;&gt;"&amp;"*LY*", MainData[BillTo], IF('YTD Revenue'!$AJ$14="Yes", "Hotel", "999999")) +
   SUMIFS(MainData[ExtendedPrice], MainData[Date], U292, MainData[Category], "Beverage", MainData[Pricing], "&lt;&gt;"&amp;"*Adjust*", MainData[Pricing], "&lt;&gt;"&amp;"*LY*", MainData[BillTo], IF('YTD Revenue'!$AJ$33="Yes", "EPO", "999999")) +
   SUMIFS(MainData[ExtendedPrice], MainData[Date], U292, MainData[Category], "Beverage", MainData[Pricing], "&lt;&gt;"&amp;"*Adjust*", MainData[Pricing], "&lt;&gt;"&amp;"*LY*", MainData[BillTo], IF('YTD Revenue'!$AJ$52="Yes", "Group", "999999")) -
   SUMIFS(MainData[ExtendedPrice], MainData[Date], U292,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2" s="175">
        <f t="shared" si="18"/>
        <v>9483.0649576271171</v>
      </c>
      <c r="X292" s="175">
        <f t="shared" si="19"/>
        <v>73045.8</v>
      </c>
    </row>
    <row r="293" spans="21:24" x14ac:dyDescent="0.25">
      <c r="U293" s="183">
        <f t="shared" si="20"/>
        <v>44852</v>
      </c>
      <c r="V293" s="18">
        <f xml:space="preserve"> SUMIFS(MainData[ExtendedPrice], MainData[Date], U293, MainData[Category], "Beverage", MainData[Pricing], "&lt;&gt;"&amp;"*Adjust*", MainData[Pricing], "&lt;&gt;"&amp;"*LY*", MainData[BillTo], IF('YTD Revenue'!$AJ$14="Yes", "Hotel", "999999")) +
   SUMIFS(MainData[ExtendedPrice], MainData[Date], U293, MainData[Category], "Beverage", MainData[Pricing], "&lt;&gt;"&amp;"*Adjust*", MainData[Pricing], "&lt;&gt;"&amp;"*LY*", MainData[BillTo], IF('YTD Revenue'!$AJ$33="Yes", "EPO", "999999")) +
   SUMIFS(MainData[ExtendedPrice], MainData[Date], U293, MainData[Category], "Beverage", MainData[Pricing], "&lt;&gt;"&amp;"*Adjust*", MainData[Pricing], "&lt;&gt;"&amp;"*LY*", MainData[BillTo], IF('YTD Revenue'!$AJ$52="Yes", "Group", "999999")) -
   SUMIFS(MainData[ExtendedPrice], MainData[Date], U293,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3" s="175">
        <f t="shared" si="18"/>
        <v>9483.0649576271171</v>
      </c>
      <c r="X293" s="175">
        <f t="shared" si="19"/>
        <v>73045.8</v>
      </c>
    </row>
    <row r="294" spans="21:24" x14ac:dyDescent="0.25">
      <c r="U294" s="183">
        <f t="shared" si="20"/>
        <v>44853</v>
      </c>
      <c r="V294" s="18">
        <f xml:space="preserve"> SUMIFS(MainData[ExtendedPrice], MainData[Date], U294, MainData[Category], "Beverage", MainData[Pricing], "&lt;&gt;"&amp;"*Adjust*", MainData[Pricing], "&lt;&gt;"&amp;"*LY*", MainData[BillTo], IF('YTD Revenue'!$AJ$14="Yes", "Hotel", "999999")) +
   SUMIFS(MainData[ExtendedPrice], MainData[Date], U294, MainData[Category], "Beverage", MainData[Pricing], "&lt;&gt;"&amp;"*Adjust*", MainData[Pricing], "&lt;&gt;"&amp;"*LY*", MainData[BillTo], IF('YTD Revenue'!$AJ$33="Yes", "EPO", "999999")) +
   SUMIFS(MainData[ExtendedPrice], MainData[Date], U294, MainData[Category], "Beverage", MainData[Pricing], "&lt;&gt;"&amp;"*Adjust*", MainData[Pricing], "&lt;&gt;"&amp;"*LY*", MainData[BillTo], IF('YTD Revenue'!$AJ$52="Yes", "Group", "999999")) -
   SUMIFS(MainData[ExtendedPrice], MainData[Date], U294,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4" s="175">
        <f t="shared" si="18"/>
        <v>9483.0649576271171</v>
      </c>
      <c r="X294" s="175">
        <f t="shared" si="19"/>
        <v>73045.8</v>
      </c>
    </row>
    <row r="295" spans="21:24" x14ac:dyDescent="0.25">
      <c r="U295" s="183">
        <f t="shared" si="20"/>
        <v>44854</v>
      </c>
      <c r="V295" s="18">
        <f xml:space="preserve"> SUMIFS(MainData[ExtendedPrice], MainData[Date], U295, MainData[Category], "Beverage", MainData[Pricing], "&lt;&gt;"&amp;"*Adjust*", MainData[Pricing], "&lt;&gt;"&amp;"*LY*", MainData[BillTo], IF('YTD Revenue'!$AJ$14="Yes", "Hotel", "999999")) +
   SUMIFS(MainData[ExtendedPrice], MainData[Date], U295, MainData[Category], "Beverage", MainData[Pricing], "&lt;&gt;"&amp;"*Adjust*", MainData[Pricing], "&lt;&gt;"&amp;"*LY*", MainData[BillTo], IF('YTD Revenue'!$AJ$33="Yes", "EPO", "999999")) +
   SUMIFS(MainData[ExtendedPrice], MainData[Date], U295, MainData[Category], "Beverage", MainData[Pricing], "&lt;&gt;"&amp;"*Adjust*", MainData[Pricing], "&lt;&gt;"&amp;"*LY*", MainData[BillTo], IF('YTD Revenue'!$AJ$52="Yes", "Group", "999999")) -
   SUMIFS(MainData[ExtendedPrice], MainData[Date], U295,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5" s="175">
        <f t="shared" si="18"/>
        <v>9483.0649576271171</v>
      </c>
      <c r="X295" s="175">
        <f t="shared" si="19"/>
        <v>73045.8</v>
      </c>
    </row>
    <row r="296" spans="21:24" x14ac:dyDescent="0.25">
      <c r="U296" s="183">
        <f t="shared" si="20"/>
        <v>44855</v>
      </c>
      <c r="V296" s="18">
        <f xml:space="preserve"> SUMIFS(MainData[ExtendedPrice], MainData[Date], U296, MainData[Category], "Beverage", MainData[Pricing], "&lt;&gt;"&amp;"*Adjust*", MainData[Pricing], "&lt;&gt;"&amp;"*LY*", MainData[BillTo], IF('YTD Revenue'!$AJ$14="Yes", "Hotel", "999999")) +
   SUMIFS(MainData[ExtendedPrice], MainData[Date], U296, MainData[Category], "Beverage", MainData[Pricing], "&lt;&gt;"&amp;"*Adjust*", MainData[Pricing], "&lt;&gt;"&amp;"*LY*", MainData[BillTo], IF('YTD Revenue'!$AJ$33="Yes", "EPO", "999999")) +
   SUMIFS(MainData[ExtendedPrice], MainData[Date], U296, MainData[Category], "Beverage", MainData[Pricing], "&lt;&gt;"&amp;"*Adjust*", MainData[Pricing], "&lt;&gt;"&amp;"*LY*", MainData[BillTo], IF('YTD Revenue'!$AJ$52="Yes", "Group", "999999")) -
   SUMIFS(MainData[ExtendedPrice], MainData[Date], U296,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6" s="175">
        <f t="shared" si="18"/>
        <v>9483.0649576271171</v>
      </c>
      <c r="X296" s="175">
        <f t="shared" si="19"/>
        <v>73045.8</v>
      </c>
    </row>
    <row r="297" spans="21:24" x14ac:dyDescent="0.25">
      <c r="U297" s="183">
        <f t="shared" si="20"/>
        <v>44856</v>
      </c>
      <c r="V297" s="18">
        <f xml:space="preserve"> SUMIFS(MainData[ExtendedPrice], MainData[Date], U297, MainData[Category], "Beverage", MainData[Pricing], "&lt;&gt;"&amp;"*Adjust*", MainData[Pricing], "&lt;&gt;"&amp;"*LY*", MainData[BillTo], IF('YTD Revenue'!$AJ$14="Yes", "Hotel", "999999")) +
   SUMIFS(MainData[ExtendedPrice], MainData[Date], U297, MainData[Category], "Beverage", MainData[Pricing], "&lt;&gt;"&amp;"*Adjust*", MainData[Pricing], "&lt;&gt;"&amp;"*LY*", MainData[BillTo], IF('YTD Revenue'!$AJ$33="Yes", "EPO", "999999")) +
   SUMIFS(MainData[ExtendedPrice], MainData[Date], U297, MainData[Category], "Beverage", MainData[Pricing], "&lt;&gt;"&amp;"*Adjust*", MainData[Pricing], "&lt;&gt;"&amp;"*LY*", MainData[BillTo], IF('YTD Revenue'!$AJ$52="Yes", "Group", "999999")) -
   SUMIFS(MainData[ExtendedPrice], MainData[Date], U297,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7" s="175">
        <f t="shared" si="18"/>
        <v>9483.0649576271171</v>
      </c>
      <c r="X297" s="175">
        <f t="shared" si="19"/>
        <v>73045.8</v>
      </c>
    </row>
    <row r="298" spans="21:24" x14ac:dyDescent="0.25">
      <c r="U298" s="183">
        <f t="shared" si="20"/>
        <v>44857</v>
      </c>
      <c r="V298" s="18">
        <f xml:space="preserve"> SUMIFS(MainData[ExtendedPrice], MainData[Date], U298, MainData[Category], "Beverage", MainData[Pricing], "&lt;&gt;"&amp;"*Adjust*", MainData[Pricing], "&lt;&gt;"&amp;"*LY*", MainData[BillTo], IF('YTD Revenue'!$AJ$14="Yes", "Hotel", "999999")) +
   SUMIFS(MainData[ExtendedPrice], MainData[Date], U298, MainData[Category], "Beverage", MainData[Pricing], "&lt;&gt;"&amp;"*Adjust*", MainData[Pricing], "&lt;&gt;"&amp;"*LY*", MainData[BillTo], IF('YTD Revenue'!$AJ$33="Yes", "EPO", "999999")) +
   SUMIFS(MainData[ExtendedPrice], MainData[Date], U298, MainData[Category], "Beverage", MainData[Pricing], "&lt;&gt;"&amp;"*Adjust*", MainData[Pricing], "&lt;&gt;"&amp;"*LY*", MainData[BillTo], IF('YTD Revenue'!$AJ$52="Yes", "Group", "999999")) -
   SUMIFS(MainData[ExtendedPrice], MainData[Date], U298,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8" s="175">
        <f t="shared" si="18"/>
        <v>9483.0649576271171</v>
      </c>
      <c r="X298" s="175">
        <f t="shared" si="19"/>
        <v>73045.8</v>
      </c>
    </row>
    <row r="299" spans="21:24" x14ac:dyDescent="0.25">
      <c r="U299" s="183">
        <f t="shared" si="20"/>
        <v>44858</v>
      </c>
      <c r="V299" s="18">
        <f xml:space="preserve"> SUMIFS(MainData[ExtendedPrice], MainData[Date], U299, MainData[Category], "Beverage", MainData[Pricing], "&lt;&gt;"&amp;"*Adjust*", MainData[Pricing], "&lt;&gt;"&amp;"*LY*", MainData[BillTo], IF('YTD Revenue'!$AJ$14="Yes", "Hotel", "999999")) +
   SUMIFS(MainData[ExtendedPrice], MainData[Date], U299, MainData[Category], "Beverage", MainData[Pricing], "&lt;&gt;"&amp;"*Adjust*", MainData[Pricing], "&lt;&gt;"&amp;"*LY*", MainData[BillTo], IF('YTD Revenue'!$AJ$33="Yes", "EPO", "999999")) +
   SUMIFS(MainData[ExtendedPrice], MainData[Date], U299, MainData[Category], "Beverage", MainData[Pricing], "&lt;&gt;"&amp;"*Adjust*", MainData[Pricing], "&lt;&gt;"&amp;"*LY*", MainData[BillTo], IF('YTD Revenue'!$AJ$52="Yes", "Group", "999999")) -
   SUMIFS(MainData[ExtendedPrice], MainData[Date], U299,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9" s="175">
        <f t="shared" si="18"/>
        <v>9483.0649576271171</v>
      </c>
      <c r="X299" s="175">
        <f t="shared" si="19"/>
        <v>73045.8</v>
      </c>
    </row>
    <row r="300" spans="21:24" x14ac:dyDescent="0.25">
      <c r="U300" s="183">
        <f t="shared" si="20"/>
        <v>44859</v>
      </c>
      <c r="V300" s="18">
        <f xml:space="preserve"> SUMIFS(MainData[ExtendedPrice], MainData[Date], U300, MainData[Category], "Beverage", MainData[Pricing], "&lt;&gt;"&amp;"*Adjust*", MainData[Pricing], "&lt;&gt;"&amp;"*LY*", MainData[BillTo], IF('YTD Revenue'!$AJ$14="Yes", "Hotel", "999999")) +
   SUMIFS(MainData[ExtendedPrice], MainData[Date], U300, MainData[Category], "Beverage", MainData[Pricing], "&lt;&gt;"&amp;"*Adjust*", MainData[Pricing], "&lt;&gt;"&amp;"*LY*", MainData[BillTo], IF('YTD Revenue'!$AJ$33="Yes", "EPO", "999999")) +
   SUMIFS(MainData[ExtendedPrice], MainData[Date], U300, MainData[Category], "Beverage", MainData[Pricing], "&lt;&gt;"&amp;"*Adjust*", MainData[Pricing], "&lt;&gt;"&amp;"*LY*", MainData[BillTo], IF('YTD Revenue'!$AJ$52="Yes", "Group", "999999")) -
   SUMIFS(MainData[ExtendedPrice], MainData[Date], U300,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0" s="175">
        <f t="shared" si="18"/>
        <v>9483.0649576271171</v>
      </c>
      <c r="X300" s="175">
        <f t="shared" si="19"/>
        <v>73045.8</v>
      </c>
    </row>
    <row r="301" spans="21:24" x14ac:dyDescent="0.25">
      <c r="U301" s="183">
        <f t="shared" si="20"/>
        <v>44860</v>
      </c>
      <c r="V301" s="18">
        <f xml:space="preserve"> SUMIFS(MainData[ExtendedPrice], MainData[Date], U301, MainData[Category], "Beverage", MainData[Pricing], "&lt;&gt;"&amp;"*Adjust*", MainData[Pricing], "&lt;&gt;"&amp;"*LY*", MainData[BillTo], IF('YTD Revenue'!$AJ$14="Yes", "Hotel", "999999")) +
   SUMIFS(MainData[ExtendedPrice], MainData[Date], U301, MainData[Category], "Beverage", MainData[Pricing], "&lt;&gt;"&amp;"*Adjust*", MainData[Pricing], "&lt;&gt;"&amp;"*LY*", MainData[BillTo], IF('YTD Revenue'!$AJ$33="Yes", "EPO", "999999")) +
   SUMIFS(MainData[ExtendedPrice], MainData[Date], U301, MainData[Category], "Beverage", MainData[Pricing], "&lt;&gt;"&amp;"*Adjust*", MainData[Pricing], "&lt;&gt;"&amp;"*LY*", MainData[BillTo], IF('YTD Revenue'!$AJ$52="Yes", "Group", "999999")) -
   SUMIFS(MainData[ExtendedPrice], MainData[Date], U301,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1" s="175">
        <f t="shared" si="18"/>
        <v>9483.0649576271171</v>
      </c>
      <c r="X301" s="175">
        <f t="shared" si="19"/>
        <v>73045.8</v>
      </c>
    </row>
    <row r="302" spans="21:24" x14ac:dyDescent="0.25">
      <c r="U302" s="183">
        <f t="shared" si="20"/>
        <v>44861</v>
      </c>
      <c r="V302" s="18">
        <f xml:space="preserve"> SUMIFS(MainData[ExtendedPrice], MainData[Date], U302, MainData[Category], "Beverage", MainData[Pricing], "&lt;&gt;"&amp;"*Adjust*", MainData[Pricing], "&lt;&gt;"&amp;"*LY*", MainData[BillTo], IF('YTD Revenue'!$AJ$14="Yes", "Hotel", "999999")) +
   SUMIFS(MainData[ExtendedPrice], MainData[Date], U302, MainData[Category], "Beverage", MainData[Pricing], "&lt;&gt;"&amp;"*Adjust*", MainData[Pricing], "&lt;&gt;"&amp;"*LY*", MainData[BillTo], IF('YTD Revenue'!$AJ$33="Yes", "EPO", "999999")) +
   SUMIFS(MainData[ExtendedPrice], MainData[Date], U302, MainData[Category], "Beverage", MainData[Pricing], "&lt;&gt;"&amp;"*Adjust*", MainData[Pricing], "&lt;&gt;"&amp;"*LY*", MainData[BillTo], IF('YTD Revenue'!$AJ$52="Yes", "Group", "999999")) -
   SUMIFS(MainData[ExtendedPrice], MainData[Date], U302,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2" s="175">
        <f t="shared" si="18"/>
        <v>9483.0649576271171</v>
      </c>
      <c r="X302" s="175">
        <f t="shared" si="19"/>
        <v>73045.8</v>
      </c>
    </row>
    <row r="303" spans="21:24" x14ac:dyDescent="0.25">
      <c r="U303" s="183">
        <f t="shared" si="20"/>
        <v>44862</v>
      </c>
      <c r="V303" s="18">
        <f xml:space="preserve"> SUMIFS(MainData[ExtendedPrice], MainData[Date], U303, MainData[Category], "Beverage", MainData[Pricing], "&lt;&gt;"&amp;"*Adjust*", MainData[Pricing], "&lt;&gt;"&amp;"*LY*", MainData[BillTo], IF('YTD Revenue'!$AJ$14="Yes", "Hotel", "999999")) +
   SUMIFS(MainData[ExtendedPrice], MainData[Date], U303, MainData[Category], "Beverage", MainData[Pricing], "&lt;&gt;"&amp;"*Adjust*", MainData[Pricing], "&lt;&gt;"&amp;"*LY*", MainData[BillTo], IF('YTD Revenue'!$AJ$33="Yes", "EPO", "999999")) +
   SUMIFS(MainData[ExtendedPrice], MainData[Date], U303, MainData[Category], "Beverage", MainData[Pricing], "&lt;&gt;"&amp;"*Adjust*", MainData[Pricing], "&lt;&gt;"&amp;"*LY*", MainData[BillTo], IF('YTD Revenue'!$AJ$52="Yes", "Group", "999999")) -
   SUMIFS(MainData[ExtendedPrice], MainData[Date], U303,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3" s="175">
        <f t="shared" si="18"/>
        <v>9483.0649576271171</v>
      </c>
      <c r="X303" s="175">
        <f t="shared" si="19"/>
        <v>73045.8</v>
      </c>
    </row>
    <row r="304" spans="21:24" x14ac:dyDescent="0.25">
      <c r="U304" s="183">
        <f t="shared" si="20"/>
        <v>44863</v>
      </c>
      <c r="V304" s="18">
        <f xml:space="preserve"> SUMIFS(MainData[ExtendedPrice], MainData[Date], U304, MainData[Category], "Beverage", MainData[Pricing], "&lt;&gt;"&amp;"*Adjust*", MainData[Pricing], "&lt;&gt;"&amp;"*LY*", MainData[BillTo], IF('YTD Revenue'!$AJ$14="Yes", "Hotel", "999999")) +
   SUMIFS(MainData[ExtendedPrice], MainData[Date], U304, MainData[Category], "Beverage", MainData[Pricing], "&lt;&gt;"&amp;"*Adjust*", MainData[Pricing], "&lt;&gt;"&amp;"*LY*", MainData[BillTo], IF('YTD Revenue'!$AJ$33="Yes", "EPO", "999999")) +
   SUMIFS(MainData[ExtendedPrice], MainData[Date], U304, MainData[Category], "Beverage", MainData[Pricing], "&lt;&gt;"&amp;"*Adjust*", MainData[Pricing], "&lt;&gt;"&amp;"*LY*", MainData[BillTo], IF('YTD Revenue'!$AJ$52="Yes", "Group", "999999")) -
   SUMIFS(MainData[ExtendedPrice], MainData[Date], U304,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4" s="175">
        <f t="shared" si="18"/>
        <v>9483.0649576271171</v>
      </c>
      <c r="X304" s="175">
        <f t="shared" si="19"/>
        <v>73045.8</v>
      </c>
    </row>
    <row r="305" spans="21:24" x14ac:dyDescent="0.25">
      <c r="U305" s="183">
        <f t="shared" si="20"/>
        <v>44864</v>
      </c>
      <c r="V305" s="18">
        <f xml:space="preserve"> SUMIFS(MainData[ExtendedPrice], MainData[Date], U305, MainData[Category], "Beverage", MainData[Pricing], "&lt;&gt;"&amp;"*Adjust*", MainData[Pricing], "&lt;&gt;"&amp;"*LY*", MainData[BillTo], IF('YTD Revenue'!$AJ$14="Yes", "Hotel", "999999")) +
   SUMIFS(MainData[ExtendedPrice], MainData[Date], U305, MainData[Category], "Beverage", MainData[Pricing], "&lt;&gt;"&amp;"*Adjust*", MainData[Pricing], "&lt;&gt;"&amp;"*LY*", MainData[BillTo], IF('YTD Revenue'!$AJ$33="Yes", "EPO", "999999")) +
   SUMIFS(MainData[ExtendedPrice], MainData[Date], U305, MainData[Category], "Beverage", MainData[Pricing], "&lt;&gt;"&amp;"*Adjust*", MainData[Pricing], "&lt;&gt;"&amp;"*LY*", MainData[BillTo], IF('YTD Revenue'!$AJ$52="Yes", "Group", "999999")) -
   SUMIFS(MainData[ExtendedPrice], MainData[Date], U305,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5" s="175">
        <f t="shared" si="18"/>
        <v>9483.0649576271171</v>
      </c>
      <c r="X305" s="175">
        <f t="shared" si="19"/>
        <v>73045.8</v>
      </c>
    </row>
    <row r="306" spans="21:24" x14ac:dyDescent="0.25">
      <c r="U306" s="183">
        <f t="shared" si="20"/>
        <v>44865</v>
      </c>
      <c r="V306" s="18">
        <f xml:space="preserve"> SUMIFS(MainData[ExtendedPrice], MainData[Date], U306, MainData[Category], "Beverage", MainData[Pricing], "&lt;&gt;"&amp;"*Adjust*", MainData[Pricing], "&lt;&gt;"&amp;"*LY*", MainData[BillTo], IF('YTD Revenue'!$AJ$14="Yes", "Hotel", "999999")) +
   SUMIFS(MainData[ExtendedPrice], MainData[Date], U306, MainData[Category], "Beverage", MainData[Pricing], "&lt;&gt;"&amp;"*Adjust*", MainData[Pricing], "&lt;&gt;"&amp;"*LY*", MainData[BillTo], IF('YTD Revenue'!$AJ$33="Yes", "EPO", "999999")) +
   SUMIFS(MainData[ExtendedPrice], MainData[Date], U306, MainData[Category], "Beverage", MainData[Pricing], "&lt;&gt;"&amp;"*Adjust*", MainData[Pricing], "&lt;&gt;"&amp;"*LY*", MainData[BillTo], IF('YTD Revenue'!$AJ$52="Yes", "Group", "999999")) -
   SUMIFS(MainData[ExtendedPrice], MainData[Date], U306,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6" s="175">
        <f t="shared" si="18"/>
        <v>9483.0649576271171</v>
      </c>
      <c r="X306" s="175">
        <f t="shared" si="19"/>
        <v>73045.8</v>
      </c>
    </row>
    <row r="307" spans="21:24" x14ac:dyDescent="0.25">
      <c r="U307" s="183">
        <f t="shared" si="20"/>
        <v>44866</v>
      </c>
      <c r="V307" s="18">
        <f xml:space="preserve"> SUMIFS(MainData[ExtendedPrice], MainData[Date], U307, MainData[Category], "Beverage", MainData[Pricing], "&lt;&gt;"&amp;"*Adjust*", MainData[Pricing], "&lt;&gt;"&amp;"*LY*", MainData[BillTo], IF('YTD Revenue'!$AJ$14="Yes", "Hotel", "999999")) +
   SUMIFS(MainData[ExtendedPrice], MainData[Date], U307, MainData[Category], "Beverage", MainData[Pricing], "&lt;&gt;"&amp;"*Adjust*", MainData[Pricing], "&lt;&gt;"&amp;"*LY*", MainData[BillTo], IF('YTD Revenue'!$AJ$33="Yes", "EPO", "999999")) +
   SUMIFS(MainData[ExtendedPrice], MainData[Date], U307, MainData[Category], "Beverage", MainData[Pricing], "&lt;&gt;"&amp;"*Adjust*", MainData[Pricing], "&lt;&gt;"&amp;"*LY*", MainData[BillTo], IF('YTD Revenue'!$AJ$52="Yes", "Group", "999999")) -
   SUMIFS(MainData[ExtendedPrice], MainData[Date], U307,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7" s="175">
        <f t="shared" si="18"/>
        <v>9483.0649576271171</v>
      </c>
      <c r="X307" s="175">
        <f t="shared" si="19"/>
        <v>73045.8</v>
      </c>
    </row>
    <row r="308" spans="21:24" x14ac:dyDescent="0.25">
      <c r="U308" s="183">
        <f t="shared" si="20"/>
        <v>44867</v>
      </c>
      <c r="V308" s="18">
        <f xml:space="preserve"> SUMIFS(MainData[ExtendedPrice], MainData[Date], U308, MainData[Category], "Beverage", MainData[Pricing], "&lt;&gt;"&amp;"*Adjust*", MainData[Pricing], "&lt;&gt;"&amp;"*LY*", MainData[BillTo], IF('YTD Revenue'!$AJ$14="Yes", "Hotel", "999999")) +
   SUMIFS(MainData[ExtendedPrice], MainData[Date], U308, MainData[Category], "Beverage", MainData[Pricing], "&lt;&gt;"&amp;"*Adjust*", MainData[Pricing], "&lt;&gt;"&amp;"*LY*", MainData[BillTo], IF('YTD Revenue'!$AJ$33="Yes", "EPO", "999999")) +
   SUMIFS(MainData[ExtendedPrice], MainData[Date], U308, MainData[Category], "Beverage", MainData[Pricing], "&lt;&gt;"&amp;"*Adjust*", MainData[Pricing], "&lt;&gt;"&amp;"*LY*", MainData[BillTo], IF('YTD Revenue'!$AJ$52="Yes", "Group", "999999")) -
   SUMIFS(MainData[ExtendedPrice], MainData[Date], U308,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8" s="175">
        <f t="shared" si="18"/>
        <v>9483.0649576271171</v>
      </c>
      <c r="X308" s="175">
        <f t="shared" si="19"/>
        <v>73045.8</v>
      </c>
    </row>
    <row r="309" spans="21:24" x14ac:dyDescent="0.25">
      <c r="U309" s="183">
        <f t="shared" si="20"/>
        <v>44868</v>
      </c>
      <c r="V309" s="18">
        <f xml:space="preserve"> SUMIFS(MainData[ExtendedPrice], MainData[Date], U309, MainData[Category], "Beverage", MainData[Pricing], "&lt;&gt;"&amp;"*Adjust*", MainData[Pricing], "&lt;&gt;"&amp;"*LY*", MainData[BillTo], IF('YTD Revenue'!$AJ$14="Yes", "Hotel", "999999")) +
   SUMIFS(MainData[ExtendedPrice], MainData[Date], U309, MainData[Category], "Beverage", MainData[Pricing], "&lt;&gt;"&amp;"*Adjust*", MainData[Pricing], "&lt;&gt;"&amp;"*LY*", MainData[BillTo], IF('YTD Revenue'!$AJ$33="Yes", "EPO", "999999")) +
   SUMIFS(MainData[ExtendedPrice], MainData[Date], U309, MainData[Category], "Beverage", MainData[Pricing], "&lt;&gt;"&amp;"*Adjust*", MainData[Pricing], "&lt;&gt;"&amp;"*LY*", MainData[BillTo], IF('YTD Revenue'!$AJ$52="Yes", "Group", "999999")) -
   SUMIFS(MainData[ExtendedPrice], MainData[Date], U309,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9" s="175">
        <f t="shared" si="18"/>
        <v>9483.0649576271171</v>
      </c>
      <c r="X309" s="175">
        <f t="shared" si="19"/>
        <v>73045.8</v>
      </c>
    </row>
    <row r="310" spans="21:24" x14ac:dyDescent="0.25">
      <c r="U310" s="183">
        <f t="shared" si="20"/>
        <v>44869</v>
      </c>
      <c r="V310" s="18">
        <f xml:space="preserve"> SUMIFS(MainData[ExtendedPrice], MainData[Date], U310, MainData[Category], "Beverage", MainData[Pricing], "&lt;&gt;"&amp;"*Adjust*", MainData[Pricing], "&lt;&gt;"&amp;"*LY*", MainData[BillTo], IF('YTD Revenue'!$AJ$14="Yes", "Hotel", "999999")) +
   SUMIFS(MainData[ExtendedPrice], MainData[Date], U310, MainData[Category], "Beverage", MainData[Pricing], "&lt;&gt;"&amp;"*Adjust*", MainData[Pricing], "&lt;&gt;"&amp;"*LY*", MainData[BillTo], IF('YTD Revenue'!$AJ$33="Yes", "EPO", "999999")) +
   SUMIFS(MainData[ExtendedPrice], MainData[Date], U310, MainData[Category], "Beverage", MainData[Pricing], "&lt;&gt;"&amp;"*Adjust*", MainData[Pricing], "&lt;&gt;"&amp;"*LY*", MainData[BillTo], IF('YTD Revenue'!$AJ$52="Yes", "Group", "999999")) -
   SUMIFS(MainData[ExtendedPrice], MainData[Date], U310,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0" s="175">
        <f t="shared" si="18"/>
        <v>9483.0649576271171</v>
      </c>
      <c r="X310" s="175">
        <f t="shared" si="19"/>
        <v>73045.8</v>
      </c>
    </row>
    <row r="311" spans="21:24" x14ac:dyDescent="0.25">
      <c r="U311" s="183">
        <f t="shared" si="20"/>
        <v>44870</v>
      </c>
      <c r="V311" s="18">
        <f xml:space="preserve"> SUMIFS(MainData[ExtendedPrice], MainData[Date], U311, MainData[Category], "Beverage", MainData[Pricing], "&lt;&gt;"&amp;"*Adjust*", MainData[Pricing], "&lt;&gt;"&amp;"*LY*", MainData[BillTo], IF('YTD Revenue'!$AJ$14="Yes", "Hotel", "999999")) +
   SUMIFS(MainData[ExtendedPrice], MainData[Date], U311, MainData[Category], "Beverage", MainData[Pricing], "&lt;&gt;"&amp;"*Adjust*", MainData[Pricing], "&lt;&gt;"&amp;"*LY*", MainData[BillTo], IF('YTD Revenue'!$AJ$33="Yes", "EPO", "999999")) +
   SUMIFS(MainData[ExtendedPrice], MainData[Date], U311, MainData[Category], "Beverage", MainData[Pricing], "&lt;&gt;"&amp;"*Adjust*", MainData[Pricing], "&lt;&gt;"&amp;"*LY*", MainData[BillTo], IF('YTD Revenue'!$AJ$52="Yes", "Group", "999999")) -
   SUMIFS(MainData[ExtendedPrice], MainData[Date], U311,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1" s="175">
        <f t="shared" si="18"/>
        <v>9483.0649576271171</v>
      </c>
      <c r="X311" s="175">
        <f t="shared" si="19"/>
        <v>73045.8</v>
      </c>
    </row>
    <row r="312" spans="21:24" x14ac:dyDescent="0.25">
      <c r="U312" s="183">
        <f t="shared" si="20"/>
        <v>44871</v>
      </c>
      <c r="V312" s="18">
        <f xml:space="preserve"> SUMIFS(MainData[ExtendedPrice], MainData[Date], U312, MainData[Category], "Beverage", MainData[Pricing], "&lt;&gt;"&amp;"*Adjust*", MainData[Pricing], "&lt;&gt;"&amp;"*LY*", MainData[BillTo], IF('YTD Revenue'!$AJ$14="Yes", "Hotel", "999999")) +
   SUMIFS(MainData[ExtendedPrice], MainData[Date], U312, MainData[Category], "Beverage", MainData[Pricing], "&lt;&gt;"&amp;"*Adjust*", MainData[Pricing], "&lt;&gt;"&amp;"*LY*", MainData[BillTo], IF('YTD Revenue'!$AJ$33="Yes", "EPO", "999999")) +
   SUMIFS(MainData[ExtendedPrice], MainData[Date], U312, MainData[Category], "Beverage", MainData[Pricing], "&lt;&gt;"&amp;"*Adjust*", MainData[Pricing], "&lt;&gt;"&amp;"*LY*", MainData[BillTo], IF('YTD Revenue'!$AJ$52="Yes", "Group", "999999")) -
   SUMIFS(MainData[ExtendedPrice], MainData[Date], U312,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2" s="175">
        <f t="shared" si="18"/>
        <v>9483.0649576271171</v>
      </c>
      <c r="X312" s="175">
        <f t="shared" si="19"/>
        <v>73045.8</v>
      </c>
    </row>
    <row r="313" spans="21:24" x14ac:dyDescent="0.25">
      <c r="U313" s="183">
        <f t="shared" si="20"/>
        <v>44872</v>
      </c>
      <c r="V313" s="18">
        <f xml:space="preserve"> SUMIFS(MainData[ExtendedPrice], MainData[Date], U313, MainData[Category], "Beverage", MainData[Pricing], "&lt;&gt;"&amp;"*Adjust*", MainData[Pricing], "&lt;&gt;"&amp;"*LY*", MainData[BillTo], IF('YTD Revenue'!$AJ$14="Yes", "Hotel", "999999")) +
   SUMIFS(MainData[ExtendedPrice], MainData[Date], U313, MainData[Category], "Beverage", MainData[Pricing], "&lt;&gt;"&amp;"*Adjust*", MainData[Pricing], "&lt;&gt;"&amp;"*LY*", MainData[BillTo], IF('YTD Revenue'!$AJ$33="Yes", "EPO", "999999")) +
   SUMIFS(MainData[ExtendedPrice], MainData[Date], U313, MainData[Category], "Beverage", MainData[Pricing], "&lt;&gt;"&amp;"*Adjust*", MainData[Pricing], "&lt;&gt;"&amp;"*LY*", MainData[BillTo], IF('YTD Revenue'!$AJ$52="Yes", "Group", "999999")) -
   SUMIFS(MainData[ExtendedPrice], MainData[Date], U313,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3" s="175">
        <f t="shared" si="18"/>
        <v>9483.0649576271171</v>
      </c>
      <c r="X313" s="175">
        <f t="shared" si="19"/>
        <v>73045.8</v>
      </c>
    </row>
    <row r="314" spans="21:24" x14ac:dyDescent="0.25">
      <c r="U314" s="183">
        <f t="shared" si="20"/>
        <v>44873</v>
      </c>
      <c r="V314" s="18">
        <f xml:space="preserve"> SUMIFS(MainData[ExtendedPrice], MainData[Date], U314, MainData[Category], "Beverage", MainData[Pricing], "&lt;&gt;"&amp;"*Adjust*", MainData[Pricing], "&lt;&gt;"&amp;"*LY*", MainData[BillTo], IF('YTD Revenue'!$AJ$14="Yes", "Hotel", "999999")) +
   SUMIFS(MainData[ExtendedPrice], MainData[Date], U314, MainData[Category], "Beverage", MainData[Pricing], "&lt;&gt;"&amp;"*Adjust*", MainData[Pricing], "&lt;&gt;"&amp;"*LY*", MainData[BillTo], IF('YTD Revenue'!$AJ$33="Yes", "EPO", "999999")) +
   SUMIFS(MainData[ExtendedPrice], MainData[Date], U314, MainData[Category], "Beverage", MainData[Pricing], "&lt;&gt;"&amp;"*Adjust*", MainData[Pricing], "&lt;&gt;"&amp;"*LY*", MainData[BillTo], IF('YTD Revenue'!$AJ$52="Yes", "Group", "999999")) -
   SUMIFS(MainData[ExtendedPrice], MainData[Date], U314,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4" s="175">
        <f t="shared" si="18"/>
        <v>9483.0649576271171</v>
      </c>
      <c r="X314" s="175">
        <f t="shared" si="19"/>
        <v>73045.8</v>
      </c>
    </row>
    <row r="315" spans="21:24" x14ac:dyDescent="0.25">
      <c r="U315" s="183">
        <f t="shared" si="20"/>
        <v>44874</v>
      </c>
      <c r="V315" s="18">
        <f xml:space="preserve"> SUMIFS(MainData[ExtendedPrice], MainData[Date], U315, MainData[Category], "Beverage", MainData[Pricing], "&lt;&gt;"&amp;"*Adjust*", MainData[Pricing], "&lt;&gt;"&amp;"*LY*", MainData[BillTo], IF('YTD Revenue'!$AJ$14="Yes", "Hotel", "999999")) +
   SUMIFS(MainData[ExtendedPrice], MainData[Date], U315, MainData[Category], "Beverage", MainData[Pricing], "&lt;&gt;"&amp;"*Adjust*", MainData[Pricing], "&lt;&gt;"&amp;"*LY*", MainData[BillTo], IF('YTD Revenue'!$AJ$33="Yes", "EPO", "999999")) +
   SUMIFS(MainData[ExtendedPrice], MainData[Date], U315, MainData[Category], "Beverage", MainData[Pricing], "&lt;&gt;"&amp;"*Adjust*", MainData[Pricing], "&lt;&gt;"&amp;"*LY*", MainData[BillTo], IF('YTD Revenue'!$AJ$52="Yes", "Group", "999999")) -
   SUMIFS(MainData[ExtendedPrice], MainData[Date], U315,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5" s="175">
        <f t="shared" si="18"/>
        <v>9483.0649576271171</v>
      </c>
      <c r="X315" s="175">
        <f t="shared" si="19"/>
        <v>73045.8</v>
      </c>
    </row>
    <row r="316" spans="21:24" x14ac:dyDescent="0.25">
      <c r="U316" s="183">
        <f t="shared" si="20"/>
        <v>44875</v>
      </c>
      <c r="V316" s="18">
        <f xml:space="preserve"> SUMIFS(MainData[ExtendedPrice], MainData[Date], U316, MainData[Category], "Beverage", MainData[Pricing], "&lt;&gt;"&amp;"*Adjust*", MainData[Pricing], "&lt;&gt;"&amp;"*LY*", MainData[BillTo], IF('YTD Revenue'!$AJ$14="Yes", "Hotel", "999999")) +
   SUMIFS(MainData[ExtendedPrice], MainData[Date], U316, MainData[Category], "Beverage", MainData[Pricing], "&lt;&gt;"&amp;"*Adjust*", MainData[Pricing], "&lt;&gt;"&amp;"*LY*", MainData[BillTo], IF('YTD Revenue'!$AJ$33="Yes", "EPO", "999999")) +
   SUMIFS(MainData[ExtendedPrice], MainData[Date], U316, MainData[Category], "Beverage", MainData[Pricing], "&lt;&gt;"&amp;"*Adjust*", MainData[Pricing], "&lt;&gt;"&amp;"*LY*", MainData[BillTo], IF('YTD Revenue'!$AJ$52="Yes", "Group", "999999")) -
   SUMIFS(MainData[ExtendedPrice], MainData[Date], U316,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6" s="175">
        <f t="shared" si="18"/>
        <v>9483.0649576271171</v>
      </c>
      <c r="X316" s="175">
        <f t="shared" si="19"/>
        <v>73045.8</v>
      </c>
    </row>
    <row r="317" spans="21:24" x14ac:dyDescent="0.25">
      <c r="U317" s="183">
        <f t="shared" si="20"/>
        <v>44876</v>
      </c>
      <c r="V317" s="18">
        <f xml:space="preserve"> SUMIFS(MainData[ExtendedPrice], MainData[Date], U317, MainData[Category], "Beverage", MainData[Pricing], "&lt;&gt;"&amp;"*Adjust*", MainData[Pricing], "&lt;&gt;"&amp;"*LY*", MainData[BillTo], IF('YTD Revenue'!$AJ$14="Yes", "Hotel", "999999")) +
   SUMIFS(MainData[ExtendedPrice], MainData[Date], U317, MainData[Category], "Beverage", MainData[Pricing], "&lt;&gt;"&amp;"*Adjust*", MainData[Pricing], "&lt;&gt;"&amp;"*LY*", MainData[BillTo], IF('YTD Revenue'!$AJ$33="Yes", "EPO", "999999")) +
   SUMIFS(MainData[ExtendedPrice], MainData[Date], U317, MainData[Category], "Beverage", MainData[Pricing], "&lt;&gt;"&amp;"*Adjust*", MainData[Pricing], "&lt;&gt;"&amp;"*LY*", MainData[BillTo], IF('YTD Revenue'!$AJ$52="Yes", "Group", "999999")) -
   SUMIFS(MainData[ExtendedPrice], MainData[Date], U317,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7" s="175">
        <f t="shared" si="18"/>
        <v>9483.0649576271171</v>
      </c>
      <c r="X317" s="175">
        <f t="shared" si="19"/>
        <v>73045.8</v>
      </c>
    </row>
    <row r="318" spans="21:24" x14ac:dyDescent="0.25">
      <c r="U318" s="183">
        <f t="shared" si="20"/>
        <v>44877</v>
      </c>
      <c r="V318" s="18">
        <f xml:space="preserve"> SUMIFS(MainData[ExtendedPrice], MainData[Date], U318, MainData[Category], "Beverage", MainData[Pricing], "&lt;&gt;"&amp;"*Adjust*", MainData[Pricing], "&lt;&gt;"&amp;"*LY*", MainData[BillTo], IF('YTD Revenue'!$AJ$14="Yes", "Hotel", "999999")) +
   SUMIFS(MainData[ExtendedPrice], MainData[Date], U318, MainData[Category], "Beverage", MainData[Pricing], "&lt;&gt;"&amp;"*Adjust*", MainData[Pricing], "&lt;&gt;"&amp;"*LY*", MainData[BillTo], IF('YTD Revenue'!$AJ$33="Yes", "EPO", "999999")) +
   SUMIFS(MainData[ExtendedPrice], MainData[Date], U318, MainData[Category], "Beverage", MainData[Pricing], "&lt;&gt;"&amp;"*Adjust*", MainData[Pricing], "&lt;&gt;"&amp;"*LY*", MainData[BillTo], IF('YTD Revenue'!$AJ$52="Yes", "Group", "999999")) -
   SUMIFS(MainData[ExtendedPrice], MainData[Date], U318,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8" s="175">
        <f t="shared" si="18"/>
        <v>9483.0649576271171</v>
      </c>
      <c r="X318" s="175">
        <f t="shared" si="19"/>
        <v>73045.8</v>
      </c>
    </row>
    <row r="319" spans="21:24" x14ac:dyDescent="0.25">
      <c r="U319" s="183">
        <f t="shared" si="20"/>
        <v>44878</v>
      </c>
      <c r="V319" s="18">
        <f xml:space="preserve"> SUMIFS(MainData[ExtendedPrice], MainData[Date], U319, MainData[Category], "Beverage", MainData[Pricing], "&lt;&gt;"&amp;"*Adjust*", MainData[Pricing], "&lt;&gt;"&amp;"*LY*", MainData[BillTo], IF('YTD Revenue'!$AJ$14="Yes", "Hotel", "999999")) +
   SUMIFS(MainData[ExtendedPrice], MainData[Date], U319, MainData[Category], "Beverage", MainData[Pricing], "&lt;&gt;"&amp;"*Adjust*", MainData[Pricing], "&lt;&gt;"&amp;"*LY*", MainData[BillTo], IF('YTD Revenue'!$AJ$33="Yes", "EPO", "999999")) +
   SUMIFS(MainData[ExtendedPrice], MainData[Date], U319, MainData[Category], "Beverage", MainData[Pricing], "&lt;&gt;"&amp;"*Adjust*", MainData[Pricing], "&lt;&gt;"&amp;"*LY*", MainData[BillTo], IF('YTD Revenue'!$AJ$52="Yes", "Group", "999999")) -
   SUMIFS(MainData[ExtendedPrice], MainData[Date], U319,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9" s="175">
        <f t="shared" si="18"/>
        <v>9483.0649576271171</v>
      </c>
      <c r="X319" s="175">
        <f t="shared" si="19"/>
        <v>73045.8</v>
      </c>
    </row>
    <row r="320" spans="21:24" x14ac:dyDescent="0.25">
      <c r="U320" s="183">
        <f t="shared" si="20"/>
        <v>44879</v>
      </c>
      <c r="V320" s="18">
        <f xml:space="preserve"> SUMIFS(MainData[ExtendedPrice], MainData[Date], U320, MainData[Category], "Beverage", MainData[Pricing], "&lt;&gt;"&amp;"*Adjust*", MainData[Pricing], "&lt;&gt;"&amp;"*LY*", MainData[BillTo], IF('YTD Revenue'!$AJ$14="Yes", "Hotel", "999999")) +
   SUMIFS(MainData[ExtendedPrice], MainData[Date], U320, MainData[Category], "Beverage", MainData[Pricing], "&lt;&gt;"&amp;"*Adjust*", MainData[Pricing], "&lt;&gt;"&amp;"*LY*", MainData[BillTo], IF('YTD Revenue'!$AJ$33="Yes", "EPO", "999999")) +
   SUMIFS(MainData[ExtendedPrice], MainData[Date], U320, MainData[Category], "Beverage", MainData[Pricing], "&lt;&gt;"&amp;"*Adjust*", MainData[Pricing], "&lt;&gt;"&amp;"*LY*", MainData[BillTo], IF('YTD Revenue'!$AJ$52="Yes", "Group", "999999")) -
   SUMIFS(MainData[ExtendedPrice], MainData[Date], U320,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0" s="175">
        <f t="shared" si="18"/>
        <v>9483.0649576271171</v>
      </c>
      <c r="X320" s="175">
        <f t="shared" si="19"/>
        <v>73045.8</v>
      </c>
    </row>
    <row r="321" spans="21:24" x14ac:dyDescent="0.25">
      <c r="U321" s="183">
        <f t="shared" si="20"/>
        <v>44880</v>
      </c>
      <c r="V321" s="18">
        <f xml:space="preserve"> SUMIFS(MainData[ExtendedPrice], MainData[Date], U321, MainData[Category], "Beverage", MainData[Pricing], "&lt;&gt;"&amp;"*Adjust*", MainData[Pricing], "&lt;&gt;"&amp;"*LY*", MainData[BillTo], IF('YTD Revenue'!$AJ$14="Yes", "Hotel", "999999")) +
   SUMIFS(MainData[ExtendedPrice], MainData[Date], U321, MainData[Category], "Beverage", MainData[Pricing], "&lt;&gt;"&amp;"*Adjust*", MainData[Pricing], "&lt;&gt;"&amp;"*LY*", MainData[BillTo], IF('YTD Revenue'!$AJ$33="Yes", "EPO", "999999")) +
   SUMIFS(MainData[ExtendedPrice], MainData[Date], U321, MainData[Category], "Beverage", MainData[Pricing], "&lt;&gt;"&amp;"*Adjust*", MainData[Pricing], "&lt;&gt;"&amp;"*LY*", MainData[BillTo], IF('YTD Revenue'!$AJ$52="Yes", "Group", "999999")) -
   SUMIFS(MainData[ExtendedPrice], MainData[Date], U321,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1" s="175">
        <f t="shared" si="18"/>
        <v>9483.0649576271171</v>
      </c>
      <c r="X321" s="175">
        <f t="shared" si="19"/>
        <v>73045.8</v>
      </c>
    </row>
    <row r="322" spans="21:24" x14ac:dyDescent="0.25">
      <c r="U322" s="183">
        <f t="shared" si="20"/>
        <v>44881</v>
      </c>
      <c r="V322" s="18">
        <f xml:space="preserve"> SUMIFS(MainData[ExtendedPrice], MainData[Date], U322, MainData[Category], "Beverage", MainData[Pricing], "&lt;&gt;"&amp;"*Adjust*", MainData[Pricing], "&lt;&gt;"&amp;"*LY*", MainData[BillTo], IF('YTD Revenue'!$AJ$14="Yes", "Hotel", "999999")) +
   SUMIFS(MainData[ExtendedPrice], MainData[Date], U322, MainData[Category], "Beverage", MainData[Pricing], "&lt;&gt;"&amp;"*Adjust*", MainData[Pricing], "&lt;&gt;"&amp;"*LY*", MainData[BillTo], IF('YTD Revenue'!$AJ$33="Yes", "EPO", "999999")) +
   SUMIFS(MainData[ExtendedPrice], MainData[Date], U322, MainData[Category], "Beverage", MainData[Pricing], "&lt;&gt;"&amp;"*Adjust*", MainData[Pricing], "&lt;&gt;"&amp;"*LY*", MainData[BillTo], IF('YTD Revenue'!$AJ$52="Yes", "Group", "999999")) -
   SUMIFS(MainData[ExtendedPrice], MainData[Date], U322,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2" s="175">
        <f t="shared" si="18"/>
        <v>9483.0649576271171</v>
      </c>
      <c r="X322" s="175">
        <f t="shared" si="19"/>
        <v>73045.8</v>
      </c>
    </row>
    <row r="323" spans="21:24" x14ac:dyDescent="0.25">
      <c r="U323" s="183">
        <f t="shared" si="20"/>
        <v>44882</v>
      </c>
      <c r="V323" s="18">
        <f xml:space="preserve"> SUMIFS(MainData[ExtendedPrice], MainData[Date], U323, MainData[Category], "Beverage", MainData[Pricing], "&lt;&gt;"&amp;"*Adjust*", MainData[Pricing], "&lt;&gt;"&amp;"*LY*", MainData[BillTo], IF('YTD Revenue'!$AJ$14="Yes", "Hotel", "999999")) +
   SUMIFS(MainData[ExtendedPrice], MainData[Date], U323, MainData[Category], "Beverage", MainData[Pricing], "&lt;&gt;"&amp;"*Adjust*", MainData[Pricing], "&lt;&gt;"&amp;"*LY*", MainData[BillTo], IF('YTD Revenue'!$AJ$33="Yes", "EPO", "999999")) +
   SUMIFS(MainData[ExtendedPrice], MainData[Date], U323, MainData[Category], "Beverage", MainData[Pricing], "&lt;&gt;"&amp;"*Adjust*", MainData[Pricing], "&lt;&gt;"&amp;"*LY*", MainData[BillTo], IF('YTD Revenue'!$AJ$52="Yes", "Group", "999999")) -
   SUMIFS(MainData[ExtendedPrice], MainData[Date], U323,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3" s="175">
        <f t="shared" si="18"/>
        <v>9483.0649576271171</v>
      </c>
      <c r="X323" s="175">
        <f t="shared" si="19"/>
        <v>73045.8</v>
      </c>
    </row>
    <row r="324" spans="21:24" x14ac:dyDescent="0.25">
      <c r="U324" s="183">
        <f t="shared" si="20"/>
        <v>44883</v>
      </c>
      <c r="V324" s="18">
        <f xml:space="preserve"> SUMIFS(MainData[ExtendedPrice], MainData[Date], U324, MainData[Category], "Beverage", MainData[Pricing], "&lt;&gt;"&amp;"*Adjust*", MainData[Pricing], "&lt;&gt;"&amp;"*LY*", MainData[BillTo], IF('YTD Revenue'!$AJ$14="Yes", "Hotel", "999999")) +
   SUMIFS(MainData[ExtendedPrice], MainData[Date], U324, MainData[Category], "Beverage", MainData[Pricing], "&lt;&gt;"&amp;"*Adjust*", MainData[Pricing], "&lt;&gt;"&amp;"*LY*", MainData[BillTo], IF('YTD Revenue'!$AJ$33="Yes", "EPO", "999999")) +
   SUMIFS(MainData[ExtendedPrice], MainData[Date], U324, MainData[Category], "Beverage", MainData[Pricing], "&lt;&gt;"&amp;"*Adjust*", MainData[Pricing], "&lt;&gt;"&amp;"*LY*", MainData[BillTo], IF('YTD Revenue'!$AJ$52="Yes", "Group", "999999")) -
   SUMIFS(MainData[ExtendedPrice], MainData[Date], U324,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4" s="175">
        <f t="shared" si="18"/>
        <v>9483.0649576271171</v>
      </c>
      <c r="X324" s="175">
        <f t="shared" si="19"/>
        <v>73045.8</v>
      </c>
    </row>
    <row r="325" spans="21:24" x14ac:dyDescent="0.25">
      <c r="U325" s="183">
        <f t="shared" si="20"/>
        <v>44884</v>
      </c>
      <c r="V325" s="18">
        <f xml:space="preserve"> SUMIFS(MainData[ExtendedPrice], MainData[Date], U325, MainData[Category], "Beverage", MainData[Pricing], "&lt;&gt;"&amp;"*Adjust*", MainData[Pricing], "&lt;&gt;"&amp;"*LY*", MainData[BillTo], IF('YTD Revenue'!$AJ$14="Yes", "Hotel", "999999")) +
   SUMIFS(MainData[ExtendedPrice], MainData[Date], U325, MainData[Category], "Beverage", MainData[Pricing], "&lt;&gt;"&amp;"*Adjust*", MainData[Pricing], "&lt;&gt;"&amp;"*LY*", MainData[BillTo], IF('YTD Revenue'!$AJ$33="Yes", "EPO", "999999")) +
   SUMIFS(MainData[ExtendedPrice], MainData[Date], U325, MainData[Category], "Beverage", MainData[Pricing], "&lt;&gt;"&amp;"*Adjust*", MainData[Pricing], "&lt;&gt;"&amp;"*LY*", MainData[BillTo], IF('YTD Revenue'!$AJ$52="Yes", "Group", "999999")) -
   SUMIFS(MainData[ExtendedPrice], MainData[Date], U325,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5" s="175">
        <f t="shared" ref="W325:W368" si="21">W324</f>
        <v>9483.0649576271171</v>
      </c>
      <c r="X325" s="175">
        <f t="shared" ref="X325:X368" si="22">X324</f>
        <v>73045.8</v>
      </c>
    </row>
    <row r="326" spans="21:24" x14ac:dyDescent="0.25">
      <c r="U326" s="183">
        <f t="shared" si="20"/>
        <v>44885</v>
      </c>
      <c r="V326" s="18">
        <f xml:space="preserve"> SUMIFS(MainData[ExtendedPrice], MainData[Date], U326, MainData[Category], "Beverage", MainData[Pricing], "&lt;&gt;"&amp;"*Adjust*", MainData[Pricing], "&lt;&gt;"&amp;"*LY*", MainData[BillTo], IF('YTD Revenue'!$AJ$14="Yes", "Hotel", "999999")) +
   SUMIFS(MainData[ExtendedPrice], MainData[Date], U326, MainData[Category], "Beverage", MainData[Pricing], "&lt;&gt;"&amp;"*Adjust*", MainData[Pricing], "&lt;&gt;"&amp;"*LY*", MainData[BillTo], IF('YTD Revenue'!$AJ$33="Yes", "EPO", "999999")) +
   SUMIFS(MainData[ExtendedPrice], MainData[Date], U326, MainData[Category], "Beverage", MainData[Pricing], "&lt;&gt;"&amp;"*Adjust*", MainData[Pricing], "&lt;&gt;"&amp;"*LY*", MainData[BillTo], IF('YTD Revenue'!$AJ$52="Yes", "Group", "999999")) -
   SUMIFS(MainData[ExtendedPrice], MainData[Date], U326,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6" s="175">
        <f t="shared" si="21"/>
        <v>9483.0649576271171</v>
      </c>
      <c r="X326" s="175">
        <f t="shared" si="22"/>
        <v>73045.8</v>
      </c>
    </row>
    <row r="327" spans="21:24" x14ac:dyDescent="0.25">
      <c r="U327" s="183">
        <f t="shared" si="20"/>
        <v>44886</v>
      </c>
      <c r="V327" s="18">
        <f xml:space="preserve"> SUMIFS(MainData[ExtendedPrice], MainData[Date], U327, MainData[Category], "Beverage", MainData[Pricing], "&lt;&gt;"&amp;"*Adjust*", MainData[Pricing], "&lt;&gt;"&amp;"*LY*", MainData[BillTo], IF('YTD Revenue'!$AJ$14="Yes", "Hotel", "999999")) +
   SUMIFS(MainData[ExtendedPrice], MainData[Date], U327, MainData[Category], "Beverage", MainData[Pricing], "&lt;&gt;"&amp;"*Adjust*", MainData[Pricing], "&lt;&gt;"&amp;"*LY*", MainData[BillTo], IF('YTD Revenue'!$AJ$33="Yes", "EPO", "999999")) +
   SUMIFS(MainData[ExtendedPrice], MainData[Date], U327, MainData[Category], "Beverage", MainData[Pricing], "&lt;&gt;"&amp;"*Adjust*", MainData[Pricing], "&lt;&gt;"&amp;"*LY*", MainData[BillTo], IF('YTD Revenue'!$AJ$52="Yes", "Group", "999999")) -
   SUMIFS(MainData[ExtendedPrice], MainData[Date], U327,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7" s="175">
        <f t="shared" si="21"/>
        <v>9483.0649576271171</v>
      </c>
      <c r="X327" s="175">
        <f t="shared" si="22"/>
        <v>73045.8</v>
      </c>
    </row>
    <row r="328" spans="21:24" x14ac:dyDescent="0.25">
      <c r="U328" s="183">
        <f t="shared" si="20"/>
        <v>44887</v>
      </c>
      <c r="V328" s="18">
        <f xml:space="preserve"> SUMIFS(MainData[ExtendedPrice], MainData[Date], U328, MainData[Category], "Beverage", MainData[Pricing], "&lt;&gt;"&amp;"*Adjust*", MainData[Pricing], "&lt;&gt;"&amp;"*LY*", MainData[BillTo], IF('YTD Revenue'!$AJ$14="Yes", "Hotel", "999999")) +
   SUMIFS(MainData[ExtendedPrice], MainData[Date], U328, MainData[Category], "Beverage", MainData[Pricing], "&lt;&gt;"&amp;"*Adjust*", MainData[Pricing], "&lt;&gt;"&amp;"*LY*", MainData[BillTo], IF('YTD Revenue'!$AJ$33="Yes", "EPO", "999999")) +
   SUMIFS(MainData[ExtendedPrice], MainData[Date], U328, MainData[Category], "Beverage", MainData[Pricing], "&lt;&gt;"&amp;"*Adjust*", MainData[Pricing], "&lt;&gt;"&amp;"*LY*", MainData[BillTo], IF('YTD Revenue'!$AJ$52="Yes", "Group", "999999")) -
   SUMIFS(MainData[ExtendedPrice], MainData[Date], U328,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8" s="175">
        <f t="shared" si="21"/>
        <v>9483.0649576271171</v>
      </c>
      <c r="X328" s="175">
        <f t="shared" si="22"/>
        <v>73045.8</v>
      </c>
    </row>
    <row r="329" spans="21:24" x14ac:dyDescent="0.25">
      <c r="U329" s="183">
        <f t="shared" si="20"/>
        <v>44888</v>
      </c>
      <c r="V329" s="18">
        <f xml:space="preserve"> SUMIFS(MainData[ExtendedPrice], MainData[Date], U329, MainData[Category], "Beverage", MainData[Pricing], "&lt;&gt;"&amp;"*Adjust*", MainData[Pricing], "&lt;&gt;"&amp;"*LY*", MainData[BillTo], IF('YTD Revenue'!$AJ$14="Yes", "Hotel", "999999")) +
   SUMIFS(MainData[ExtendedPrice], MainData[Date], U329, MainData[Category], "Beverage", MainData[Pricing], "&lt;&gt;"&amp;"*Adjust*", MainData[Pricing], "&lt;&gt;"&amp;"*LY*", MainData[BillTo], IF('YTD Revenue'!$AJ$33="Yes", "EPO", "999999")) +
   SUMIFS(MainData[ExtendedPrice], MainData[Date], U329, MainData[Category], "Beverage", MainData[Pricing], "&lt;&gt;"&amp;"*Adjust*", MainData[Pricing], "&lt;&gt;"&amp;"*LY*", MainData[BillTo], IF('YTD Revenue'!$AJ$52="Yes", "Group", "999999")) -
   SUMIFS(MainData[ExtendedPrice], MainData[Date], U329,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9" s="175">
        <f t="shared" si="21"/>
        <v>9483.0649576271171</v>
      </c>
      <c r="X329" s="175">
        <f t="shared" si="22"/>
        <v>73045.8</v>
      </c>
    </row>
    <row r="330" spans="21:24" x14ac:dyDescent="0.25">
      <c r="U330" s="183">
        <f t="shared" si="20"/>
        <v>44889</v>
      </c>
      <c r="V330" s="18">
        <f xml:space="preserve"> SUMIFS(MainData[ExtendedPrice], MainData[Date], U330, MainData[Category], "Beverage", MainData[Pricing], "&lt;&gt;"&amp;"*Adjust*", MainData[Pricing], "&lt;&gt;"&amp;"*LY*", MainData[BillTo], IF('YTD Revenue'!$AJ$14="Yes", "Hotel", "999999")) +
   SUMIFS(MainData[ExtendedPrice], MainData[Date], U330, MainData[Category], "Beverage", MainData[Pricing], "&lt;&gt;"&amp;"*Adjust*", MainData[Pricing], "&lt;&gt;"&amp;"*LY*", MainData[BillTo], IF('YTD Revenue'!$AJ$33="Yes", "EPO", "999999")) +
   SUMIFS(MainData[ExtendedPrice], MainData[Date], U330, MainData[Category], "Beverage", MainData[Pricing], "&lt;&gt;"&amp;"*Adjust*", MainData[Pricing], "&lt;&gt;"&amp;"*LY*", MainData[BillTo], IF('YTD Revenue'!$AJ$52="Yes", "Group", "999999")) -
   SUMIFS(MainData[ExtendedPrice], MainData[Date], U330,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0" s="175">
        <f t="shared" si="21"/>
        <v>9483.0649576271171</v>
      </c>
      <c r="X330" s="175">
        <f t="shared" si="22"/>
        <v>73045.8</v>
      </c>
    </row>
    <row r="331" spans="21:24" x14ac:dyDescent="0.25">
      <c r="U331" s="183">
        <f t="shared" si="20"/>
        <v>44890</v>
      </c>
      <c r="V331" s="18">
        <f xml:space="preserve"> SUMIFS(MainData[ExtendedPrice], MainData[Date], U331, MainData[Category], "Beverage", MainData[Pricing], "&lt;&gt;"&amp;"*Adjust*", MainData[Pricing], "&lt;&gt;"&amp;"*LY*", MainData[BillTo], IF('YTD Revenue'!$AJ$14="Yes", "Hotel", "999999")) +
   SUMIFS(MainData[ExtendedPrice], MainData[Date], U331, MainData[Category], "Beverage", MainData[Pricing], "&lt;&gt;"&amp;"*Adjust*", MainData[Pricing], "&lt;&gt;"&amp;"*LY*", MainData[BillTo], IF('YTD Revenue'!$AJ$33="Yes", "EPO", "999999")) +
   SUMIFS(MainData[ExtendedPrice], MainData[Date], U331, MainData[Category], "Beverage", MainData[Pricing], "&lt;&gt;"&amp;"*Adjust*", MainData[Pricing], "&lt;&gt;"&amp;"*LY*", MainData[BillTo], IF('YTD Revenue'!$AJ$52="Yes", "Group", "999999")) -
   SUMIFS(MainData[ExtendedPrice], MainData[Date], U331,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1" s="175">
        <f t="shared" si="21"/>
        <v>9483.0649576271171</v>
      </c>
      <c r="X331" s="175">
        <f t="shared" si="22"/>
        <v>73045.8</v>
      </c>
    </row>
    <row r="332" spans="21:24" x14ac:dyDescent="0.25">
      <c r="U332" s="183">
        <f t="shared" si="20"/>
        <v>44891</v>
      </c>
      <c r="V332" s="18">
        <f xml:space="preserve"> SUMIFS(MainData[ExtendedPrice], MainData[Date], U332, MainData[Category], "Beverage", MainData[Pricing], "&lt;&gt;"&amp;"*Adjust*", MainData[Pricing], "&lt;&gt;"&amp;"*LY*", MainData[BillTo], IF('YTD Revenue'!$AJ$14="Yes", "Hotel", "999999")) +
   SUMIFS(MainData[ExtendedPrice], MainData[Date], U332, MainData[Category], "Beverage", MainData[Pricing], "&lt;&gt;"&amp;"*Adjust*", MainData[Pricing], "&lt;&gt;"&amp;"*LY*", MainData[BillTo], IF('YTD Revenue'!$AJ$33="Yes", "EPO", "999999")) +
   SUMIFS(MainData[ExtendedPrice], MainData[Date], U332, MainData[Category], "Beverage", MainData[Pricing], "&lt;&gt;"&amp;"*Adjust*", MainData[Pricing], "&lt;&gt;"&amp;"*LY*", MainData[BillTo], IF('YTD Revenue'!$AJ$52="Yes", "Group", "999999")) -
   SUMIFS(MainData[ExtendedPrice], MainData[Date], U332,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2" s="175">
        <f t="shared" si="21"/>
        <v>9483.0649576271171</v>
      </c>
      <c r="X332" s="175">
        <f t="shared" si="22"/>
        <v>73045.8</v>
      </c>
    </row>
    <row r="333" spans="21:24" x14ac:dyDescent="0.25">
      <c r="U333" s="183">
        <f t="shared" ref="U333:U351" si="23">U332+1</f>
        <v>44892</v>
      </c>
      <c r="V333" s="18">
        <f xml:space="preserve"> SUMIFS(MainData[ExtendedPrice], MainData[Date], U333, MainData[Category], "Beverage", MainData[Pricing], "&lt;&gt;"&amp;"*Adjust*", MainData[Pricing], "&lt;&gt;"&amp;"*LY*", MainData[BillTo], IF('YTD Revenue'!$AJ$14="Yes", "Hotel", "999999")) +
   SUMIFS(MainData[ExtendedPrice], MainData[Date], U333, MainData[Category], "Beverage", MainData[Pricing], "&lt;&gt;"&amp;"*Adjust*", MainData[Pricing], "&lt;&gt;"&amp;"*LY*", MainData[BillTo], IF('YTD Revenue'!$AJ$33="Yes", "EPO", "999999")) +
   SUMIFS(MainData[ExtendedPrice], MainData[Date], U333, MainData[Category], "Beverage", MainData[Pricing], "&lt;&gt;"&amp;"*Adjust*", MainData[Pricing], "&lt;&gt;"&amp;"*LY*", MainData[BillTo], IF('YTD Revenue'!$AJ$52="Yes", "Group", "999999")) -
   SUMIFS(MainData[ExtendedPrice], MainData[Date], U333,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3" s="175">
        <f t="shared" si="21"/>
        <v>9483.0649576271171</v>
      </c>
      <c r="X333" s="175">
        <f t="shared" si="22"/>
        <v>73045.8</v>
      </c>
    </row>
    <row r="334" spans="21:24" x14ac:dyDescent="0.25">
      <c r="U334" s="183">
        <f t="shared" si="23"/>
        <v>44893</v>
      </c>
      <c r="V334" s="18">
        <f xml:space="preserve"> SUMIFS(MainData[ExtendedPrice], MainData[Date], U334, MainData[Category], "Beverage", MainData[Pricing], "&lt;&gt;"&amp;"*Adjust*", MainData[Pricing], "&lt;&gt;"&amp;"*LY*", MainData[BillTo], IF('YTD Revenue'!$AJ$14="Yes", "Hotel", "999999")) +
   SUMIFS(MainData[ExtendedPrice], MainData[Date], U334, MainData[Category], "Beverage", MainData[Pricing], "&lt;&gt;"&amp;"*Adjust*", MainData[Pricing], "&lt;&gt;"&amp;"*LY*", MainData[BillTo], IF('YTD Revenue'!$AJ$33="Yes", "EPO", "999999")) +
   SUMIFS(MainData[ExtendedPrice], MainData[Date], U334, MainData[Category], "Beverage", MainData[Pricing], "&lt;&gt;"&amp;"*Adjust*", MainData[Pricing], "&lt;&gt;"&amp;"*LY*", MainData[BillTo], IF('YTD Revenue'!$AJ$52="Yes", "Group", "999999")) -
   SUMIFS(MainData[ExtendedPrice], MainData[Date], U334,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4" s="175">
        <f t="shared" si="21"/>
        <v>9483.0649576271171</v>
      </c>
      <c r="X334" s="175">
        <f t="shared" si="22"/>
        <v>73045.8</v>
      </c>
    </row>
    <row r="335" spans="21:24" x14ac:dyDescent="0.25">
      <c r="U335" s="183">
        <f t="shared" si="23"/>
        <v>44894</v>
      </c>
      <c r="V335" s="18">
        <f xml:space="preserve"> SUMIFS(MainData[ExtendedPrice], MainData[Date], U335, MainData[Category], "Beverage", MainData[Pricing], "&lt;&gt;"&amp;"*Adjust*", MainData[Pricing], "&lt;&gt;"&amp;"*LY*", MainData[BillTo], IF('YTD Revenue'!$AJ$14="Yes", "Hotel", "999999")) +
   SUMIFS(MainData[ExtendedPrice], MainData[Date], U335, MainData[Category], "Beverage", MainData[Pricing], "&lt;&gt;"&amp;"*Adjust*", MainData[Pricing], "&lt;&gt;"&amp;"*LY*", MainData[BillTo], IF('YTD Revenue'!$AJ$33="Yes", "EPO", "999999")) +
   SUMIFS(MainData[ExtendedPrice], MainData[Date], U335, MainData[Category], "Beverage", MainData[Pricing], "&lt;&gt;"&amp;"*Adjust*", MainData[Pricing], "&lt;&gt;"&amp;"*LY*", MainData[BillTo], IF('YTD Revenue'!$AJ$52="Yes", "Group", "999999")) -
   SUMIFS(MainData[ExtendedPrice], MainData[Date], U335,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5" s="175">
        <f t="shared" si="21"/>
        <v>9483.0649576271171</v>
      </c>
      <c r="X335" s="175">
        <f t="shared" si="22"/>
        <v>73045.8</v>
      </c>
    </row>
    <row r="336" spans="21:24" x14ac:dyDescent="0.25">
      <c r="U336" s="183">
        <f t="shared" si="23"/>
        <v>44895</v>
      </c>
      <c r="V336" s="18">
        <f xml:space="preserve"> SUMIFS(MainData[ExtendedPrice], MainData[Date], U336, MainData[Category], "Beverage", MainData[Pricing], "&lt;&gt;"&amp;"*Adjust*", MainData[Pricing], "&lt;&gt;"&amp;"*LY*", MainData[BillTo], IF('YTD Revenue'!$AJ$14="Yes", "Hotel", "999999")) +
   SUMIFS(MainData[ExtendedPrice], MainData[Date], U336, MainData[Category], "Beverage", MainData[Pricing], "&lt;&gt;"&amp;"*Adjust*", MainData[Pricing], "&lt;&gt;"&amp;"*LY*", MainData[BillTo], IF('YTD Revenue'!$AJ$33="Yes", "EPO", "999999")) +
   SUMIFS(MainData[ExtendedPrice], MainData[Date], U336, MainData[Category], "Beverage", MainData[Pricing], "&lt;&gt;"&amp;"*Adjust*", MainData[Pricing], "&lt;&gt;"&amp;"*LY*", MainData[BillTo], IF('YTD Revenue'!$AJ$52="Yes", "Group", "999999")) -
   SUMIFS(MainData[ExtendedPrice], MainData[Date], U336,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6" s="175">
        <f t="shared" si="21"/>
        <v>9483.0649576271171</v>
      </c>
      <c r="X336" s="175">
        <f t="shared" si="22"/>
        <v>73045.8</v>
      </c>
    </row>
    <row r="337" spans="21:24" x14ac:dyDescent="0.25">
      <c r="U337" s="183">
        <f t="shared" si="23"/>
        <v>44896</v>
      </c>
      <c r="V337" s="18">
        <f xml:space="preserve"> SUMIFS(MainData[ExtendedPrice], MainData[Date], U337, MainData[Category], "Beverage", MainData[Pricing], "&lt;&gt;"&amp;"*Adjust*", MainData[Pricing], "&lt;&gt;"&amp;"*LY*", MainData[BillTo], IF('YTD Revenue'!$AJ$14="Yes", "Hotel", "999999")) +
   SUMIFS(MainData[ExtendedPrice], MainData[Date], U337, MainData[Category], "Beverage", MainData[Pricing], "&lt;&gt;"&amp;"*Adjust*", MainData[Pricing], "&lt;&gt;"&amp;"*LY*", MainData[BillTo], IF('YTD Revenue'!$AJ$33="Yes", "EPO", "999999")) +
   SUMIFS(MainData[ExtendedPrice], MainData[Date], U337, MainData[Category], "Beverage", MainData[Pricing], "&lt;&gt;"&amp;"*Adjust*", MainData[Pricing], "&lt;&gt;"&amp;"*LY*", MainData[BillTo], IF('YTD Revenue'!$AJ$52="Yes", "Group", "999999")) -
   SUMIFS(MainData[ExtendedPrice], MainData[Date], U337,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7" s="175">
        <f t="shared" si="21"/>
        <v>9483.0649576271171</v>
      </c>
      <c r="X337" s="175">
        <f t="shared" si="22"/>
        <v>73045.8</v>
      </c>
    </row>
    <row r="338" spans="21:24" x14ac:dyDescent="0.25">
      <c r="U338" s="183">
        <f t="shared" si="23"/>
        <v>44897</v>
      </c>
      <c r="V338" s="18">
        <f xml:space="preserve"> SUMIFS(MainData[ExtendedPrice], MainData[Date], U338, MainData[Category], "Beverage", MainData[Pricing], "&lt;&gt;"&amp;"*Adjust*", MainData[Pricing], "&lt;&gt;"&amp;"*LY*", MainData[BillTo], IF('YTD Revenue'!$AJ$14="Yes", "Hotel", "999999")) +
   SUMIFS(MainData[ExtendedPrice], MainData[Date], U338, MainData[Category], "Beverage", MainData[Pricing], "&lt;&gt;"&amp;"*Adjust*", MainData[Pricing], "&lt;&gt;"&amp;"*LY*", MainData[BillTo], IF('YTD Revenue'!$AJ$33="Yes", "EPO", "999999")) +
   SUMIFS(MainData[ExtendedPrice], MainData[Date], U338, MainData[Category], "Beverage", MainData[Pricing], "&lt;&gt;"&amp;"*Adjust*", MainData[Pricing], "&lt;&gt;"&amp;"*LY*", MainData[BillTo], IF('YTD Revenue'!$AJ$52="Yes", "Group", "999999")) -
   SUMIFS(MainData[ExtendedPrice], MainData[Date], U338,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8" s="175">
        <f t="shared" si="21"/>
        <v>9483.0649576271171</v>
      </c>
      <c r="X338" s="175">
        <f t="shared" si="22"/>
        <v>73045.8</v>
      </c>
    </row>
    <row r="339" spans="21:24" x14ac:dyDescent="0.25">
      <c r="U339" s="183">
        <f t="shared" si="23"/>
        <v>44898</v>
      </c>
      <c r="V339" s="18">
        <f xml:space="preserve"> SUMIFS(MainData[ExtendedPrice], MainData[Date], U339, MainData[Category], "Beverage", MainData[Pricing], "&lt;&gt;"&amp;"*Adjust*", MainData[Pricing], "&lt;&gt;"&amp;"*LY*", MainData[BillTo], IF('YTD Revenue'!$AJ$14="Yes", "Hotel", "999999")) +
   SUMIFS(MainData[ExtendedPrice], MainData[Date], U339, MainData[Category], "Beverage", MainData[Pricing], "&lt;&gt;"&amp;"*Adjust*", MainData[Pricing], "&lt;&gt;"&amp;"*LY*", MainData[BillTo], IF('YTD Revenue'!$AJ$33="Yes", "EPO", "999999")) +
   SUMIFS(MainData[ExtendedPrice], MainData[Date], U339, MainData[Category], "Beverage", MainData[Pricing], "&lt;&gt;"&amp;"*Adjust*", MainData[Pricing], "&lt;&gt;"&amp;"*LY*", MainData[BillTo], IF('YTD Revenue'!$AJ$52="Yes", "Group", "999999")) -
   SUMIFS(MainData[ExtendedPrice], MainData[Date], U339,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9" s="175">
        <f t="shared" si="21"/>
        <v>9483.0649576271171</v>
      </c>
      <c r="X339" s="175">
        <f t="shared" si="22"/>
        <v>73045.8</v>
      </c>
    </row>
    <row r="340" spans="21:24" x14ac:dyDescent="0.25">
      <c r="U340" s="183">
        <f t="shared" si="23"/>
        <v>44899</v>
      </c>
      <c r="V340" s="18">
        <f xml:space="preserve"> SUMIFS(MainData[ExtendedPrice], MainData[Date], U340, MainData[Category], "Beverage", MainData[Pricing], "&lt;&gt;"&amp;"*Adjust*", MainData[Pricing], "&lt;&gt;"&amp;"*LY*", MainData[BillTo], IF('YTD Revenue'!$AJ$14="Yes", "Hotel", "999999")) +
   SUMIFS(MainData[ExtendedPrice], MainData[Date], U340, MainData[Category], "Beverage", MainData[Pricing], "&lt;&gt;"&amp;"*Adjust*", MainData[Pricing], "&lt;&gt;"&amp;"*LY*", MainData[BillTo], IF('YTD Revenue'!$AJ$33="Yes", "EPO", "999999")) +
   SUMIFS(MainData[ExtendedPrice], MainData[Date], U340, MainData[Category], "Beverage", MainData[Pricing], "&lt;&gt;"&amp;"*Adjust*", MainData[Pricing], "&lt;&gt;"&amp;"*LY*", MainData[BillTo], IF('YTD Revenue'!$AJ$52="Yes", "Group", "999999")) -
   SUMIFS(MainData[ExtendedPrice], MainData[Date], U340,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0" s="175">
        <f t="shared" si="21"/>
        <v>9483.0649576271171</v>
      </c>
      <c r="X340" s="175">
        <f t="shared" si="22"/>
        <v>73045.8</v>
      </c>
    </row>
    <row r="341" spans="21:24" x14ac:dyDescent="0.25">
      <c r="U341" s="183">
        <f t="shared" si="23"/>
        <v>44900</v>
      </c>
      <c r="V341" s="18">
        <f xml:space="preserve"> SUMIFS(MainData[ExtendedPrice], MainData[Date], U341, MainData[Category], "Beverage", MainData[Pricing], "&lt;&gt;"&amp;"*Adjust*", MainData[Pricing], "&lt;&gt;"&amp;"*LY*", MainData[BillTo], IF('YTD Revenue'!$AJ$14="Yes", "Hotel", "999999")) +
   SUMIFS(MainData[ExtendedPrice], MainData[Date], U341, MainData[Category], "Beverage", MainData[Pricing], "&lt;&gt;"&amp;"*Adjust*", MainData[Pricing], "&lt;&gt;"&amp;"*LY*", MainData[BillTo], IF('YTD Revenue'!$AJ$33="Yes", "EPO", "999999")) +
   SUMIFS(MainData[ExtendedPrice], MainData[Date], U341, MainData[Category], "Beverage", MainData[Pricing], "&lt;&gt;"&amp;"*Adjust*", MainData[Pricing], "&lt;&gt;"&amp;"*LY*", MainData[BillTo], IF('YTD Revenue'!$AJ$52="Yes", "Group", "999999")) -
   SUMIFS(MainData[ExtendedPrice], MainData[Date], U341,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1" s="175">
        <f t="shared" si="21"/>
        <v>9483.0649576271171</v>
      </c>
      <c r="X341" s="175">
        <f t="shared" si="22"/>
        <v>73045.8</v>
      </c>
    </row>
    <row r="342" spans="21:24" x14ac:dyDescent="0.25">
      <c r="U342" s="183">
        <f t="shared" si="23"/>
        <v>44901</v>
      </c>
      <c r="V342" s="18">
        <f xml:space="preserve"> SUMIFS(MainData[ExtendedPrice], MainData[Date], U342, MainData[Category], "Beverage", MainData[Pricing], "&lt;&gt;"&amp;"*Adjust*", MainData[Pricing], "&lt;&gt;"&amp;"*LY*", MainData[BillTo], IF('YTD Revenue'!$AJ$14="Yes", "Hotel", "999999")) +
   SUMIFS(MainData[ExtendedPrice], MainData[Date], U342, MainData[Category], "Beverage", MainData[Pricing], "&lt;&gt;"&amp;"*Adjust*", MainData[Pricing], "&lt;&gt;"&amp;"*LY*", MainData[BillTo], IF('YTD Revenue'!$AJ$33="Yes", "EPO", "999999")) +
   SUMIFS(MainData[ExtendedPrice], MainData[Date], U342, MainData[Category], "Beverage", MainData[Pricing], "&lt;&gt;"&amp;"*Adjust*", MainData[Pricing], "&lt;&gt;"&amp;"*LY*", MainData[BillTo], IF('YTD Revenue'!$AJ$52="Yes", "Group", "999999")) -
   SUMIFS(MainData[ExtendedPrice], MainData[Date], U342,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2" s="175">
        <f t="shared" si="21"/>
        <v>9483.0649576271171</v>
      </c>
      <c r="X342" s="175">
        <f t="shared" si="22"/>
        <v>73045.8</v>
      </c>
    </row>
    <row r="343" spans="21:24" x14ac:dyDescent="0.25">
      <c r="U343" s="183">
        <f t="shared" si="23"/>
        <v>44902</v>
      </c>
      <c r="V343" s="18">
        <f xml:space="preserve"> SUMIFS(MainData[ExtendedPrice], MainData[Date], U343, MainData[Category], "Beverage", MainData[Pricing], "&lt;&gt;"&amp;"*Adjust*", MainData[Pricing], "&lt;&gt;"&amp;"*LY*", MainData[BillTo], IF('YTD Revenue'!$AJ$14="Yes", "Hotel", "999999")) +
   SUMIFS(MainData[ExtendedPrice], MainData[Date], U343, MainData[Category], "Beverage", MainData[Pricing], "&lt;&gt;"&amp;"*Adjust*", MainData[Pricing], "&lt;&gt;"&amp;"*LY*", MainData[BillTo], IF('YTD Revenue'!$AJ$33="Yes", "EPO", "999999")) +
   SUMIFS(MainData[ExtendedPrice], MainData[Date], U343, MainData[Category], "Beverage", MainData[Pricing], "&lt;&gt;"&amp;"*Adjust*", MainData[Pricing], "&lt;&gt;"&amp;"*LY*", MainData[BillTo], IF('YTD Revenue'!$AJ$52="Yes", "Group", "999999")) -
   SUMIFS(MainData[ExtendedPrice], MainData[Date], U343,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3" s="175">
        <f t="shared" si="21"/>
        <v>9483.0649576271171</v>
      </c>
      <c r="X343" s="175">
        <f t="shared" si="22"/>
        <v>73045.8</v>
      </c>
    </row>
    <row r="344" spans="21:24" x14ac:dyDescent="0.25">
      <c r="U344" s="183">
        <f t="shared" si="23"/>
        <v>44903</v>
      </c>
      <c r="V344" s="18">
        <f xml:space="preserve"> SUMIFS(MainData[ExtendedPrice], MainData[Date], U344, MainData[Category], "Beverage", MainData[Pricing], "&lt;&gt;"&amp;"*Adjust*", MainData[Pricing], "&lt;&gt;"&amp;"*LY*", MainData[BillTo], IF('YTD Revenue'!$AJ$14="Yes", "Hotel", "999999")) +
   SUMIFS(MainData[ExtendedPrice], MainData[Date], U344, MainData[Category], "Beverage", MainData[Pricing], "&lt;&gt;"&amp;"*Adjust*", MainData[Pricing], "&lt;&gt;"&amp;"*LY*", MainData[BillTo], IF('YTD Revenue'!$AJ$33="Yes", "EPO", "999999")) +
   SUMIFS(MainData[ExtendedPrice], MainData[Date], U344, MainData[Category], "Beverage", MainData[Pricing], "&lt;&gt;"&amp;"*Adjust*", MainData[Pricing], "&lt;&gt;"&amp;"*LY*", MainData[BillTo], IF('YTD Revenue'!$AJ$52="Yes", "Group", "999999")) -
   SUMIFS(MainData[ExtendedPrice], MainData[Date], U344,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4" s="175">
        <f t="shared" si="21"/>
        <v>9483.0649576271171</v>
      </c>
      <c r="X344" s="175">
        <f t="shared" si="22"/>
        <v>73045.8</v>
      </c>
    </row>
    <row r="345" spans="21:24" x14ac:dyDescent="0.25">
      <c r="U345" s="183">
        <f t="shared" si="23"/>
        <v>44904</v>
      </c>
      <c r="V345" s="18">
        <f xml:space="preserve"> SUMIFS(MainData[ExtendedPrice], MainData[Date], U345, MainData[Category], "Beverage", MainData[Pricing], "&lt;&gt;"&amp;"*Adjust*", MainData[Pricing], "&lt;&gt;"&amp;"*LY*", MainData[BillTo], IF('YTD Revenue'!$AJ$14="Yes", "Hotel", "999999")) +
   SUMIFS(MainData[ExtendedPrice], MainData[Date], U345, MainData[Category], "Beverage", MainData[Pricing], "&lt;&gt;"&amp;"*Adjust*", MainData[Pricing], "&lt;&gt;"&amp;"*LY*", MainData[BillTo], IF('YTD Revenue'!$AJ$33="Yes", "EPO", "999999")) +
   SUMIFS(MainData[ExtendedPrice], MainData[Date], U345, MainData[Category], "Beverage", MainData[Pricing], "&lt;&gt;"&amp;"*Adjust*", MainData[Pricing], "&lt;&gt;"&amp;"*LY*", MainData[BillTo], IF('YTD Revenue'!$AJ$52="Yes", "Group", "999999")) -
   SUMIFS(MainData[ExtendedPrice], MainData[Date], U345,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5" s="175">
        <f t="shared" si="21"/>
        <v>9483.0649576271171</v>
      </c>
      <c r="X345" s="175">
        <f t="shared" si="22"/>
        <v>73045.8</v>
      </c>
    </row>
    <row r="346" spans="21:24" x14ac:dyDescent="0.25">
      <c r="U346" s="183">
        <f t="shared" si="23"/>
        <v>44905</v>
      </c>
      <c r="V346" s="18">
        <f xml:space="preserve"> SUMIFS(MainData[ExtendedPrice], MainData[Date], U346, MainData[Category], "Beverage", MainData[Pricing], "&lt;&gt;"&amp;"*Adjust*", MainData[Pricing], "&lt;&gt;"&amp;"*LY*", MainData[BillTo], IF('YTD Revenue'!$AJ$14="Yes", "Hotel", "999999")) +
   SUMIFS(MainData[ExtendedPrice], MainData[Date], U346, MainData[Category], "Beverage", MainData[Pricing], "&lt;&gt;"&amp;"*Adjust*", MainData[Pricing], "&lt;&gt;"&amp;"*LY*", MainData[BillTo], IF('YTD Revenue'!$AJ$33="Yes", "EPO", "999999")) +
   SUMIFS(MainData[ExtendedPrice], MainData[Date], U346, MainData[Category], "Beverage", MainData[Pricing], "&lt;&gt;"&amp;"*Adjust*", MainData[Pricing], "&lt;&gt;"&amp;"*LY*", MainData[BillTo], IF('YTD Revenue'!$AJ$52="Yes", "Group", "999999")) -
   SUMIFS(MainData[ExtendedPrice], MainData[Date], U346,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6" s="175">
        <f t="shared" si="21"/>
        <v>9483.0649576271171</v>
      </c>
      <c r="X346" s="175">
        <f t="shared" si="22"/>
        <v>73045.8</v>
      </c>
    </row>
    <row r="347" spans="21:24" x14ac:dyDescent="0.25">
      <c r="U347" s="183">
        <f t="shared" si="23"/>
        <v>44906</v>
      </c>
      <c r="V347" s="18">
        <f xml:space="preserve"> SUMIFS(MainData[ExtendedPrice], MainData[Date], U347, MainData[Category], "Beverage", MainData[Pricing], "&lt;&gt;"&amp;"*Adjust*", MainData[Pricing], "&lt;&gt;"&amp;"*LY*", MainData[BillTo], IF('YTD Revenue'!$AJ$14="Yes", "Hotel", "999999")) +
   SUMIFS(MainData[ExtendedPrice], MainData[Date], U347, MainData[Category], "Beverage", MainData[Pricing], "&lt;&gt;"&amp;"*Adjust*", MainData[Pricing], "&lt;&gt;"&amp;"*LY*", MainData[BillTo], IF('YTD Revenue'!$AJ$33="Yes", "EPO", "999999")) +
   SUMIFS(MainData[ExtendedPrice], MainData[Date], U347, MainData[Category], "Beverage", MainData[Pricing], "&lt;&gt;"&amp;"*Adjust*", MainData[Pricing], "&lt;&gt;"&amp;"*LY*", MainData[BillTo], IF('YTD Revenue'!$AJ$52="Yes", "Group", "999999")) -
   SUMIFS(MainData[ExtendedPrice], MainData[Date], U347,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7" s="175">
        <f t="shared" si="21"/>
        <v>9483.0649576271171</v>
      </c>
      <c r="X347" s="175">
        <f t="shared" si="22"/>
        <v>73045.8</v>
      </c>
    </row>
    <row r="348" spans="21:24" x14ac:dyDescent="0.25">
      <c r="U348" s="183">
        <f t="shared" si="23"/>
        <v>44907</v>
      </c>
      <c r="V348" s="18">
        <f xml:space="preserve"> SUMIFS(MainData[ExtendedPrice], MainData[Date], U348, MainData[Category], "Beverage", MainData[Pricing], "&lt;&gt;"&amp;"*Adjust*", MainData[Pricing], "&lt;&gt;"&amp;"*LY*", MainData[BillTo], IF('YTD Revenue'!$AJ$14="Yes", "Hotel", "999999")) +
   SUMIFS(MainData[ExtendedPrice], MainData[Date], U348, MainData[Category], "Beverage", MainData[Pricing], "&lt;&gt;"&amp;"*Adjust*", MainData[Pricing], "&lt;&gt;"&amp;"*LY*", MainData[BillTo], IF('YTD Revenue'!$AJ$33="Yes", "EPO", "999999")) +
   SUMIFS(MainData[ExtendedPrice], MainData[Date], U348, MainData[Category], "Beverage", MainData[Pricing], "&lt;&gt;"&amp;"*Adjust*", MainData[Pricing], "&lt;&gt;"&amp;"*LY*", MainData[BillTo], IF('YTD Revenue'!$AJ$52="Yes", "Group", "999999")) -
   SUMIFS(MainData[ExtendedPrice], MainData[Date], U348,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8" s="175">
        <f t="shared" si="21"/>
        <v>9483.0649576271171</v>
      </c>
      <c r="X348" s="175">
        <f t="shared" si="22"/>
        <v>73045.8</v>
      </c>
    </row>
    <row r="349" spans="21:24" x14ac:dyDescent="0.25">
      <c r="U349" s="183">
        <f t="shared" si="23"/>
        <v>44908</v>
      </c>
      <c r="V349" s="18">
        <f xml:space="preserve"> SUMIFS(MainData[ExtendedPrice], MainData[Date], U349, MainData[Category], "Beverage", MainData[Pricing], "&lt;&gt;"&amp;"*Adjust*", MainData[Pricing], "&lt;&gt;"&amp;"*LY*", MainData[BillTo], IF('YTD Revenue'!$AJ$14="Yes", "Hotel", "999999")) +
   SUMIFS(MainData[ExtendedPrice], MainData[Date], U349, MainData[Category], "Beverage", MainData[Pricing], "&lt;&gt;"&amp;"*Adjust*", MainData[Pricing], "&lt;&gt;"&amp;"*LY*", MainData[BillTo], IF('YTD Revenue'!$AJ$33="Yes", "EPO", "999999")) +
   SUMIFS(MainData[ExtendedPrice], MainData[Date], U349, MainData[Category], "Beverage", MainData[Pricing], "&lt;&gt;"&amp;"*Adjust*", MainData[Pricing], "&lt;&gt;"&amp;"*LY*", MainData[BillTo], IF('YTD Revenue'!$AJ$52="Yes", "Group", "999999")) -
   SUMIFS(MainData[ExtendedPrice], MainData[Date], U349,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9" s="175">
        <f t="shared" si="21"/>
        <v>9483.0649576271171</v>
      </c>
      <c r="X349" s="175">
        <f t="shared" si="22"/>
        <v>73045.8</v>
      </c>
    </row>
    <row r="350" spans="21:24" x14ac:dyDescent="0.25">
      <c r="U350" s="183">
        <f t="shared" si="23"/>
        <v>44909</v>
      </c>
      <c r="V350" s="18">
        <f xml:space="preserve"> SUMIFS(MainData[ExtendedPrice], MainData[Date], U350, MainData[Category], "Beverage", MainData[Pricing], "&lt;&gt;"&amp;"*Adjust*", MainData[Pricing], "&lt;&gt;"&amp;"*LY*", MainData[BillTo], IF('YTD Revenue'!$AJ$14="Yes", "Hotel", "999999")) +
   SUMIFS(MainData[ExtendedPrice], MainData[Date], U350, MainData[Category], "Beverage", MainData[Pricing], "&lt;&gt;"&amp;"*Adjust*", MainData[Pricing], "&lt;&gt;"&amp;"*LY*", MainData[BillTo], IF('YTD Revenue'!$AJ$33="Yes", "EPO", "999999")) +
   SUMIFS(MainData[ExtendedPrice], MainData[Date], U350, MainData[Category], "Beverage", MainData[Pricing], "&lt;&gt;"&amp;"*Adjust*", MainData[Pricing], "&lt;&gt;"&amp;"*LY*", MainData[BillTo], IF('YTD Revenue'!$AJ$52="Yes", "Group", "999999")) -
   SUMIFS(MainData[ExtendedPrice], MainData[Date], U350,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0" s="175">
        <f t="shared" si="21"/>
        <v>9483.0649576271171</v>
      </c>
      <c r="X350" s="175">
        <f t="shared" si="22"/>
        <v>73045.8</v>
      </c>
    </row>
    <row r="351" spans="21:24" x14ac:dyDescent="0.25">
      <c r="U351" s="183">
        <f t="shared" si="23"/>
        <v>44910</v>
      </c>
      <c r="V351" s="18">
        <f xml:space="preserve"> SUMIFS(MainData[ExtendedPrice], MainData[Date], U351, MainData[Category], "Beverage", MainData[Pricing], "&lt;&gt;"&amp;"*Adjust*", MainData[Pricing], "&lt;&gt;"&amp;"*LY*", MainData[BillTo], IF('YTD Revenue'!$AJ$14="Yes", "Hotel", "999999")) +
   SUMIFS(MainData[ExtendedPrice], MainData[Date], U351, MainData[Category], "Beverage", MainData[Pricing], "&lt;&gt;"&amp;"*Adjust*", MainData[Pricing], "&lt;&gt;"&amp;"*LY*", MainData[BillTo], IF('YTD Revenue'!$AJ$33="Yes", "EPO", "999999")) +
   SUMIFS(MainData[ExtendedPrice], MainData[Date], U351, MainData[Category], "Beverage", MainData[Pricing], "&lt;&gt;"&amp;"*Adjust*", MainData[Pricing], "&lt;&gt;"&amp;"*LY*", MainData[BillTo], IF('YTD Revenue'!$AJ$52="Yes", "Group", "999999")) -
   SUMIFS(MainData[ExtendedPrice], MainData[Date], U351,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1" s="175">
        <f t="shared" si="21"/>
        <v>9483.0649576271171</v>
      </c>
      <c r="X351" s="175">
        <f t="shared" si="22"/>
        <v>73045.8</v>
      </c>
    </row>
    <row r="352" spans="21:24" x14ac:dyDescent="0.25">
      <c r="U352" s="183">
        <f>U351+1</f>
        <v>44911</v>
      </c>
      <c r="V352" s="18">
        <f xml:space="preserve"> SUMIFS(MainData[ExtendedPrice], MainData[Date], U352, MainData[Category], "Beverage", MainData[Pricing], "&lt;&gt;"&amp;"*Adjust*", MainData[Pricing], "&lt;&gt;"&amp;"*LY*", MainData[BillTo], IF('YTD Revenue'!$AJ$14="Yes", "Hotel", "999999")) +
   SUMIFS(MainData[ExtendedPrice], MainData[Date], U352, MainData[Category], "Beverage", MainData[Pricing], "&lt;&gt;"&amp;"*Adjust*", MainData[Pricing], "&lt;&gt;"&amp;"*LY*", MainData[BillTo], IF('YTD Revenue'!$AJ$33="Yes", "EPO", "999999")) +
   SUMIFS(MainData[ExtendedPrice], MainData[Date], U352, MainData[Category], "Beverage", MainData[Pricing], "&lt;&gt;"&amp;"*Adjust*", MainData[Pricing], "&lt;&gt;"&amp;"*LY*", MainData[BillTo], IF('YTD Revenue'!$AJ$52="Yes", "Group", "999999")) -
   SUMIFS(MainData[ExtendedPrice], MainData[Date], U352,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2" s="175">
        <f t="shared" si="21"/>
        <v>9483.0649576271171</v>
      </c>
      <c r="X352" s="175">
        <f t="shared" si="22"/>
        <v>73045.8</v>
      </c>
    </row>
    <row r="353" spans="21:24" x14ac:dyDescent="0.25">
      <c r="U353" s="183">
        <f t="shared" ref="U353:U366" si="24">U352+1</f>
        <v>44912</v>
      </c>
      <c r="V353" s="18">
        <f xml:space="preserve"> SUMIFS(MainData[ExtendedPrice], MainData[Date], U353, MainData[Category], "Beverage", MainData[Pricing], "&lt;&gt;"&amp;"*Adjust*", MainData[Pricing], "&lt;&gt;"&amp;"*LY*", MainData[BillTo], IF('YTD Revenue'!$AJ$14="Yes", "Hotel", "999999")) +
   SUMIFS(MainData[ExtendedPrice], MainData[Date], U353, MainData[Category], "Beverage", MainData[Pricing], "&lt;&gt;"&amp;"*Adjust*", MainData[Pricing], "&lt;&gt;"&amp;"*LY*", MainData[BillTo], IF('YTD Revenue'!$AJ$33="Yes", "EPO", "999999")) +
   SUMIFS(MainData[ExtendedPrice], MainData[Date], U353, MainData[Category], "Beverage", MainData[Pricing], "&lt;&gt;"&amp;"*Adjust*", MainData[Pricing], "&lt;&gt;"&amp;"*LY*", MainData[BillTo], IF('YTD Revenue'!$AJ$52="Yes", "Group", "999999")) -
   SUMIFS(MainData[ExtendedPrice], MainData[Date], U353,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3" s="175">
        <f t="shared" si="21"/>
        <v>9483.0649576271171</v>
      </c>
      <c r="X353" s="175">
        <f t="shared" si="22"/>
        <v>73045.8</v>
      </c>
    </row>
    <row r="354" spans="21:24" x14ac:dyDescent="0.25">
      <c r="U354" s="183">
        <f t="shared" si="24"/>
        <v>44913</v>
      </c>
      <c r="V354" s="18">
        <f xml:space="preserve"> SUMIFS(MainData[ExtendedPrice], MainData[Date], U354, MainData[Category], "Beverage", MainData[Pricing], "&lt;&gt;"&amp;"*Adjust*", MainData[Pricing], "&lt;&gt;"&amp;"*LY*", MainData[BillTo], IF('YTD Revenue'!$AJ$14="Yes", "Hotel", "999999")) +
   SUMIFS(MainData[ExtendedPrice], MainData[Date], U354, MainData[Category], "Beverage", MainData[Pricing], "&lt;&gt;"&amp;"*Adjust*", MainData[Pricing], "&lt;&gt;"&amp;"*LY*", MainData[BillTo], IF('YTD Revenue'!$AJ$33="Yes", "EPO", "999999")) +
   SUMIFS(MainData[ExtendedPrice], MainData[Date], U354, MainData[Category], "Beverage", MainData[Pricing], "&lt;&gt;"&amp;"*Adjust*", MainData[Pricing], "&lt;&gt;"&amp;"*LY*", MainData[BillTo], IF('YTD Revenue'!$AJ$52="Yes", "Group", "999999")) -
   SUMIFS(MainData[ExtendedPrice], MainData[Date], U354,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4" s="175">
        <f t="shared" si="21"/>
        <v>9483.0649576271171</v>
      </c>
      <c r="X354" s="175">
        <f t="shared" si="22"/>
        <v>73045.8</v>
      </c>
    </row>
    <row r="355" spans="21:24" x14ac:dyDescent="0.25">
      <c r="U355" s="183">
        <f t="shared" si="24"/>
        <v>44914</v>
      </c>
      <c r="V355" s="18">
        <f xml:space="preserve"> SUMIFS(MainData[ExtendedPrice], MainData[Date], U355, MainData[Category], "Beverage", MainData[Pricing], "&lt;&gt;"&amp;"*Adjust*", MainData[Pricing], "&lt;&gt;"&amp;"*LY*", MainData[BillTo], IF('YTD Revenue'!$AJ$14="Yes", "Hotel", "999999")) +
   SUMIFS(MainData[ExtendedPrice], MainData[Date], U355, MainData[Category], "Beverage", MainData[Pricing], "&lt;&gt;"&amp;"*Adjust*", MainData[Pricing], "&lt;&gt;"&amp;"*LY*", MainData[BillTo], IF('YTD Revenue'!$AJ$33="Yes", "EPO", "999999")) +
   SUMIFS(MainData[ExtendedPrice], MainData[Date], U355, MainData[Category], "Beverage", MainData[Pricing], "&lt;&gt;"&amp;"*Adjust*", MainData[Pricing], "&lt;&gt;"&amp;"*LY*", MainData[BillTo], IF('YTD Revenue'!$AJ$52="Yes", "Group", "999999")) -
   SUMIFS(MainData[ExtendedPrice], MainData[Date], U355,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5" s="175">
        <f t="shared" si="21"/>
        <v>9483.0649576271171</v>
      </c>
      <c r="X355" s="175">
        <f t="shared" si="22"/>
        <v>73045.8</v>
      </c>
    </row>
    <row r="356" spans="21:24" x14ac:dyDescent="0.25">
      <c r="U356" s="183">
        <f t="shared" si="24"/>
        <v>44915</v>
      </c>
      <c r="V356" s="18">
        <f xml:space="preserve"> SUMIFS(MainData[ExtendedPrice], MainData[Date], U356, MainData[Category], "Beverage", MainData[Pricing], "&lt;&gt;"&amp;"*Adjust*", MainData[Pricing], "&lt;&gt;"&amp;"*LY*", MainData[BillTo], IF('YTD Revenue'!$AJ$14="Yes", "Hotel", "999999")) +
   SUMIFS(MainData[ExtendedPrice], MainData[Date], U356, MainData[Category], "Beverage", MainData[Pricing], "&lt;&gt;"&amp;"*Adjust*", MainData[Pricing], "&lt;&gt;"&amp;"*LY*", MainData[BillTo], IF('YTD Revenue'!$AJ$33="Yes", "EPO", "999999")) +
   SUMIFS(MainData[ExtendedPrice], MainData[Date], U356, MainData[Category], "Beverage", MainData[Pricing], "&lt;&gt;"&amp;"*Adjust*", MainData[Pricing], "&lt;&gt;"&amp;"*LY*", MainData[BillTo], IF('YTD Revenue'!$AJ$52="Yes", "Group", "999999")) -
   SUMIFS(MainData[ExtendedPrice], MainData[Date], U356,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6" s="175">
        <f t="shared" si="21"/>
        <v>9483.0649576271171</v>
      </c>
      <c r="X356" s="175">
        <f t="shared" si="22"/>
        <v>73045.8</v>
      </c>
    </row>
    <row r="357" spans="21:24" x14ac:dyDescent="0.25">
      <c r="U357" s="183">
        <f t="shared" si="24"/>
        <v>44916</v>
      </c>
      <c r="V357" s="18">
        <f xml:space="preserve"> SUMIFS(MainData[ExtendedPrice], MainData[Date], U357, MainData[Category], "Beverage", MainData[Pricing], "&lt;&gt;"&amp;"*Adjust*", MainData[Pricing], "&lt;&gt;"&amp;"*LY*", MainData[BillTo], IF('YTD Revenue'!$AJ$14="Yes", "Hotel", "999999")) +
   SUMIFS(MainData[ExtendedPrice], MainData[Date], U357, MainData[Category], "Beverage", MainData[Pricing], "&lt;&gt;"&amp;"*Adjust*", MainData[Pricing], "&lt;&gt;"&amp;"*LY*", MainData[BillTo], IF('YTD Revenue'!$AJ$33="Yes", "EPO", "999999")) +
   SUMIFS(MainData[ExtendedPrice], MainData[Date], U357, MainData[Category], "Beverage", MainData[Pricing], "&lt;&gt;"&amp;"*Adjust*", MainData[Pricing], "&lt;&gt;"&amp;"*LY*", MainData[BillTo], IF('YTD Revenue'!$AJ$52="Yes", "Group", "999999")) -
   SUMIFS(MainData[ExtendedPrice], MainData[Date], U357,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7" s="175">
        <f t="shared" si="21"/>
        <v>9483.0649576271171</v>
      </c>
      <c r="X357" s="175">
        <f t="shared" si="22"/>
        <v>73045.8</v>
      </c>
    </row>
    <row r="358" spans="21:24" x14ac:dyDescent="0.25">
      <c r="U358" s="183">
        <f t="shared" si="24"/>
        <v>44917</v>
      </c>
      <c r="V358" s="18">
        <f xml:space="preserve"> SUMIFS(MainData[ExtendedPrice], MainData[Date], U358, MainData[Category], "Beverage", MainData[Pricing], "&lt;&gt;"&amp;"*Adjust*", MainData[Pricing], "&lt;&gt;"&amp;"*LY*", MainData[BillTo], IF('YTD Revenue'!$AJ$14="Yes", "Hotel", "999999")) +
   SUMIFS(MainData[ExtendedPrice], MainData[Date], U358, MainData[Category], "Beverage", MainData[Pricing], "&lt;&gt;"&amp;"*Adjust*", MainData[Pricing], "&lt;&gt;"&amp;"*LY*", MainData[BillTo], IF('YTD Revenue'!$AJ$33="Yes", "EPO", "999999")) +
   SUMIFS(MainData[ExtendedPrice], MainData[Date], U358, MainData[Category], "Beverage", MainData[Pricing], "&lt;&gt;"&amp;"*Adjust*", MainData[Pricing], "&lt;&gt;"&amp;"*LY*", MainData[BillTo], IF('YTD Revenue'!$AJ$52="Yes", "Group", "999999")) -
   SUMIFS(MainData[ExtendedPrice], MainData[Date], U358,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8" s="175">
        <f t="shared" si="21"/>
        <v>9483.0649576271171</v>
      </c>
      <c r="X358" s="175">
        <f t="shared" si="22"/>
        <v>73045.8</v>
      </c>
    </row>
    <row r="359" spans="21:24" x14ac:dyDescent="0.25">
      <c r="U359" s="183">
        <f t="shared" si="24"/>
        <v>44918</v>
      </c>
      <c r="V359" s="18">
        <f xml:space="preserve"> SUMIFS(MainData[ExtendedPrice], MainData[Date], U359, MainData[Category], "Beverage", MainData[Pricing], "&lt;&gt;"&amp;"*Adjust*", MainData[Pricing], "&lt;&gt;"&amp;"*LY*", MainData[BillTo], IF('YTD Revenue'!$AJ$14="Yes", "Hotel", "999999")) +
   SUMIFS(MainData[ExtendedPrice], MainData[Date], U359, MainData[Category], "Beverage", MainData[Pricing], "&lt;&gt;"&amp;"*Adjust*", MainData[Pricing], "&lt;&gt;"&amp;"*LY*", MainData[BillTo], IF('YTD Revenue'!$AJ$33="Yes", "EPO", "999999")) +
   SUMIFS(MainData[ExtendedPrice], MainData[Date], U359, MainData[Category], "Beverage", MainData[Pricing], "&lt;&gt;"&amp;"*Adjust*", MainData[Pricing], "&lt;&gt;"&amp;"*LY*", MainData[BillTo], IF('YTD Revenue'!$AJ$52="Yes", "Group", "999999")) -
   SUMIFS(MainData[ExtendedPrice], MainData[Date], U359,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9" s="175">
        <f t="shared" si="21"/>
        <v>9483.0649576271171</v>
      </c>
      <c r="X359" s="175">
        <f t="shared" si="22"/>
        <v>73045.8</v>
      </c>
    </row>
    <row r="360" spans="21:24" x14ac:dyDescent="0.25">
      <c r="U360" s="183">
        <f t="shared" si="24"/>
        <v>44919</v>
      </c>
      <c r="V360" s="18">
        <f xml:space="preserve"> SUMIFS(MainData[ExtendedPrice], MainData[Date], U360, MainData[Category], "Beverage", MainData[Pricing], "&lt;&gt;"&amp;"*Adjust*", MainData[Pricing], "&lt;&gt;"&amp;"*LY*", MainData[BillTo], IF('YTD Revenue'!$AJ$14="Yes", "Hotel", "999999")) +
   SUMIFS(MainData[ExtendedPrice], MainData[Date], U360, MainData[Category], "Beverage", MainData[Pricing], "&lt;&gt;"&amp;"*Adjust*", MainData[Pricing], "&lt;&gt;"&amp;"*LY*", MainData[BillTo], IF('YTD Revenue'!$AJ$33="Yes", "EPO", "999999")) +
   SUMIFS(MainData[ExtendedPrice], MainData[Date], U360, MainData[Category], "Beverage", MainData[Pricing], "&lt;&gt;"&amp;"*Adjust*", MainData[Pricing], "&lt;&gt;"&amp;"*LY*", MainData[BillTo], IF('YTD Revenue'!$AJ$52="Yes", "Group", "999999")) -
   SUMIFS(MainData[ExtendedPrice], MainData[Date], U360,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0" s="175">
        <f t="shared" si="21"/>
        <v>9483.0649576271171</v>
      </c>
      <c r="X360" s="175">
        <f t="shared" si="22"/>
        <v>73045.8</v>
      </c>
    </row>
    <row r="361" spans="21:24" x14ac:dyDescent="0.25">
      <c r="U361" s="183">
        <f t="shared" si="24"/>
        <v>44920</v>
      </c>
      <c r="V361" s="18">
        <f xml:space="preserve"> SUMIFS(MainData[ExtendedPrice], MainData[Date], U361, MainData[Category], "Beverage", MainData[Pricing], "&lt;&gt;"&amp;"*Adjust*", MainData[Pricing], "&lt;&gt;"&amp;"*LY*", MainData[BillTo], IF('YTD Revenue'!$AJ$14="Yes", "Hotel", "999999")) +
   SUMIFS(MainData[ExtendedPrice], MainData[Date], U361, MainData[Category], "Beverage", MainData[Pricing], "&lt;&gt;"&amp;"*Adjust*", MainData[Pricing], "&lt;&gt;"&amp;"*LY*", MainData[BillTo], IF('YTD Revenue'!$AJ$33="Yes", "EPO", "999999")) +
   SUMIFS(MainData[ExtendedPrice], MainData[Date], U361, MainData[Category], "Beverage", MainData[Pricing], "&lt;&gt;"&amp;"*Adjust*", MainData[Pricing], "&lt;&gt;"&amp;"*LY*", MainData[BillTo], IF('YTD Revenue'!$AJ$52="Yes", "Group", "999999")) -
   SUMIFS(MainData[ExtendedPrice], MainData[Date], U361,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1" s="175">
        <f t="shared" si="21"/>
        <v>9483.0649576271171</v>
      </c>
      <c r="X361" s="175">
        <f t="shared" si="22"/>
        <v>73045.8</v>
      </c>
    </row>
    <row r="362" spans="21:24" x14ac:dyDescent="0.25">
      <c r="U362" s="183">
        <f t="shared" si="24"/>
        <v>44921</v>
      </c>
      <c r="V362" s="18">
        <f xml:space="preserve"> SUMIFS(MainData[ExtendedPrice], MainData[Date], U362, MainData[Category], "Beverage", MainData[Pricing], "&lt;&gt;"&amp;"*Adjust*", MainData[Pricing], "&lt;&gt;"&amp;"*LY*", MainData[BillTo], IF('YTD Revenue'!$AJ$14="Yes", "Hotel", "999999")) +
   SUMIFS(MainData[ExtendedPrice], MainData[Date], U362, MainData[Category], "Beverage", MainData[Pricing], "&lt;&gt;"&amp;"*Adjust*", MainData[Pricing], "&lt;&gt;"&amp;"*LY*", MainData[BillTo], IF('YTD Revenue'!$AJ$33="Yes", "EPO", "999999")) +
   SUMIFS(MainData[ExtendedPrice], MainData[Date], U362, MainData[Category], "Beverage", MainData[Pricing], "&lt;&gt;"&amp;"*Adjust*", MainData[Pricing], "&lt;&gt;"&amp;"*LY*", MainData[BillTo], IF('YTD Revenue'!$AJ$52="Yes", "Group", "999999")) -
   SUMIFS(MainData[ExtendedPrice], MainData[Date], U362,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2" s="175">
        <f t="shared" si="21"/>
        <v>9483.0649576271171</v>
      </c>
      <c r="X362" s="175">
        <f t="shared" si="22"/>
        <v>73045.8</v>
      </c>
    </row>
    <row r="363" spans="21:24" x14ac:dyDescent="0.25">
      <c r="U363" s="183">
        <f t="shared" si="24"/>
        <v>44922</v>
      </c>
      <c r="V363" s="18">
        <f xml:space="preserve"> SUMIFS(MainData[ExtendedPrice], MainData[Date], U363, MainData[Category], "Beverage", MainData[Pricing], "&lt;&gt;"&amp;"*Adjust*", MainData[Pricing], "&lt;&gt;"&amp;"*LY*", MainData[BillTo], IF('YTD Revenue'!$AJ$14="Yes", "Hotel", "999999")) +
   SUMIFS(MainData[ExtendedPrice], MainData[Date], U363, MainData[Category], "Beverage", MainData[Pricing], "&lt;&gt;"&amp;"*Adjust*", MainData[Pricing], "&lt;&gt;"&amp;"*LY*", MainData[BillTo], IF('YTD Revenue'!$AJ$33="Yes", "EPO", "999999")) +
   SUMIFS(MainData[ExtendedPrice], MainData[Date], U363, MainData[Category], "Beverage", MainData[Pricing], "&lt;&gt;"&amp;"*Adjust*", MainData[Pricing], "&lt;&gt;"&amp;"*LY*", MainData[BillTo], IF('YTD Revenue'!$AJ$52="Yes", "Group", "999999")) -
   SUMIFS(MainData[ExtendedPrice], MainData[Date], U363,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3" s="175">
        <f t="shared" si="21"/>
        <v>9483.0649576271171</v>
      </c>
      <c r="X363" s="175">
        <f t="shared" si="22"/>
        <v>73045.8</v>
      </c>
    </row>
    <row r="364" spans="21:24" x14ac:dyDescent="0.25">
      <c r="U364" s="183">
        <f t="shared" si="24"/>
        <v>44923</v>
      </c>
      <c r="V364" s="18">
        <f xml:space="preserve"> SUMIFS(MainData[ExtendedPrice], MainData[Date], U364, MainData[Category], "Beverage", MainData[Pricing], "&lt;&gt;"&amp;"*Adjust*", MainData[Pricing], "&lt;&gt;"&amp;"*LY*", MainData[BillTo], IF('YTD Revenue'!$AJ$14="Yes", "Hotel", "999999")) +
   SUMIFS(MainData[ExtendedPrice], MainData[Date], U364, MainData[Category], "Beverage", MainData[Pricing], "&lt;&gt;"&amp;"*Adjust*", MainData[Pricing], "&lt;&gt;"&amp;"*LY*", MainData[BillTo], IF('YTD Revenue'!$AJ$33="Yes", "EPO", "999999")) +
   SUMIFS(MainData[ExtendedPrice], MainData[Date], U364, MainData[Category], "Beverage", MainData[Pricing], "&lt;&gt;"&amp;"*Adjust*", MainData[Pricing], "&lt;&gt;"&amp;"*LY*", MainData[BillTo], IF('YTD Revenue'!$AJ$52="Yes", "Group", "999999")) -
   SUMIFS(MainData[ExtendedPrice], MainData[Date], U364,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4" s="175">
        <f t="shared" si="21"/>
        <v>9483.0649576271171</v>
      </c>
      <c r="X364" s="175">
        <f t="shared" si="22"/>
        <v>73045.8</v>
      </c>
    </row>
    <row r="365" spans="21:24" x14ac:dyDescent="0.25">
      <c r="U365" s="183">
        <f t="shared" si="24"/>
        <v>44924</v>
      </c>
      <c r="V365" s="18">
        <f xml:space="preserve"> SUMIFS(MainData[ExtendedPrice], MainData[Date], U365, MainData[Category], "Beverage", MainData[Pricing], "&lt;&gt;"&amp;"*Adjust*", MainData[Pricing], "&lt;&gt;"&amp;"*LY*", MainData[BillTo], IF('YTD Revenue'!$AJ$14="Yes", "Hotel", "999999")) +
   SUMIFS(MainData[ExtendedPrice], MainData[Date], U365, MainData[Category], "Beverage", MainData[Pricing], "&lt;&gt;"&amp;"*Adjust*", MainData[Pricing], "&lt;&gt;"&amp;"*LY*", MainData[BillTo], IF('YTD Revenue'!$AJ$33="Yes", "EPO", "999999")) +
   SUMIFS(MainData[ExtendedPrice], MainData[Date], U365, MainData[Category], "Beverage", MainData[Pricing], "&lt;&gt;"&amp;"*Adjust*", MainData[Pricing], "&lt;&gt;"&amp;"*LY*", MainData[BillTo], IF('YTD Revenue'!$AJ$52="Yes", "Group", "999999")) -
   SUMIFS(MainData[ExtendedPrice], MainData[Date], U365,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5" s="175">
        <f t="shared" si="21"/>
        <v>9483.0649576271171</v>
      </c>
      <c r="X365" s="175">
        <f t="shared" si="22"/>
        <v>73045.8</v>
      </c>
    </row>
    <row r="366" spans="21:24" x14ac:dyDescent="0.25">
      <c r="U366" s="183">
        <f t="shared" si="24"/>
        <v>44925</v>
      </c>
      <c r="V366" s="18">
        <f xml:space="preserve"> SUMIFS(MainData[ExtendedPrice], MainData[Date], U366, MainData[Category], "Beverage", MainData[Pricing], "&lt;&gt;"&amp;"*Adjust*", MainData[Pricing], "&lt;&gt;"&amp;"*LY*", MainData[BillTo], IF('YTD Revenue'!$AJ$14="Yes", "Hotel", "999999")) +
   SUMIFS(MainData[ExtendedPrice], MainData[Date], U366, MainData[Category], "Beverage", MainData[Pricing], "&lt;&gt;"&amp;"*Adjust*", MainData[Pricing], "&lt;&gt;"&amp;"*LY*", MainData[BillTo], IF('YTD Revenue'!$AJ$33="Yes", "EPO", "999999")) +
   SUMIFS(MainData[ExtendedPrice], MainData[Date], U366, MainData[Category], "Beverage", MainData[Pricing], "&lt;&gt;"&amp;"*Adjust*", MainData[Pricing], "&lt;&gt;"&amp;"*LY*", MainData[BillTo], IF('YTD Revenue'!$AJ$52="Yes", "Group", "999999")) -
   SUMIFS(MainData[ExtendedPrice], MainData[Date], U366,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6" s="175">
        <f t="shared" si="21"/>
        <v>9483.0649576271171</v>
      </c>
      <c r="X366" s="175">
        <f t="shared" si="22"/>
        <v>73045.8</v>
      </c>
    </row>
    <row r="367" spans="21:24" x14ac:dyDescent="0.25">
      <c r="U367" s="183">
        <f>U366+1</f>
        <v>44926</v>
      </c>
      <c r="V367" s="18">
        <f xml:space="preserve"> SUMIFS(MainData[ExtendedPrice], MainData[Date], U367, MainData[Category], "Beverage", MainData[Pricing], "&lt;&gt;"&amp;"*Adjust*", MainData[Pricing], "&lt;&gt;"&amp;"*LY*", MainData[BillTo], IF('YTD Revenue'!$AJ$14="Yes", "Hotel", "999999")) +
   SUMIFS(MainData[ExtendedPrice], MainData[Date], U367, MainData[Category], "Beverage", MainData[Pricing], "&lt;&gt;"&amp;"*Adjust*", MainData[Pricing], "&lt;&gt;"&amp;"*LY*", MainData[BillTo], IF('YTD Revenue'!$AJ$33="Yes", "EPO", "999999")) +
   SUMIFS(MainData[ExtendedPrice], MainData[Date], U367, MainData[Category], "Beverage", MainData[Pricing], "&lt;&gt;"&amp;"*Adjust*", MainData[Pricing], "&lt;&gt;"&amp;"*LY*", MainData[BillTo], IF('YTD Revenue'!$AJ$52="Yes", "Group", "999999")) -
   SUMIFS(MainData[ExtendedPrice], MainData[Date], U367,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7" s="175">
        <f t="shared" si="21"/>
        <v>9483.0649576271171</v>
      </c>
      <c r="X367" s="175">
        <f t="shared" si="22"/>
        <v>73045.8</v>
      </c>
    </row>
    <row r="368" spans="21:24" x14ac:dyDescent="0.25">
      <c r="U368" s="183" t="str">
        <f>IF(U367=IF('YTD Revenue'!$AJ$8="Monthly", INT('YTD Revenue'!$AB$8), INT('YTD Revenue'!$AD$8)), "", U367+1)</f>
        <v/>
      </c>
      <c r="V368" s="18">
        <f xml:space="preserve"> SUMIFS(MainData[ExtendedPrice], MainData[Date], U368, MainData[Category], "Beverage", MainData[Pricing], "&lt;&gt;"&amp;"*Adjust*", MainData[Pricing], "&lt;&gt;"&amp;"*LY*", MainData[BillTo], IF('YTD Revenue'!$AJ$14="Yes", "Hotel", "999999")) +
   SUMIFS(MainData[ExtendedPrice], MainData[Date], U368, MainData[Category], "Beverage", MainData[Pricing], "&lt;&gt;"&amp;"*Adjust*", MainData[Pricing], "&lt;&gt;"&amp;"*LY*", MainData[BillTo], IF('YTD Revenue'!$AJ$33="Yes", "EPO", "999999")) +
   SUMIFS(MainData[ExtendedPrice], MainData[Date], U368, MainData[Category], "Beverage", MainData[Pricing], "&lt;&gt;"&amp;"*Adjust*", MainData[Pricing], "&lt;&gt;"&amp;"*LY*", MainData[BillTo], IF('YTD Revenue'!$AJ$52="Yes", "Group", "999999")) -
   SUMIFS(MainData[ExtendedPrice], MainData[Date], U368,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8" s="175">
        <f t="shared" si="21"/>
        <v>9483.0649576271171</v>
      </c>
      <c r="X368" s="175">
        <f t="shared" si="22"/>
        <v>73045.8</v>
      </c>
    </row>
    <row r="369" spans="21:24" x14ac:dyDescent="0.25">
      <c r="U369" s="183"/>
      <c r="V369" s="175"/>
      <c r="W369" s="175"/>
      <c r="X369" s="175"/>
    </row>
    <row r="370" spans="21:24" x14ac:dyDescent="0.25">
      <c r="U370" s="183"/>
      <c r="V370" s="175"/>
      <c r="W370" s="175"/>
      <c r="X370" s="175"/>
    </row>
  </sheetData>
  <sheetProtection sheet="1" objects="1" scenarios="1" selectLockedCells="1"/>
  <mergeCells count="1">
    <mergeCell ref="B3:F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/>
  <dimension ref="B1:BF72"/>
  <sheetViews>
    <sheetView showGridLines="0" zoomScaleNormal="100" workbookViewId="0">
      <pane ySplit="9" topLeftCell="A23" activePane="bottomLeft" state="frozen"/>
      <selection pane="bottomLeft" activeCell="AJ8" sqref="AJ8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5" width="1.42578125" customWidth="1"/>
    <col min="36" max="36" width="17.140625" customWidth="1"/>
    <col min="37" max="38" width="9.140625" style="18" customWidth="1"/>
    <col min="39" max="40" width="9.140625" style="18"/>
    <col min="41" max="46" width="9.140625" style="18" customWidth="1"/>
    <col min="47" max="47" width="9.140625" style="18"/>
    <col min="48" max="48" width="12.7109375" style="18" bestFit="1" customWidth="1"/>
    <col min="49" max="54" width="9.140625" style="18"/>
  </cols>
  <sheetData>
    <row r="1" spans="2:58" ht="18" x14ac:dyDescent="0.25">
      <c r="C1" s="9" t="s">
        <v>16</v>
      </c>
      <c r="AG1" s="38">
        <v>2022</v>
      </c>
      <c r="AH1" s="62"/>
      <c r="AI1" s="62"/>
    </row>
    <row r="2" spans="2:58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02/28/2022</v>
      </c>
    </row>
    <row r="3" spans="2:58" x14ac:dyDescent="0.25">
      <c r="C3" s="200">
        <f>Transactions!$B$3</f>
        <v>44887.394606481481</v>
      </c>
      <c r="D3" s="200"/>
      <c r="E3" s="200"/>
      <c r="F3" s="200"/>
      <c r="G3" s="200"/>
      <c r="H3" s="200"/>
      <c r="I3" s="200"/>
      <c r="J3" s="200"/>
      <c r="K3" s="200"/>
      <c r="L3" s="200"/>
      <c r="AJ3" s="15"/>
    </row>
    <row r="4" spans="2:58" x14ac:dyDescent="0.25">
      <c r="D4" s="17"/>
      <c r="AJ4" s="15" t="s">
        <v>200</v>
      </c>
    </row>
    <row r="5" spans="2:58" x14ac:dyDescent="0.25">
      <c r="D5" s="18"/>
      <c r="F5" s="42" t="str">
        <f>IF(ISBLANK(Reconcile!F5),"",Reconcile!F5)</f>
        <v>Reconciled</v>
      </c>
      <c r="H5" s="42" t="str">
        <f>IF(ISBLANK(Reconcile!H5),"",Reconcile!H5)</f>
        <v>Preliminary</v>
      </c>
      <c r="J5" s="42" t="str">
        <f>IF(ISBLANK(Reconcile!J5),"",Reconcile!J5)</f>
        <v/>
      </c>
      <c r="L5" s="42" t="str">
        <f>IF(ISBLANK(Reconcile!L5),"",Reconcile!L5)</f>
        <v/>
      </c>
      <c r="N5" s="42" t="str">
        <f>IF(ISBLANK(Reconcile!N5),"",Reconcile!N5)</f>
        <v/>
      </c>
      <c r="P5" s="42" t="str">
        <f>IF(ISBLANK(Reconcile!P5),"",Reconcile!P5)</f>
        <v/>
      </c>
      <c r="R5" s="42" t="str">
        <f>IF(ISBLANK(Reconcile!R5),"",Reconcile!R5)</f>
        <v/>
      </c>
      <c r="T5" s="42" t="str">
        <f>IF(ISBLANK(Reconcile!T5),"",Reconcile!T5)</f>
        <v/>
      </c>
      <c r="V5" s="42" t="str">
        <f>IF(ISBLANK(Reconcile!V5),"",Reconcile!V5)</f>
        <v/>
      </c>
      <c r="X5" s="42" t="str">
        <f>IF(ISBLANK(Reconcile!X5),"",Reconcile!X5)</f>
        <v/>
      </c>
      <c r="Z5" s="42" t="str">
        <f>IF(ISBLANK(Reconcile!Z5),"",Reconcile!Z5)</f>
        <v/>
      </c>
      <c r="AB5" s="42" t="str">
        <f>IF(ISBLANK(Reconcile!AB5),"",Reconcile!AB5)</f>
        <v/>
      </c>
      <c r="AD5" s="42" t="str">
        <f>IF(ISBLANK(Reconcile!AD5),"",Reconcile!AD5)</f>
        <v/>
      </c>
      <c r="AJ5" s="65" t="s">
        <v>41</v>
      </c>
      <c r="BC5" s="18"/>
      <c r="BD5" s="18"/>
      <c r="BE5" s="18"/>
      <c r="BF5" s="18"/>
    </row>
    <row r="6" spans="2:58" ht="15" customHeight="1" x14ac:dyDescent="0.25">
      <c r="C6" s="49" t="s">
        <v>62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  <c r="AJ6" s="20"/>
      <c r="BC6" s="18"/>
      <c r="BD6" s="18"/>
      <c r="BE6" s="18"/>
      <c r="BF6" s="18"/>
    </row>
    <row r="7" spans="2:58" ht="15" customHeight="1" x14ac:dyDescent="0.25">
      <c r="C7" s="49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514</v>
      </c>
      <c r="BC7" s="18"/>
      <c r="BD7" s="18"/>
      <c r="BE7" s="18"/>
      <c r="BF7" s="18"/>
    </row>
    <row r="8" spans="2:58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02/28/22</v>
      </c>
      <c r="AJ8" s="137" t="s">
        <v>196</v>
      </c>
      <c r="BC8" s="18"/>
      <c r="BD8" s="18"/>
      <c r="BE8" s="18"/>
      <c r="BF8" s="18"/>
    </row>
    <row r="9" spans="2:58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J9" s="20"/>
      <c r="AO9" s="174"/>
      <c r="AP9" s="174"/>
      <c r="AQ9" s="174"/>
      <c r="AR9" s="174"/>
      <c r="AS9" s="174"/>
      <c r="AT9" s="174"/>
      <c r="BC9" s="18"/>
      <c r="BD9" s="18"/>
      <c r="BE9" s="18"/>
      <c r="BF9" s="18"/>
    </row>
    <row r="10" spans="2:58" ht="9" customHeight="1" x14ac:dyDescent="0.25">
      <c r="C10" s="30"/>
      <c r="F10" s="59" t="str">
        <f>IF(F15&gt;LARGE($F15:$AD15,2),"Highest",IF(AND(F15=_xlfn.MINIFS($F15:$AD15,$F15:$AD15,"&lt;&gt;0"),COUNTIF($F15:$AD15,F15)=1),"Lowest",""))</f>
        <v>Lowest</v>
      </c>
      <c r="G10" s="59"/>
      <c r="H10" s="59" t="str">
        <f>IF(H15&gt;LARGE($F15:$AD15,2),"Highest",IF(AND(H15=_xlfn.MINIFS($F15:$AD15,$F15:$AD15,"&lt;&gt;0"),COUNTIF($F15:$AD15,H15)=1),"Lowest",""))</f>
        <v>Highest</v>
      </c>
      <c r="I10" s="59"/>
      <c r="J10" s="59" t="str">
        <f>IF(J15&gt;LARGE($F15:$AD15,2),"Highest",IF(AND(J15=_xlfn.MINIFS($F15:$AD15,$F15:$AD15,"&lt;&gt;0"),COUNTIF($F15:$AD15,J15)=1),"Lowest",""))</f>
        <v/>
      </c>
      <c r="K10" s="59"/>
      <c r="L10" s="59" t="str">
        <f>IF(L15&gt;LARGE($F15:$AD15,2),"Highest",IF(AND(L15=_xlfn.MINIFS($F15:$AD15,$F15:$AD15,"&lt;&gt;0"),COUNTIF($F15:$AD15,L15)=1),"Lowest",""))</f>
        <v/>
      </c>
      <c r="M10" s="59"/>
      <c r="N10" s="59" t="str">
        <f>IF(N15&gt;LARGE($F15:$AD15,2),"Highest",IF(AND(N15=_xlfn.MINIFS($F15:$AD15,$F15:$AD15,"&lt;&gt;0"),COUNTIF($F15:$AD15,N15)=1),"Lowest",""))</f>
        <v/>
      </c>
      <c r="O10" s="59"/>
      <c r="P10" s="59" t="str">
        <f>IF(P15&gt;LARGE($F15:$AD15,2),"Highest",IF(AND(P15=_xlfn.MINIFS($F15:$AD15,$F15:$AD15,"&lt;&gt;0"),COUNTIF($F15:$AD15,P15)=1),"Lowest",""))</f>
        <v/>
      </c>
      <c r="Q10" s="59"/>
      <c r="R10" s="59" t="str">
        <f>IF(R15&gt;LARGE($F15:$AD15,2),"Highest",IF(AND(R15=_xlfn.MINIFS($F15:$AD15,$F15:$AD15,"&lt;&gt;0"),COUNTIF($F15:$AD15,R15)=1),"Lowest",""))</f>
        <v/>
      </c>
      <c r="S10" s="59"/>
      <c r="T10" s="59" t="str">
        <f>IF(T15&gt;LARGE($F15:$AD15,2),"Highest",IF(AND(T15=_xlfn.MINIFS($F15:$AD15,$F15:$AD15,"&lt;&gt;0"),COUNTIF($F15:$AD15,T15)=1),"Lowest",""))</f>
        <v/>
      </c>
      <c r="U10" s="59"/>
      <c r="V10" s="59" t="str">
        <f>IF(V15&gt;LARGE($F15:$AD15,2),"Highest",IF(AND(V15=_xlfn.MINIFS($F15:$AD15,$F15:$AD15,"&lt;&gt;0"),COUNTIF($F15:$AD15,V15)=1),"Lowest",""))</f>
        <v/>
      </c>
      <c r="W10" s="59"/>
      <c r="X10" s="59" t="str">
        <f>IF(X15&gt;LARGE($F15:$AD15,2),"Highest",IF(AND(X15=_xlfn.MINIFS($F15:$AD15,$F15:$AD15,"&lt;&gt;0"),COUNTIF($F15:$AD15,X15)=1),"Lowest",""))</f>
        <v/>
      </c>
      <c r="Y10" s="59"/>
      <c r="Z10" s="59" t="str">
        <f>IF(Z15&gt;LARGE($F15:$AD15,2),"Highest",IF(AND(Z15=_xlfn.MINIFS($F15:$AD15,$F15:$AD15,"&lt;&gt;0"),COUNTIF($F15:$AD15,Z15)=1),"Lowest",""))</f>
        <v/>
      </c>
      <c r="AA10" s="59"/>
      <c r="AB10" s="59" t="str">
        <f>IF(AB15&gt;LARGE($F15:$AD15,2),"Highest",IF(AND(AB15=_xlfn.MINIFS($F15:$AD15,$F15:$AD15,"&lt;&gt;0"),COUNTIF($F15:$AD15,AB15)=1),"Lowest",""))</f>
        <v/>
      </c>
      <c r="AC10" s="59"/>
      <c r="AD10" s="59" t="str">
        <f>IF(AD15&gt;LARGE($F15:$AD15,2),"Highest",IF(AND(AD15=_xlfn.MINIFS($F15:$AD15,$F15:$AD15,"&lt;&gt;0"),COUNTIF($F15:$AD15,AD15)=1),"Lowest",""))</f>
        <v/>
      </c>
      <c r="AE10" s="27"/>
      <c r="AJ10" s="20"/>
      <c r="BC10" s="18"/>
      <c r="BD10" s="18"/>
      <c r="BE10" s="18"/>
      <c r="BF10" s="18"/>
    </row>
    <row r="11" spans="2:58" ht="15" customHeight="1" x14ac:dyDescent="0.25">
      <c r="B11" s="201" t="s">
        <v>519</v>
      </c>
      <c r="C11" s="202" t="s">
        <v>40</v>
      </c>
      <c r="D11" s="21" t="s">
        <v>36</v>
      </c>
      <c r="F11" s="88">
        <f>IFERROR(F17/F$27,0)</f>
        <v>3.2191069574247146E-2</v>
      </c>
      <c r="G11" s="32"/>
      <c r="H11" s="88">
        <f>IFERROR(H17/H$27,0)</f>
        <v>3.3180007243752266E-2</v>
      </c>
      <c r="I11" s="32"/>
      <c r="J11" s="88">
        <f>IFERROR(J17/J$27,0)</f>
        <v>0</v>
      </c>
      <c r="K11" s="32"/>
      <c r="L11" s="88">
        <f>IFERROR(L17/L$27,0)</f>
        <v>0</v>
      </c>
      <c r="M11" s="32"/>
      <c r="N11" s="88">
        <f>IFERROR(N17/N$27,0)</f>
        <v>0</v>
      </c>
      <c r="O11" s="32"/>
      <c r="P11" s="88">
        <f>IFERROR(P17/P$27,0)</f>
        <v>0</v>
      </c>
      <c r="Q11" s="32"/>
      <c r="R11" s="88">
        <f>IFERROR(R17/R$27,0)</f>
        <v>0</v>
      </c>
      <c r="S11" s="32"/>
      <c r="T11" s="88">
        <f>IFERROR(T17/T$27,0)</f>
        <v>0</v>
      </c>
      <c r="U11" s="32"/>
      <c r="V11" s="88">
        <f>IFERROR(V17/V$27,0)</f>
        <v>0</v>
      </c>
      <c r="W11" s="32"/>
      <c r="X11" s="88">
        <f>IFERROR(X17/X$27,0)</f>
        <v>0</v>
      </c>
      <c r="Y11" s="32"/>
      <c r="Z11" s="88">
        <f>IFERROR(Z17/Z$27,0)</f>
        <v>0</v>
      </c>
      <c r="AA11" s="32"/>
      <c r="AB11" s="88">
        <f>IFERROR(AB17/AB$27,0)</f>
        <v>0</v>
      </c>
      <c r="AC11" s="32"/>
      <c r="AD11" s="88">
        <f>IFERROR(AD17/AD$27,0)</f>
        <v>0</v>
      </c>
      <c r="AE11" s="32"/>
      <c r="AF11" s="33"/>
      <c r="AG11" s="88">
        <f>IFERROR(AG17/AG$27,0)</f>
        <v>3.2924274973147157E-2</v>
      </c>
      <c r="AH11" s="167"/>
      <c r="AJ11" s="20" t="s">
        <v>522</v>
      </c>
      <c r="AM11" s="174"/>
      <c r="AN11" s="174"/>
      <c r="BC11" s="18"/>
      <c r="BD11" s="18"/>
      <c r="BE11" s="18"/>
      <c r="BF11" s="18"/>
    </row>
    <row r="12" spans="2:58" x14ac:dyDescent="0.25">
      <c r="B12" s="201"/>
      <c r="C12" s="202"/>
      <c r="D12" s="21" t="s">
        <v>25</v>
      </c>
      <c r="F12" s="89">
        <f>IFERROR(F18/F$27,0)</f>
        <v>5.5815160955347873E-2</v>
      </c>
      <c r="G12" s="32"/>
      <c r="H12" s="89">
        <f>IFERROR(H18/H$27,0)</f>
        <v>0.10683448026077509</v>
      </c>
      <c r="I12" s="32"/>
      <c r="J12" s="89">
        <f>IFERROR(J18/J$27,0)</f>
        <v>0</v>
      </c>
      <c r="K12" s="32"/>
      <c r="L12" s="89">
        <f>IFERROR(L18/L$27,0)</f>
        <v>0</v>
      </c>
      <c r="M12" s="32"/>
      <c r="N12" s="89">
        <f>IFERROR(N18/N$27,0)</f>
        <v>0</v>
      </c>
      <c r="O12" s="32"/>
      <c r="P12" s="89">
        <f>IFERROR(P18/P$27,0)</f>
        <v>0</v>
      </c>
      <c r="Q12" s="32"/>
      <c r="R12" s="89">
        <f>IFERROR(R18/R$27,0)</f>
        <v>0</v>
      </c>
      <c r="S12" s="32"/>
      <c r="T12" s="89">
        <f>IFERROR(T18/T$27,0)</f>
        <v>0</v>
      </c>
      <c r="U12" s="32"/>
      <c r="V12" s="89">
        <f>IFERROR(V18/V$27,0)</f>
        <v>0</v>
      </c>
      <c r="W12" s="32"/>
      <c r="X12" s="89">
        <f>IFERROR(X18/X$27,0)</f>
        <v>0</v>
      </c>
      <c r="Y12" s="32"/>
      <c r="Z12" s="89">
        <f>IFERROR(Z18/Z$27,0)</f>
        <v>0</v>
      </c>
      <c r="AA12" s="32"/>
      <c r="AB12" s="89">
        <f>IFERROR(AB18/AB$27,0)</f>
        <v>0</v>
      </c>
      <c r="AC12" s="32"/>
      <c r="AD12" s="89">
        <f>IFERROR(AD18/AD$27,0)</f>
        <v>0</v>
      </c>
      <c r="AE12" s="32"/>
      <c r="AF12" s="33"/>
      <c r="AG12" s="89">
        <f>IFERROR(AG18/AG$27,0)</f>
        <v>9.3641245972073045E-2</v>
      </c>
      <c r="AH12" s="167"/>
      <c r="AJ12" s="20" t="s">
        <v>523</v>
      </c>
      <c r="AM12" s="175"/>
      <c r="AN12" s="175"/>
      <c r="BC12" s="18"/>
      <c r="BD12" s="18"/>
      <c r="BE12" s="18"/>
      <c r="BF12" s="18"/>
    </row>
    <row r="13" spans="2:58" x14ac:dyDescent="0.25">
      <c r="B13" s="201"/>
      <c r="C13" s="202"/>
      <c r="D13" s="21" t="s">
        <v>35</v>
      </c>
      <c r="F13" s="90">
        <f>IFERROR(F19/F$27,0)</f>
        <v>2.1287642782969886E-2</v>
      </c>
      <c r="G13" s="32"/>
      <c r="H13" s="90">
        <f>IFERROR(H19/H$27,0)</f>
        <v>2.6349148859109019E-2</v>
      </c>
      <c r="I13" s="32"/>
      <c r="J13" s="90">
        <f>IFERROR(J19/J$27,0)</f>
        <v>0</v>
      </c>
      <c r="K13" s="32"/>
      <c r="L13" s="90">
        <f>IFERROR(L19/L$27,0)</f>
        <v>0</v>
      </c>
      <c r="M13" s="32"/>
      <c r="N13" s="90">
        <f>IFERROR(N19/N$27,0)</f>
        <v>0</v>
      </c>
      <c r="O13" s="32"/>
      <c r="P13" s="90">
        <f>IFERROR(P19/P$27,0)</f>
        <v>0</v>
      </c>
      <c r="Q13" s="32"/>
      <c r="R13" s="90">
        <f>IFERROR(R19/R$27,0)</f>
        <v>0</v>
      </c>
      <c r="S13" s="32"/>
      <c r="T13" s="90">
        <f>IFERROR(T19/T$27,0)</f>
        <v>0</v>
      </c>
      <c r="U13" s="32"/>
      <c r="V13" s="90">
        <f>IFERROR(V19/V$27,0)</f>
        <v>0</v>
      </c>
      <c r="W13" s="32"/>
      <c r="X13" s="90">
        <f>IFERROR(X19/X$27,0)</f>
        <v>0</v>
      </c>
      <c r="Y13" s="32"/>
      <c r="Z13" s="90">
        <f>IFERROR(Z19/Z$27,0)</f>
        <v>0</v>
      </c>
      <c r="AA13" s="32"/>
      <c r="AB13" s="90">
        <f>IFERROR(AB19/AB$27,0)</f>
        <v>0</v>
      </c>
      <c r="AC13" s="32"/>
      <c r="AD13" s="90">
        <f>IFERROR(AD19/AD$27,0)</f>
        <v>0</v>
      </c>
      <c r="AE13" s="32"/>
      <c r="AF13" s="33"/>
      <c r="AG13" s="90">
        <f>IFERROR(AG19/AG$27,0)</f>
        <v>2.5040279269602578E-2</v>
      </c>
      <c r="AH13" s="167"/>
      <c r="AJ13" s="42" t="s">
        <v>524</v>
      </c>
      <c r="AM13" s="175"/>
      <c r="AN13" s="175"/>
      <c r="BC13" s="18"/>
      <c r="BD13" s="18"/>
      <c r="BE13" s="18"/>
      <c r="BF13" s="18"/>
    </row>
    <row r="14" spans="2:58" x14ac:dyDescent="0.25">
      <c r="B14" s="201"/>
      <c r="C14" s="202"/>
      <c r="D14" s="21" t="s">
        <v>24</v>
      </c>
      <c r="F14" s="91">
        <f>IFERROR(F20/F$27,0)</f>
        <v>5.1921079958463139E-3</v>
      </c>
      <c r="G14" s="32"/>
      <c r="H14" s="91">
        <f>IFERROR(H20/H$27,0)</f>
        <v>4.1651575516117346E-3</v>
      </c>
      <c r="I14" s="32"/>
      <c r="J14" s="91">
        <f>IFERROR(J20/J$27,0)</f>
        <v>0</v>
      </c>
      <c r="K14" s="32"/>
      <c r="L14" s="91">
        <f>IFERROR(L20/L$27,0)</f>
        <v>0</v>
      </c>
      <c r="M14" s="32"/>
      <c r="N14" s="91">
        <f>IFERROR(N20/N$27,0)</f>
        <v>0</v>
      </c>
      <c r="O14" s="32"/>
      <c r="P14" s="91">
        <f>IFERROR(P20/P$27,0)</f>
        <v>0</v>
      </c>
      <c r="Q14" s="32"/>
      <c r="R14" s="91">
        <f>IFERROR(R20/R$27,0)</f>
        <v>0</v>
      </c>
      <c r="S14" s="32"/>
      <c r="T14" s="91">
        <f>IFERROR(T20/T$27,0)</f>
        <v>0</v>
      </c>
      <c r="U14" s="32"/>
      <c r="V14" s="91">
        <f>IFERROR(V20/V$27,0)</f>
        <v>0</v>
      </c>
      <c r="W14" s="32"/>
      <c r="X14" s="91">
        <f>IFERROR(X20/X$27,0)</f>
        <v>0</v>
      </c>
      <c r="Y14" s="32"/>
      <c r="Z14" s="91">
        <f>IFERROR(Z20/Z$27,0)</f>
        <v>0</v>
      </c>
      <c r="AA14" s="32"/>
      <c r="AB14" s="91">
        <f>IFERROR(AB20/AB$27,0)</f>
        <v>0</v>
      </c>
      <c r="AC14" s="32"/>
      <c r="AD14" s="91">
        <f>IFERROR(AD20/AD$27,0)</f>
        <v>0</v>
      </c>
      <c r="AE14" s="32"/>
      <c r="AF14" s="33"/>
      <c r="AG14" s="91">
        <f>IFERROR(AG20/AG$27,0)</f>
        <v>4.4307196562835662E-3</v>
      </c>
      <c r="AH14" s="167"/>
      <c r="AJ14" s="137" t="s">
        <v>529</v>
      </c>
      <c r="AM14" s="175"/>
      <c r="AN14" s="175"/>
      <c r="BC14" s="18"/>
      <c r="BD14" s="18"/>
      <c r="BE14" s="18"/>
      <c r="BF14" s="18"/>
    </row>
    <row r="15" spans="2:58" ht="15" customHeight="1" x14ac:dyDescent="0.25">
      <c r="B15" s="201"/>
      <c r="C15" s="49"/>
      <c r="D15" s="10"/>
      <c r="F15" s="92">
        <f>SUM(F11:F14)</f>
        <v>0.11448598130841121</v>
      </c>
      <c r="G15" s="4"/>
      <c r="H15" s="92">
        <f>IFERROR(H21/H27,0)</f>
        <v>0.17052879391524811</v>
      </c>
      <c r="I15" s="4"/>
      <c r="J15" s="92">
        <f>IFERROR(J21/J27,0)</f>
        <v>0</v>
      </c>
      <c r="K15" s="4"/>
      <c r="L15" s="92">
        <f>IFERROR(L21/L27,0)</f>
        <v>0</v>
      </c>
      <c r="M15" s="4"/>
      <c r="N15" s="92">
        <f>IFERROR(N21/N27,0)</f>
        <v>0</v>
      </c>
      <c r="O15" s="4"/>
      <c r="P15" s="92">
        <f>IFERROR(P21/P27,0)</f>
        <v>0</v>
      </c>
      <c r="Q15" s="4"/>
      <c r="R15" s="92">
        <f>IFERROR(R21/R27,0)</f>
        <v>0</v>
      </c>
      <c r="S15" s="4"/>
      <c r="T15" s="92">
        <f>IFERROR(T21/T27,0)</f>
        <v>0</v>
      </c>
      <c r="U15" s="4"/>
      <c r="V15" s="92">
        <f>IFERROR(V21/V27,0)</f>
        <v>0</v>
      </c>
      <c r="W15" s="4"/>
      <c r="X15" s="92">
        <f>IFERROR(X21/X27,0)</f>
        <v>0</v>
      </c>
      <c r="Y15" s="4"/>
      <c r="Z15" s="92">
        <f>IFERROR(Z21/Z27,0)</f>
        <v>0</v>
      </c>
      <c r="AA15" s="4"/>
      <c r="AB15" s="92">
        <f>IFERROR(AB21/AB27,0)</f>
        <v>0</v>
      </c>
      <c r="AC15" s="4"/>
      <c r="AD15" s="92">
        <f>IFERROR(AD21/AD27,0)</f>
        <v>0</v>
      </c>
      <c r="AE15" s="4"/>
      <c r="AG15" s="58">
        <f>IFERROR(AG21/AG27,0)</f>
        <v>0.15603651987110634</v>
      </c>
      <c r="AH15" s="167"/>
      <c r="AM15" s="175"/>
      <c r="AN15" s="175"/>
      <c r="BC15" s="18"/>
      <c r="BD15" s="18"/>
      <c r="BE15" s="18"/>
      <c r="BF15" s="18"/>
    </row>
    <row r="16" spans="2:58" ht="9" customHeight="1" x14ac:dyDescent="0.25">
      <c r="B16" s="201"/>
      <c r="C16" s="49"/>
      <c r="D16" s="2"/>
      <c r="F16" s="59" t="str">
        <f>IF(F21&gt;LARGE($F21:$AD21,2),"Highest",IF(AND(F21=_xlfn.MINIFS($F21:$AD21,$F21:$AD21,"&lt;&gt;0"),COUNTIF($F21:$AD21,F21)=1),"Lowest",""))</f>
        <v>Lowest</v>
      </c>
      <c r="G16" s="59"/>
      <c r="H16" s="59" t="str">
        <f>IF(H21&gt;LARGE($F21:$AD21,2),"Highest",IF(AND(H21=_xlfn.MINIFS($F21:$AD21,$F21:$AD21,"&lt;&gt;0"),COUNTIF($F21:$AD21,H21)=1),"Lowest",""))</f>
        <v>Highest</v>
      </c>
      <c r="I16" s="59"/>
      <c r="J16" s="59" t="str">
        <f>IF(J21&gt;LARGE($F21:$AD21,2),"Highest",IF(AND(J21=_xlfn.MINIFS($F21:$AD21,$F21:$AD21,"&lt;&gt;0"),COUNTIF($F21:$AD21,J21)=1),"Lowest",""))</f>
        <v/>
      </c>
      <c r="K16" s="59"/>
      <c r="L16" s="59" t="str">
        <f>IF(L21&gt;LARGE($F21:$AD21,2),"Highest",IF(AND(L21=_xlfn.MINIFS($F21:$AD21,$F21:$AD21,"&lt;&gt;0"),COUNTIF($F21:$AD21,L21)=1),"Lowest",""))</f>
        <v/>
      </c>
      <c r="M16" s="59"/>
      <c r="N16" s="59" t="str">
        <f>IF(N21&gt;LARGE($F21:$AD21,2),"Highest",IF(AND(N21=_xlfn.MINIFS($F21:$AD21,$F21:$AD21,"&lt;&gt;0"),COUNTIF($F21:$AD21,N21)=1),"Lowest",""))</f>
        <v/>
      </c>
      <c r="O16" s="59"/>
      <c r="P16" s="59" t="str">
        <f>IF(P21&gt;LARGE($F21:$AD21,2),"Highest",IF(AND(P21=_xlfn.MINIFS($F21:$AD21,$F21:$AD21,"&lt;&gt;0"),COUNTIF($F21:$AD21,P21)=1),"Lowest",""))</f>
        <v/>
      </c>
      <c r="Q16" s="59"/>
      <c r="R16" s="59" t="str">
        <f>IF(R21&gt;LARGE($F21:$AD21,2),"Highest",IF(AND(R21=_xlfn.MINIFS($F21:$AD21,$F21:$AD21,"&lt;&gt;0"),COUNTIF($F21:$AD21,R21)=1),"Lowest",""))</f>
        <v/>
      </c>
      <c r="S16" s="59"/>
      <c r="T16" s="59" t="str">
        <f>IF(T21&gt;LARGE($F21:$AD21,2),"Highest",IF(AND(T21=_xlfn.MINIFS($F21:$AD21,$F21:$AD21,"&lt;&gt;0"),COUNTIF($F21:$AD21,T21)=1),"Lowest",""))</f>
        <v/>
      </c>
      <c r="U16" s="59"/>
      <c r="V16" s="59" t="str">
        <f>IF(V21&gt;LARGE($F21:$AD21,2),"Highest",IF(AND(V21=_xlfn.MINIFS($F21:$AD21,$F21:$AD21,"&lt;&gt;0"),COUNTIF($F21:$AD21,V21)=1),"Lowest",""))</f>
        <v/>
      </c>
      <c r="W16" s="59"/>
      <c r="X16" s="59" t="str">
        <f>IF(X21&gt;LARGE($F21:$AD21,2),"Highest",IF(AND(X21=_xlfn.MINIFS($F21:$AD21,$F21:$AD21,"&lt;&gt;0"),COUNTIF($F21:$AD21,X21)=1),"Lowest",""))</f>
        <v/>
      </c>
      <c r="Y16" s="59"/>
      <c r="Z16" s="59" t="str">
        <f>IF(Z21&gt;LARGE($F21:$AD21,2),"Highest",IF(AND(Z21=_xlfn.MINIFS($F21:$AD21,$F21:$AD21,"&lt;&gt;0"),COUNTIF($F21:$AD21,Z21)=1),"Lowest",""))</f>
        <v/>
      </c>
      <c r="AA16" s="59"/>
      <c r="AB16" s="59" t="str">
        <f>IF(AB21&gt;LARGE($F21:$AD21,2),"Highest",IF(AND(AB21=_xlfn.MINIFS($F21:$AD21,$F21:$AD21,"&lt;&gt;0"),COUNTIF($F21:$AD21,AB21)=1),"Lowest",""))</f>
        <v/>
      </c>
      <c r="AC16" s="59"/>
      <c r="AD16" s="59" t="str">
        <f>IF(AD21&gt;LARGE($F21:$AD21,2),"Highest",IF(AND(AD21=_xlfn.MINIFS($F21:$AD21,$F21:$AD21,"&lt;&gt;0"),COUNTIF($F21:$AD21,AD21)=1),"Lowest",""))</f>
        <v/>
      </c>
      <c r="AE16" s="27"/>
      <c r="AH16" s="167"/>
      <c r="AI16" s="55"/>
      <c r="AM16" s="175"/>
      <c r="AN16" s="175"/>
      <c r="BC16" s="18"/>
      <c r="BD16" s="18"/>
      <c r="BE16" s="18"/>
      <c r="BF16" s="18"/>
    </row>
    <row r="17" spans="2:58" ht="15" customHeight="1" x14ac:dyDescent="0.25">
      <c r="B17" s="201"/>
      <c r="C17" s="202" t="s">
        <v>43</v>
      </c>
      <c r="D17" s="21" t="s">
        <v>36</v>
      </c>
      <c r="F17" s="98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98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98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98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98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98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98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98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98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98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98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98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98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67"/>
      <c r="AI17" s="57"/>
      <c r="AJ17" s="20" t="s">
        <v>527</v>
      </c>
      <c r="AM17" s="175"/>
      <c r="AN17" s="175"/>
      <c r="BC17" s="18"/>
      <c r="BD17" s="18"/>
      <c r="BE17" s="18"/>
      <c r="BF17" s="18"/>
    </row>
    <row r="18" spans="2:58" x14ac:dyDescent="0.25">
      <c r="B18" s="201"/>
      <c r="C18" s="202"/>
      <c r="D18" s="21" t="s">
        <v>25</v>
      </c>
      <c r="F18" s="99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99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99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99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99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99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99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99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99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99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99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99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99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67"/>
      <c r="AI18" s="57"/>
      <c r="AJ18" s="20" t="s">
        <v>528</v>
      </c>
      <c r="AM18" s="175"/>
      <c r="AN18" s="175"/>
      <c r="BC18" s="18"/>
      <c r="BD18" s="18"/>
      <c r="BE18" s="18"/>
      <c r="BF18" s="18"/>
    </row>
    <row r="19" spans="2:58" x14ac:dyDescent="0.25">
      <c r="B19" s="201"/>
      <c r="C19" s="202"/>
      <c r="D19" s="21" t="s">
        <v>35</v>
      </c>
      <c r="F19" s="100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0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0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0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0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0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0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0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0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0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0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0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0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67"/>
      <c r="AI19" s="57"/>
      <c r="AJ19" s="20" t="s">
        <v>521</v>
      </c>
      <c r="AM19" s="175"/>
      <c r="AN19" s="175"/>
      <c r="BC19" s="18"/>
      <c r="BD19" s="18"/>
      <c r="BE19" s="18"/>
      <c r="BF19" s="18"/>
    </row>
    <row r="20" spans="2:58" x14ac:dyDescent="0.25">
      <c r="B20" s="201"/>
      <c r="C20" s="202"/>
      <c r="D20" s="21" t="s">
        <v>24</v>
      </c>
      <c r="F20" s="101">
        <f>SUMIFS(MainData[ExtendedCost],MainData[Date],"&gt;="&amp;F$7,MainData[Date],"&lt;="&amp;F$8,MainData[BillTo],"Hotel",MainData[Billable?],"Y",MainData[Category],"Beverage") - SUM(F17:F19) -
  SUMIFS(MainData[ExtendedCost],MainData[Date],"&gt;="&amp;F$7,MainData[Date],"&lt;="&amp;F$8,MainData[BillTo],"Hotel",MainData[Billable?],"Y",MainData[Category],"Beverage",MainData[Product],IF($AJ$20="No","SoftDrink","999999"))</f>
        <v>10</v>
      </c>
      <c r="G20" s="32"/>
      <c r="H20" s="101">
        <f>SUMIFS(MainData[ExtendedCost],MainData[Date],"&gt;="&amp;H$7,MainData[Date],"&lt;="&amp;H$8,MainData[BillTo],"Hotel",MainData[Billable?],"Y",MainData[Category],"Beverage") - SUM(H17:H19) -
  SUMIFS(MainData[ExtendedCost],MainData[Date],"&gt;="&amp;H$7,MainData[Date],"&lt;="&amp;H$8,MainData[BillTo],"Hotel",MainData[Billable?],"Y",MainData[Category],"Beverage",MainData[Product],IF($AJ$20="No","SoftDrink","999999"))</f>
        <v>23</v>
      </c>
      <c r="I20" s="32"/>
      <c r="J20" s="101">
        <f>SUMIFS(MainData[ExtendedCost],MainData[Date],"&gt;="&amp;J$7,MainData[Date],"&lt;="&amp;J$8,MainData[BillTo],"Hotel",MainData[Billable?],"Y",MainData[Category],"Beverage") - SUM(J17:J19) -
  SUMIFS(MainData[ExtendedCost],MainData[Date],"&gt;="&amp;J$7,MainData[Date],"&lt;="&amp;J$8,MainData[BillTo],"Hotel",MainData[Billable?],"Y",MainData[Category],"Beverage",MainData[Product],IF($AJ$20="No","SoftDrink","999999"))</f>
        <v>0</v>
      </c>
      <c r="K20" s="32"/>
      <c r="L20" s="101">
        <f>SUMIFS(MainData[ExtendedCost],MainData[Date],"&gt;="&amp;L$7,MainData[Date],"&lt;="&amp;L$8,MainData[BillTo],"Hotel",MainData[Billable?],"Y",MainData[Category],"Beverage") - SUM(L17:L19) -
  SUMIFS(MainData[ExtendedCost],MainData[Date],"&gt;="&amp;L$7,MainData[Date],"&lt;="&amp;L$8,MainData[BillTo],"Hotel",MainData[Billable?],"Y",MainData[Category],"Beverage",MainData[Product],IF($AJ$20="No","SoftDrink","999999"))</f>
        <v>0</v>
      </c>
      <c r="M20" s="32"/>
      <c r="N20" s="101">
        <f>SUMIFS(MainData[ExtendedCost],MainData[Date],"&gt;="&amp;N$7,MainData[Date],"&lt;="&amp;N$8,MainData[BillTo],"Hotel",MainData[Billable?],"Y",MainData[Category],"Beverage") - SUM(N17:N19) -
  SUMIFS(MainData[ExtendedCost],MainData[Date],"&gt;="&amp;N$7,MainData[Date],"&lt;="&amp;N$8,MainData[BillTo],"Hotel",MainData[Billable?],"Y",MainData[Category],"Beverage",MainData[Product],IF($AJ$20="No","SoftDrink","999999"))</f>
        <v>0</v>
      </c>
      <c r="O20" s="32"/>
      <c r="P20" s="101">
        <f>SUMIFS(MainData[ExtendedCost],MainData[Date],"&gt;="&amp;P$7,MainData[Date],"&lt;="&amp;P$8,MainData[BillTo],"Hotel",MainData[Billable?],"Y",MainData[Category],"Beverage") - SUM(P17:P19) -
  SUMIFS(MainData[ExtendedCost],MainData[Date],"&gt;="&amp;P$7,MainData[Date],"&lt;="&amp;P$8,MainData[BillTo],"Hotel",MainData[Billable?],"Y",MainData[Category],"Beverage",MainData[Product],IF($AJ$20="No","SoftDrink","999999"))</f>
        <v>0</v>
      </c>
      <c r="Q20" s="32"/>
      <c r="R20" s="101">
        <f>SUMIFS(MainData[ExtendedCost],MainData[Date],"&gt;="&amp;R$7,MainData[Date],"&lt;="&amp;R$8,MainData[BillTo],"Hotel",MainData[Billable?],"Y",MainData[Category],"Beverage") - SUM(R17:R19) -
  SUMIFS(MainData[ExtendedCost],MainData[Date],"&gt;="&amp;R$7,MainData[Date],"&lt;="&amp;R$8,MainData[BillTo],"Hotel",MainData[Billable?],"Y",MainData[Category],"Beverage",MainData[Product],IF($AJ$20="No","SoftDrink","999999"))</f>
        <v>0</v>
      </c>
      <c r="S20" s="32"/>
      <c r="T20" s="101">
        <f>SUMIFS(MainData[ExtendedCost],MainData[Date],"&gt;="&amp;T$7,MainData[Date],"&lt;="&amp;T$8,MainData[BillTo],"Hotel",MainData[Billable?],"Y",MainData[Category],"Beverage") - SUM(T17:T19) -
  SUMIFS(MainData[ExtendedCost],MainData[Date],"&gt;="&amp;T$7,MainData[Date],"&lt;="&amp;T$8,MainData[BillTo],"Hotel",MainData[Billable?],"Y",MainData[Category],"Beverage",MainData[Product],IF($AJ$20="No","SoftDrink","999999"))</f>
        <v>0</v>
      </c>
      <c r="U20" s="32"/>
      <c r="V20" s="101">
        <f>SUMIFS(MainData[ExtendedCost],MainData[Date],"&gt;="&amp;V$7,MainData[Date],"&lt;="&amp;V$8,MainData[BillTo],"Hotel",MainData[Billable?],"Y",MainData[Category],"Beverage") - SUM(V17:V19) -
  SUMIFS(MainData[ExtendedCost],MainData[Date],"&gt;="&amp;V$7,MainData[Date],"&lt;="&amp;V$8,MainData[BillTo],"Hotel",MainData[Billable?],"Y",MainData[Category],"Beverage",MainData[Product],IF($AJ$20="No","SoftDrink","999999"))</f>
        <v>0</v>
      </c>
      <c r="W20" s="32"/>
      <c r="X20" s="101">
        <f>SUMIFS(MainData[ExtendedCost],MainData[Date],"&gt;="&amp;X$7,MainData[Date],"&lt;="&amp;X$8,MainData[BillTo],"Hotel",MainData[Billable?],"Y",MainData[Category],"Beverage") - SUM(X17:X19) -
  SUMIFS(MainData[ExtendedCost],MainData[Date],"&gt;="&amp;X$7,MainData[Date],"&lt;="&amp;X$8,MainData[BillTo],"Hotel",MainData[Billable?],"Y",MainData[Category],"Beverage",MainData[Product],IF($AJ$20="No","SoftDrink","999999"))</f>
        <v>0</v>
      </c>
      <c r="Y20" s="32"/>
      <c r="Z20" s="101">
        <f>SUMIFS(MainData[ExtendedCost],MainData[Date],"&gt;="&amp;Z$7,MainData[Date],"&lt;="&amp;Z$8,MainData[BillTo],"Hotel",MainData[Billable?],"Y",MainData[Category],"Beverage") - SUM(Z17:Z19) -
  SUMIFS(MainData[ExtendedCost],MainData[Date],"&gt;="&amp;Z$7,MainData[Date],"&lt;="&amp;Z$8,MainData[BillTo],"Hotel",MainData[Billable?],"Y",MainData[Category],"Beverage",MainData[Product],IF($AJ$20="No","SoftDrink","999999"))</f>
        <v>0</v>
      </c>
      <c r="AA20" s="32"/>
      <c r="AB20" s="101">
        <f>SUMIFS(MainData[ExtendedCost],MainData[Date],"&gt;="&amp;AB$7,MainData[Date],"&lt;="&amp;AB$8,MainData[BillTo],"Hotel",MainData[Billable?],"Y",MainData[Category],"Beverage") - SUM(AB17:AB19) -
  SUMIFS(MainData[ExtendedCost],MainData[Date],"&gt;="&amp;AB$7,MainData[Date],"&lt;="&amp;AB$8,MainData[BillTo],"Hotel",MainData[Billable?],"Y",MainData[Category],"Beverage",MainData[Product],IF($AJ$20="No","SoftDrink","999999"))</f>
        <v>0</v>
      </c>
      <c r="AC20" s="32"/>
      <c r="AD20" s="101">
        <f>SUMIFS(MainData[ExtendedCost],MainData[Date],"&gt;="&amp;AD$7,MainData[Date],"&lt;="&amp;AD$8,MainData[BillTo],"Hotel",MainData[Billable?],"Y",MainData[Category],"Beverage") - SUM(AD17:AD19) -
  SUMIFS(MainData[ExtendedCost],MainData[Date],"&gt;="&amp;AD$7,MainData[Date],"&lt;="&amp;AD$8,MainData[BillTo],"Hotel",MainData[Billable?],"Y",MainData[Category],"Beverage",MainData[Product],IF($AJ$20="No","SoftDrink","999999"))</f>
        <v>0</v>
      </c>
      <c r="AE20" s="32"/>
      <c r="AF20" s="33"/>
      <c r="AG20" s="35">
        <f>SUM(F20:AD20)</f>
        <v>33</v>
      </c>
      <c r="AH20" s="167"/>
      <c r="AI20" s="57"/>
      <c r="AJ20" s="137" t="s">
        <v>513</v>
      </c>
      <c r="AM20" s="175"/>
      <c r="AN20" s="175"/>
      <c r="BC20" s="18"/>
      <c r="BD20" s="18"/>
      <c r="BE20" s="18"/>
      <c r="BF20" s="18"/>
    </row>
    <row r="21" spans="2:58" ht="15" customHeight="1" x14ac:dyDescent="0.25">
      <c r="B21" s="201"/>
      <c r="C21" s="49"/>
      <c r="D21" s="10"/>
      <c r="F21" s="97">
        <f>SUM(F17:F20)</f>
        <v>220.5</v>
      </c>
      <c r="G21" s="4"/>
      <c r="H21" s="97">
        <f>SUM(H17:H20)</f>
        <v>941.66000000000008</v>
      </c>
      <c r="I21" s="4"/>
      <c r="J21" s="97">
        <f>SUM(J17:J20)</f>
        <v>0</v>
      </c>
      <c r="K21" s="4"/>
      <c r="L21" s="97">
        <f>SUM(L17:L20)</f>
        <v>0</v>
      </c>
      <c r="M21" s="4"/>
      <c r="N21" s="97">
        <f>SUM(N17:N20)</f>
        <v>0</v>
      </c>
      <c r="O21" s="4"/>
      <c r="P21" s="97">
        <f>SUM(P17:P20)</f>
        <v>0</v>
      </c>
      <c r="Q21" s="4"/>
      <c r="R21" s="97">
        <f>SUM(R17:R20)</f>
        <v>0</v>
      </c>
      <c r="S21" s="4"/>
      <c r="T21" s="97">
        <f>SUM(T17:T20)</f>
        <v>0</v>
      </c>
      <c r="U21" s="4"/>
      <c r="V21" s="97">
        <f>SUM(V17:V20)</f>
        <v>0</v>
      </c>
      <c r="W21" s="4"/>
      <c r="X21" s="97">
        <f>SUM(X17:X20)</f>
        <v>0</v>
      </c>
      <c r="Y21" s="4"/>
      <c r="Z21" s="97">
        <f>SUM(Z17:Z20)</f>
        <v>0</v>
      </c>
      <c r="AA21" s="4"/>
      <c r="AB21" s="97">
        <f>SUM(AB17:AB20)</f>
        <v>0</v>
      </c>
      <c r="AC21" s="4"/>
      <c r="AD21" s="97">
        <f>SUM(AD17:AD20)</f>
        <v>0</v>
      </c>
      <c r="AE21" s="4"/>
      <c r="AG21" s="4">
        <f>IF(SUM(AG17:AG20)=0,"",SUM(AG17:AG20))</f>
        <v>1162.1600000000001</v>
      </c>
      <c r="AH21" s="167"/>
      <c r="AI21" s="57"/>
      <c r="AM21" s="175"/>
      <c r="AN21" s="175"/>
      <c r="BC21" s="18"/>
      <c r="BD21" s="18"/>
      <c r="BE21" s="18"/>
      <c r="BF21" s="18"/>
    </row>
    <row r="22" spans="2:58" ht="9" customHeight="1" x14ac:dyDescent="0.25">
      <c r="B22" s="201"/>
      <c r="C22" s="56"/>
      <c r="D22" s="2"/>
      <c r="F22" s="59" t="str">
        <f>IF(F27&gt;LARGE($F27:$AD27,2),"Highest",IF(AND(F27=_xlfn.MINIFS($F27:$AD27,$F27:$AD27,"&lt;&gt;0"),COUNTIF($F27:$AD27,F27)=1),"Lowest",""))</f>
        <v>Lowest</v>
      </c>
      <c r="G22" s="59"/>
      <c r="H22" s="59" t="str">
        <f>IF(H27&gt;LARGE($F27:$AD27,2),"Highest",IF(AND(H27=_xlfn.MINIFS($F27:$AD27,$F27:$AD27,"&lt;&gt;0"),COUNTIF($F27:$AD27,H27)=1),"Lowest",""))</f>
        <v>Highest</v>
      </c>
      <c r="I22" s="59"/>
      <c r="J22" s="59" t="str">
        <f>IF(J27&gt;LARGE($F27:$AD27,2),"Highest",IF(AND(J27=_xlfn.MINIFS($F27:$AD27,$F27:$AD27,"&lt;&gt;0"),COUNTIF($F27:$AD27,J27)=1),"Lowest",""))</f>
        <v/>
      </c>
      <c r="K22" s="59"/>
      <c r="L22" s="59" t="str">
        <f>IF(L27&gt;LARGE($F27:$AD27,2),"Highest",IF(AND(L27=_xlfn.MINIFS($F27:$AD27,$F27:$AD27,"&lt;&gt;0"),COUNTIF($F27:$AD27,L27)=1),"Lowest",""))</f>
        <v/>
      </c>
      <c r="M22" s="59"/>
      <c r="N22" s="59" t="str">
        <f>IF(N27&gt;LARGE($F27:$AD27,2),"Highest",IF(AND(N27=_xlfn.MINIFS($F27:$AD27,$F27:$AD27,"&lt;&gt;0"),COUNTIF($F27:$AD27,N27)=1),"Lowest",""))</f>
        <v/>
      </c>
      <c r="O22" s="59"/>
      <c r="P22" s="59" t="str">
        <f>IF(P27&gt;LARGE($F27:$AD27,2),"Highest",IF(AND(P27=_xlfn.MINIFS($F27:$AD27,$F27:$AD27,"&lt;&gt;0"),COUNTIF($F27:$AD27,P27)=1),"Lowest",""))</f>
        <v/>
      </c>
      <c r="Q22" s="59"/>
      <c r="R22" s="59" t="str">
        <f>IF(R27&gt;LARGE($F27:$AD27,2),"Highest",IF(AND(R27=_xlfn.MINIFS($F27:$AD27,$F27:$AD27,"&lt;&gt;0"),COUNTIF($F27:$AD27,R27)=1),"Lowest",""))</f>
        <v/>
      </c>
      <c r="S22" s="59"/>
      <c r="T22" s="59" t="str">
        <f>IF(T27&gt;LARGE($F27:$AD27,2),"Highest",IF(AND(T27=_xlfn.MINIFS($F27:$AD27,$F27:$AD27,"&lt;&gt;0"),COUNTIF($F27:$AD27,T27)=1),"Lowest",""))</f>
        <v/>
      </c>
      <c r="U22" s="59"/>
      <c r="V22" s="59" t="str">
        <f>IF(V27&gt;LARGE($F27:$AD27,2),"Highest",IF(AND(V27=_xlfn.MINIFS($F27:$AD27,$F27:$AD27,"&lt;&gt;0"),COUNTIF($F27:$AD27,V27)=1),"Lowest",""))</f>
        <v/>
      </c>
      <c r="W22" s="59"/>
      <c r="X22" s="59" t="str">
        <f>IF(X27&gt;LARGE($F27:$AD27,2),"Highest",IF(AND(X27=_xlfn.MINIFS($F27:$AD27,$F27:$AD27,"&lt;&gt;0"),COUNTIF($F27:$AD27,X27)=1),"Lowest",""))</f>
        <v/>
      </c>
      <c r="Y22" s="59"/>
      <c r="Z22" s="59" t="str">
        <f>IF(Z27&gt;LARGE($F27:$AD27,2),"Highest",IF(AND(Z27=_xlfn.MINIFS($F27:$AD27,$F27:$AD27,"&lt;&gt;0"),COUNTIF($F27:$AD27,Z27)=1),"Lowest",""))</f>
        <v/>
      </c>
      <c r="AA22" s="59"/>
      <c r="AB22" s="59" t="str">
        <f>IF(AB27&gt;LARGE($F27:$AD27,2),"Highest",IF(AND(AB27=_xlfn.MINIFS($F27:$AD27,$F27:$AD27,"&lt;&gt;0"),COUNTIF($F27:$AD27,AB27)=1),"Lowest",""))</f>
        <v/>
      </c>
      <c r="AC22" s="59"/>
      <c r="AD22" s="59" t="str">
        <f>IF(AD27&gt;LARGE($F27:$AD27,2),"Highest",IF(AND(AD27=_xlfn.MINIFS($F27:$AD27,$F27:$AD27,"&lt;&gt;0"),COUNTIF($F27:$AD27,AD27)=1),"Lowest",""))</f>
        <v/>
      </c>
      <c r="AE22" s="27"/>
      <c r="AH22" s="167"/>
      <c r="AI22" s="57"/>
      <c r="AM22" s="175"/>
      <c r="AN22" s="175"/>
      <c r="BC22" s="18"/>
      <c r="BD22" s="18"/>
      <c r="BE22" s="18"/>
      <c r="BF22" s="18"/>
    </row>
    <row r="23" spans="2:58" ht="15" customHeight="1" x14ac:dyDescent="0.25">
      <c r="B23" s="201"/>
      <c r="C23" s="202" t="s">
        <v>42</v>
      </c>
      <c r="D23" s="21" t="s">
        <v>36</v>
      </c>
      <c r="F23" s="98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98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98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98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98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98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98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98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98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98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98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98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98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67"/>
      <c r="AI23" s="57"/>
      <c r="AM23" s="175"/>
      <c r="AN23" s="175"/>
      <c r="BC23" s="18"/>
      <c r="BD23" s="18"/>
      <c r="BE23" s="18"/>
      <c r="BF23" s="18"/>
    </row>
    <row r="24" spans="2:58" x14ac:dyDescent="0.25">
      <c r="B24" s="201"/>
      <c r="C24" s="202"/>
      <c r="D24" s="21" t="s">
        <v>25</v>
      </c>
      <c r="F24" s="99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99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99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99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99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99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99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99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99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99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99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99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99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67"/>
      <c r="AI24" s="57"/>
      <c r="AM24" s="175"/>
      <c r="AN24" s="175"/>
      <c r="BC24" s="18"/>
      <c r="BD24" s="18"/>
      <c r="BE24" s="18"/>
      <c r="BF24" s="18"/>
    </row>
    <row r="25" spans="2:58" x14ac:dyDescent="0.25">
      <c r="B25" s="201"/>
      <c r="C25" s="202"/>
      <c r="D25" s="21" t="s">
        <v>35</v>
      </c>
      <c r="F25" s="100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0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0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0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0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0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0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0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0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0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0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0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0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67"/>
      <c r="AI25" s="57"/>
      <c r="BC25" s="18"/>
      <c r="BD25" s="18"/>
      <c r="BE25" s="18"/>
      <c r="BF25" s="18"/>
    </row>
    <row r="26" spans="2:58" x14ac:dyDescent="0.25">
      <c r="B26" s="201"/>
      <c r="C26" s="202"/>
      <c r="D26" s="21" t="s">
        <v>24</v>
      </c>
      <c r="F26" s="101">
        <f>SUMIFS(MainData[ExtendedPrice],MainData[Date],"&gt;="&amp;F$7,MainData[Date],"&lt;="&amp;F$8,MainData[BillTo],"Hotel",MainData[Billable?],"Y",MainData[Category],"Beverage") - SUM(F23:F25) -
  SUMIFS(MainData[ExtendedPrice],MainData[Date],"&gt;="&amp;F$7,MainData[Date],"&lt;="&amp;F$8,MainData[BillTo],"Hotel",MainData[Billable?],"Y",MainData[Category],"Beverage",MainData[Product],IF($AJ$20="No","SoftDrink","999999"))</f>
        <v>84</v>
      </c>
      <c r="G26" s="32"/>
      <c r="H26" s="101">
        <f>SUMIFS(MainData[ExtendedPrice],MainData[Date],"&gt;="&amp;H$7,MainData[Date],"&lt;="&amp;H$8,MainData[BillTo],"Hotel",MainData[Billable?],"Y",MainData[Category],"Beverage") - SUM(H23:H25) -
  SUMIFS(MainData[ExtendedPrice],MainData[Date],"&gt;="&amp;H$7,MainData[Date],"&lt;="&amp;H$8,MainData[BillTo],"Hotel",MainData[Billable?],"Y",MainData[Category],"Beverage",MainData[Product],IF($AJ$20="No","SoftDrink","999999"))</f>
        <v>385</v>
      </c>
      <c r="I26" s="32"/>
      <c r="J26" s="101">
        <f>SUMIFS(MainData[ExtendedPrice],MainData[Date],"&gt;="&amp;J$7,MainData[Date],"&lt;="&amp;J$8,MainData[BillTo],"Hotel",MainData[Billable?],"Y",MainData[Category],"Beverage") - SUM(J23:J25) -
  SUMIFS(MainData[ExtendedPrice],MainData[Date],"&gt;="&amp;J$7,MainData[Date],"&lt;="&amp;J$8,MainData[BillTo],"Hotel",MainData[Billable?],"Y",MainData[Category],"Beverage",MainData[Product],IF($AJ$20="No","SoftDrink","999999"))</f>
        <v>0</v>
      </c>
      <c r="K26" s="32"/>
      <c r="L26" s="101">
        <f>SUMIFS(MainData[ExtendedPrice],MainData[Date],"&gt;="&amp;L$7,MainData[Date],"&lt;="&amp;L$8,MainData[BillTo],"Hotel",MainData[Billable?],"Y",MainData[Category],"Beverage") - SUM(L23:L25) -
  SUMIFS(MainData[ExtendedPrice],MainData[Date],"&gt;="&amp;L$7,MainData[Date],"&lt;="&amp;L$8,MainData[BillTo],"Hotel",MainData[Billable?],"Y",MainData[Category],"Beverage",MainData[Product],IF($AJ$20="No","SoftDrink","999999"))</f>
        <v>0</v>
      </c>
      <c r="M26" s="32"/>
      <c r="N26" s="101">
        <f>SUMIFS(MainData[ExtendedPrice],MainData[Date],"&gt;="&amp;N$7,MainData[Date],"&lt;="&amp;N$8,MainData[BillTo],"Hotel",MainData[Billable?],"Y",MainData[Category],"Beverage") - SUM(N23:N25) -
  SUMIFS(MainData[ExtendedPrice],MainData[Date],"&gt;="&amp;N$7,MainData[Date],"&lt;="&amp;N$8,MainData[BillTo],"Hotel",MainData[Billable?],"Y",MainData[Category],"Beverage",MainData[Product],IF($AJ$20="No","SoftDrink","999999"))</f>
        <v>0</v>
      </c>
      <c r="O26" s="32"/>
      <c r="P26" s="101">
        <f>SUMIFS(MainData[ExtendedPrice],MainData[Date],"&gt;="&amp;P$7,MainData[Date],"&lt;="&amp;P$8,MainData[BillTo],"Hotel",MainData[Billable?],"Y",MainData[Category],"Beverage") - SUM(P23:P25) -
  SUMIFS(MainData[ExtendedPrice],MainData[Date],"&gt;="&amp;P$7,MainData[Date],"&lt;="&amp;P$8,MainData[BillTo],"Hotel",MainData[Billable?],"Y",MainData[Category],"Beverage",MainData[Product],IF($AJ$20="No","SoftDrink","999999"))</f>
        <v>0</v>
      </c>
      <c r="Q26" s="32"/>
      <c r="R26" s="101">
        <f>SUMIFS(MainData[ExtendedPrice],MainData[Date],"&gt;="&amp;R$7,MainData[Date],"&lt;="&amp;R$8,MainData[BillTo],"Hotel",MainData[Billable?],"Y",MainData[Category],"Beverage") - SUM(R23:R25) -
  SUMIFS(MainData[ExtendedPrice],MainData[Date],"&gt;="&amp;R$7,MainData[Date],"&lt;="&amp;R$8,MainData[BillTo],"Hotel",MainData[Billable?],"Y",MainData[Category],"Beverage",MainData[Product],IF($AJ$20="No","SoftDrink","999999"))</f>
        <v>0</v>
      </c>
      <c r="S26" s="32"/>
      <c r="T26" s="101">
        <f>SUMIFS(MainData[ExtendedPrice],MainData[Date],"&gt;="&amp;T$7,MainData[Date],"&lt;="&amp;T$8,MainData[BillTo],"Hotel",MainData[Billable?],"Y",MainData[Category],"Beverage") - SUM(T23:T25) -
  SUMIFS(MainData[ExtendedPrice],MainData[Date],"&gt;="&amp;T$7,MainData[Date],"&lt;="&amp;T$8,MainData[BillTo],"Hotel",MainData[Billable?],"Y",MainData[Category],"Beverage",MainData[Product],IF($AJ$20="No","SoftDrink","999999"))</f>
        <v>0</v>
      </c>
      <c r="U26" s="32"/>
      <c r="V26" s="101">
        <f>SUMIFS(MainData[ExtendedPrice],MainData[Date],"&gt;="&amp;V$7,MainData[Date],"&lt;="&amp;V$8,MainData[BillTo],"Hotel",MainData[Billable?],"Y",MainData[Category],"Beverage") - SUM(V23:V25) -
  SUMIFS(MainData[ExtendedPrice],MainData[Date],"&gt;="&amp;V$7,MainData[Date],"&lt;="&amp;V$8,MainData[BillTo],"Hotel",MainData[Billable?],"Y",MainData[Category],"Beverage",MainData[Product],IF($AJ$20="No","SoftDrink","999999"))</f>
        <v>0</v>
      </c>
      <c r="W26" s="32"/>
      <c r="X26" s="101">
        <f>SUMIFS(MainData[ExtendedPrice],MainData[Date],"&gt;="&amp;X$7,MainData[Date],"&lt;="&amp;X$8,MainData[BillTo],"Hotel",MainData[Billable?],"Y",MainData[Category],"Beverage") - SUM(X23:X25) -
  SUMIFS(MainData[ExtendedPrice],MainData[Date],"&gt;="&amp;X$7,MainData[Date],"&lt;="&amp;X$8,MainData[BillTo],"Hotel",MainData[Billable?],"Y",MainData[Category],"Beverage",MainData[Product],IF($AJ$20="No","SoftDrink","999999"))</f>
        <v>0</v>
      </c>
      <c r="Y26" s="32"/>
      <c r="Z26" s="101">
        <f>SUMIFS(MainData[ExtendedPrice],MainData[Date],"&gt;="&amp;Z$7,MainData[Date],"&lt;="&amp;Z$8,MainData[BillTo],"Hotel",MainData[Billable?],"Y",MainData[Category],"Beverage") - SUM(Z23:Z25) -
  SUMIFS(MainData[ExtendedPrice],MainData[Date],"&gt;="&amp;Z$7,MainData[Date],"&lt;="&amp;Z$8,MainData[BillTo],"Hotel",MainData[Billable?],"Y",MainData[Category],"Beverage",MainData[Product],IF($AJ$20="No","SoftDrink","999999"))</f>
        <v>0</v>
      </c>
      <c r="AA26" s="32"/>
      <c r="AB26" s="101">
        <f>SUMIFS(MainData[ExtendedPrice],MainData[Date],"&gt;="&amp;AB$7,MainData[Date],"&lt;="&amp;AB$8,MainData[BillTo],"Hotel",MainData[Billable?],"Y",MainData[Category],"Beverage") - SUM(AB23:AB25) -
  SUMIFS(MainData[ExtendedPrice],MainData[Date],"&gt;="&amp;AB$7,MainData[Date],"&lt;="&amp;AB$8,MainData[BillTo],"Hotel",MainData[Billable?],"Y",MainData[Category],"Beverage",MainData[Product],IF($AJ$20="No","SoftDrink","999999"))</f>
        <v>0</v>
      </c>
      <c r="AC26" s="32"/>
      <c r="AD26" s="101">
        <f>SUMIFS(MainData[ExtendedPrice],MainData[Date],"&gt;="&amp;AD$7,MainData[Date],"&lt;="&amp;AD$8,MainData[BillTo],"Hotel",MainData[Billable?],"Y",MainData[Category],"Beverage") - SUM(AD23:AD25) -
  SUMIFS(MainData[ExtendedPrice],MainData[Date],"&gt;="&amp;AD$7,MainData[Date],"&lt;="&amp;AD$8,MainData[BillTo],"Hotel",MainData[Billable?],"Y",MainData[Category],"Beverage",MainData[Product],IF($AJ$20="No","SoftDrink","999999"))</f>
        <v>0</v>
      </c>
      <c r="AE26" s="32"/>
      <c r="AF26" s="33"/>
      <c r="AG26" s="35">
        <f>SUM(F26:AD26)</f>
        <v>469</v>
      </c>
      <c r="AH26" s="167"/>
      <c r="AI26" s="57"/>
      <c r="BC26" s="18"/>
      <c r="BD26" s="18"/>
      <c r="BE26" s="18"/>
      <c r="BF26" s="18"/>
    </row>
    <row r="27" spans="2:58" ht="15" customHeight="1" x14ac:dyDescent="0.25">
      <c r="C27" s="30"/>
      <c r="D27" s="10"/>
      <c r="F27" s="97">
        <f>SUM(F23:F26)</f>
        <v>1926</v>
      </c>
      <c r="G27" s="4"/>
      <c r="H27" s="97">
        <f>SUM(H23:H26)</f>
        <v>5522</v>
      </c>
      <c r="I27" s="4"/>
      <c r="J27" s="97">
        <f>SUM(J23:J26)</f>
        <v>0</v>
      </c>
      <c r="K27" s="4"/>
      <c r="L27" s="97">
        <f>SUM(L23:L26)</f>
        <v>0</v>
      </c>
      <c r="M27" s="4"/>
      <c r="N27" s="97">
        <f>SUM(N23:N26)</f>
        <v>0</v>
      </c>
      <c r="O27" s="4"/>
      <c r="P27" s="97">
        <f>SUM(P23:P26)</f>
        <v>0</v>
      </c>
      <c r="Q27" s="4"/>
      <c r="R27" s="97">
        <f>SUM(R23:R26)</f>
        <v>0</v>
      </c>
      <c r="S27" s="4"/>
      <c r="T27" s="97">
        <f>SUM(T23:T26)</f>
        <v>0</v>
      </c>
      <c r="U27" s="4"/>
      <c r="V27" s="97">
        <f>SUM(V23:V26)</f>
        <v>0</v>
      </c>
      <c r="W27" s="4"/>
      <c r="X27" s="97">
        <f>SUM(X23:X26)</f>
        <v>0</v>
      </c>
      <c r="Y27" s="4"/>
      <c r="Z27" s="97">
        <f>SUM(Z23:Z26)</f>
        <v>0</v>
      </c>
      <c r="AA27" s="4"/>
      <c r="AB27" s="97">
        <f>SUM(AB23:AB26)</f>
        <v>0</v>
      </c>
      <c r="AC27" s="4"/>
      <c r="AD27" s="97">
        <f>SUM(AD23:AD26)</f>
        <v>0</v>
      </c>
      <c r="AE27" s="4"/>
      <c r="AG27" s="4">
        <f>IF(SUM(AG23:AG26)=0,"",SUM(AG23:AG26))</f>
        <v>7448</v>
      </c>
      <c r="AJ27" s="20"/>
      <c r="BC27" s="18"/>
      <c r="BD27" s="18"/>
      <c r="BE27" s="18"/>
      <c r="BF27" s="18"/>
    </row>
    <row r="28" spans="2:58" ht="15" customHeight="1" x14ac:dyDescent="0.25">
      <c r="C28" s="30"/>
      <c r="D28" s="10"/>
      <c r="F28" s="128"/>
      <c r="G28" s="4"/>
      <c r="H28" s="128"/>
      <c r="I28" s="4"/>
      <c r="J28" s="128"/>
      <c r="K28" s="4"/>
      <c r="L28" s="128"/>
      <c r="M28" s="4"/>
      <c r="N28" s="128"/>
      <c r="O28" s="4"/>
      <c r="P28" s="128"/>
      <c r="Q28" s="4"/>
      <c r="R28" s="128"/>
      <c r="S28" s="4"/>
      <c r="T28" s="128"/>
      <c r="U28" s="4"/>
      <c r="V28" s="128"/>
      <c r="W28" s="4"/>
      <c r="X28" s="128"/>
      <c r="Y28" s="4"/>
      <c r="Z28" s="128"/>
      <c r="AA28" s="4"/>
      <c r="AB28" s="128"/>
      <c r="AC28" s="4"/>
      <c r="AD28" s="128"/>
      <c r="AE28" s="4"/>
      <c r="AG28" s="4"/>
      <c r="AJ28" s="20"/>
      <c r="BC28" s="18"/>
      <c r="BD28" s="18"/>
      <c r="BE28" s="18"/>
      <c r="BF28" s="18"/>
    </row>
    <row r="29" spans="2:58" ht="9" customHeight="1" x14ac:dyDescent="0.25">
      <c r="C29" s="30"/>
      <c r="F29" s="59" t="str">
        <f>IF(F34&gt;LARGE($F34:$AD34,2),"Highest",IF(AND(F34=_xlfn.MINIFS($F34:$AD34,$F34:$AD34,"&lt;&gt;0"),COUNTIF($F34:$AD34,F34)=1),"Lowest",""))</f>
        <v>Lowest</v>
      </c>
      <c r="G29" s="59"/>
      <c r="H29" s="59" t="str">
        <f>IF(H34&gt;LARGE($F34:$AD34,2),"Highest",IF(AND(H34=_xlfn.MINIFS($F34:$AD34,$F34:$AD34,"&lt;&gt;0"),COUNTIF($F34:$AD34,H34)=1),"Lowest",""))</f>
        <v>Highest</v>
      </c>
      <c r="I29" s="59"/>
      <c r="J29" s="59" t="str">
        <f>IF(J34&gt;LARGE($F34:$AD34,2),"Highest",IF(AND(J34=_xlfn.MINIFS($F34:$AD34,$F34:$AD34,"&lt;&gt;0"),COUNTIF($F34:$AD34,J34)=1),"Lowest",""))</f>
        <v/>
      </c>
      <c r="K29" s="59"/>
      <c r="L29" s="59" t="str">
        <f>IF(L34&gt;LARGE($F34:$AD34,2),"Highest",IF(AND(L34=_xlfn.MINIFS($F34:$AD34,$F34:$AD34,"&lt;&gt;0"),COUNTIF($F34:$AD34,L34)=1),"Lowest",""))</f>
        <v/>
      </c>
      <c r="M29" s="59"/>
      <c r="N29" s="59" t="str">
        <f>IF(N34&gt;LARGE($F34:$AD34,2),"Highest",IF(AND(N34=_xlfn.MINIFS($F34:$AD34,$F34:$AD34,"&lt;&gt;0"),COUNTIF($F34:$AD34,N34)=1),"Lowest",""))</f>
        <v/>
      </c>
      <c r="O29" s="59"/>
      <c r="P29" s="59" t="str">
        <f>IF(P34&gt;LARGE($F34:$AD34,2),"Highest",IF(AND(P34=_xlfn.MINIFS($F34:$AD34,$F34:$AD34,"&lt;&gt;0"),COUNTIF($F34:$AD34,P34)=1),"Lowest",""))</f>
        <v/>
      </c>
      <c r="Q29" s="59"/>
      <c r="R29" s="59" t="str">
        <f>IF(R34&gt;LARGE($F34:$AD34,2),"Highest",IF(AND(R34=_xlfn.MINIFS($F34:$AD34,$F34:$AD34,"&lt;&gt;0"),COUNTIF($F34:$AD34,R34)=1),"Lowest",""))</f>
        <v/>
      </c>
      <c r="S29" s="59"/>
      <c r="T29" s="59" t="str">
        <f>IF(T34&gt;LARGE($F34:$AD34,2),"Highest",IF(AND(T34=_xlfn.MINIFS($F34:$AD34,$F34:$AD34,"&lt;&gt;0"),COUNTIF($F34:$AD34,T34)=1),"Lowest",""))</f>
        <v/>
      </c>
      <c r="U29" s="59"/>
      <c r="V29" s="59" t="str">
        <f>IF(V34&gt;LARGE($F34:$AD34,2),"Highest",IF(AND(V34=_xlfn.MINIFS($F34:$AD34,$F34:$AD34,"&lt;&gt;0"),COUNTIF($F34:$AD34,V34)=1),"Lowest",""))</f>
        <v/>
      </c>
      <c r="W29" s="59"/>
      <c r="X29" s="59" t="str">
        <f>IF(X34&gt;LARGE($F34:$AD34,2),"Highest",IF(AND(X34=_xlfn.MINIFS($F34:$AD34,$F34:$AD34,"&lt;&gt;0"),COUNTIF($F34:$AD34,X34)=1),"Lowest",""))</f>
        <v/>
      </c>
      <c r="Y29" s="59"/>
      <c r="Z29" s="59" t="str">
        <f>IF(Z34&gt;LARGE($F34:$AD34,2),"Highest",IF(AND(Z34=_xlfn.MINIFS($F34:$AD34,$F34:$AD34,"&lt;&gt;0"),COUNTIF($F34:$AD34,Z34)=1),"Lowest",""))</f>
        <v/>
      </c>
      <c r="AA29" s="59"/>
      <c r="AB29" s="59" t="str">
        <f>IF(AB34&gt;LARGE($F34:$AD34,2),"Highest",IF(AND(AB34=_xlfn.MINIFS($F34:$AD34,$F34:$AD34,"&lt;&gt;0"),COUNTIF($F34:$AD34,AB34)=1),"Lowest",""))</f>
        <v/>
      </c>
      <c r="AC29" s="59"/>
      <c r="AD29" s="59" t="str">
        <f>IF(AD34&gt;LARGE($F34:$AD34,2),"Highest",IF(AND(AD34=_xlfn.MINIFS($F34:$AD34,$F34:$AD34,"&lt;&gt;0"),COUNTIF($F34:$AD34,AD34)=1),"Lowest",""))</f>
        <v/>
      </c>
      <c r="AE29" s="27"/>
      <c r="AI29" s="18"/>
      <c r="AJ29" s="42"/>
      <c r="AK29" s="174"/>
      <c r="BC29" s="18"/>
      <c r="BD29" s="18"/>
      <c r="BE29" s="18"/>
      <c r="BF29" s="18"/>
    </row>
    <row r="30" spans="2:58" ht="15" customHeight="1" x14ac:dyDescent="0.25">
      <c r="B30" s="201" t="s">
        <v>520</v>
      </c>
      <c r="C30" s="202" t="s">
        <v>40</v>
      </c>
      <c r="D30" s="21" t="s">
        <v>36</v>
      </c>
      <c r="F30" s="88">
        <f>IFERROR(F36/F$65,0)</f>
        <v>2.5500135717840348E-4</v>
      </c>
      <c r="G30" s="32"/>
      <c r="H30" s="88">
        <f>IFERROR(H36/H$65,0)</f>
        <v>4.1461335154129976E-3</v>
      </c>
      <c r="I30" s="32"/>
      <c r="J30" s="88">
        <f>IFERROR(J36/J$65,0)</f>
        <v>0</v>
      </c>
      <c r="K30" s="32"/>
      <c r="L30" s="88">
        <f>IFERROR(L36/L$65,0)</f>
        <v>0</v>
      </c>
      <c r="M30" s="32"/>
      <c r="N30" s="88">
        <f>IFERROR(N36/N$65,0)</f>
        <v>0</v>
      </c>
      <c r="O30" s="32"/>
      <c r="P30" s="88">
        <f>IFERROR(P36/P$65,0)</f>
        <v>0</v>
      </c>
      <c r="Q30" s="32"/>
      <c r="R30" s="88">
        <f>IFERROR(R36/R$65,0)</f>
        <v>0</v>
      </c>
      <c r="S30" s="32"/>
      <c r="T30" s="88">
        <f>IFERROR(T36/T$65,0)</f>
        <v>0</v>
      </c>
      <c r="U30" s="32"/>
      <c r="V30" s="88">
        <f>IFERROR(V36/V$65,0)</f>
        <v>0</v>
      </c>
      <c r="W30" s="32"/>
      <c r="X30" s="88">
        <f>IFERROR(X36/X$65,0)</f>
        <v>0</v>
      </c>
      <c r="Y30" s="32"/>
      <c r="Z30" s="88">
        <f>IFERROR(Z36/Z$65,0)</f>
        <v>0</v>
      </c>
      <c r="AA30" s="32"/>
      <c r="AB30" s="88">
        <f>IFERROR(AB36/AB$65,0)</f>
        <v>0</v>
      </c>
      <c r="AC30" s="32"/>
      <c r="AD30" s="88">
        <f>IFERROR(AD36/AD$65,0)</f>
        <v>0</v>
      </c>
      <c r="AE30" s="32"/>
      <c r="AF30" s="33"/>
      <c r="AG30" s="88">
        <f>IFERROR(AG36/AG$65,0)</f>
        <v>2.1299645043284074E-3</v>
      </c>
      <c r="AH30" s="167"/>
      <c r="AI30" s="18"/>
      <c r="AJ30" s="20" t="s">
        <v>522</v>
      </c>
      <c r="AK30" s="175"/>
      <c r="BC30" s="18"/>
      <c r="BD30" s="18"/>
      <c r="BE30" s="18"/>
      <c r="BF30" s="18"/>
    </row>
    <row r="31" spans="2:58" x14ac:dyDescent="0.25">
      <c r="B31" s="201"/>
      <c r="C31" s="202"/>
      <c r="D31" s="21" t="s">
        <v>25</v>
      </c>
      <c r="F31" s="89">
        <f>IFERROR(F37/F$65,0)</f>
        <v>1.7661820001274656E-6</v>
      </c>
      <c r="G31" s="32"/>
      <c r="H31" s="89">
        <f>IFERROR(H37/H$65,0)</f>
        <v>8.2121209842177635E-4</v>
      </c>
      <c r="I31" s="32"/>
      <c r="J31" s="89">
        <f>IFERROR(J37/J$65,0)</f>
        <v>0</v>
      </c>
      <c r="K31" s="32"/>
      <c r="L31" s="89">
        <f>IFERROR(L37/L$65,0)</f>
        <v>0</v>
      </c>
      <c r="M31" s="32"/>
      <c r="N31" s="89">
        <f>IFERROR(N37/N$65,0)</f>
        <v>0</v>
      </c>
      <c r="O31" s="32"/>
      <c r="P31" s="89">
        <f>IFERROR(P37/P$65,0)</f>
        <v>0</v>
      </c>
      <c r="Q31" s="32"/>
      <c r="R31" s="89">
        <f>IFERROR(R37/R$65,0)</f>
        <v>0</v>
      </c>
      <c r="S31" s="32"/>
      <c r="T31" s="89">
        <f>IFERROR(T37/T$65,0)</f>
        <v>0</v>
      </c>
      <c r="U31" s="32"/>
      <c r="V31" s="89">
        <f>IFERROR(V37/V$65,0)</f>
        <v>0</v>
      </c>
      <c r="W31" s="32"/>
      <c r="X31" s="89">
        <f>IFERROR(X37/X$65,0)</f>
        <v>0</v>
      </c>
      <c r="Y31" s="32"/>
      <c r="Z31" s="89">
        <f>IFERROR(Z37/Z$65,0)</f>
        <v>0</v>
      </c>
      <c r="AA31" s="32"/>
      <c r="AB31" s="89">
        <f>IFERROR(AB37/AB$65,0)</f>
        <v>0</v>
      </c>
      <c r="AC31" s="32"/>
      <c r="AD31" s="89">
        <f>IFERROR(AD37/AD$65,0)</f>
        <v>0</v>
      </c>
      <c r="AE31" s="32"/>
      <c r="AF31" s="33"/>
      <c r="AG31" s="89">
        <f>IFERROR(AG37/AG$65,0)</f>
        <v>3.9662064386200162E-4</v>
      </c>
      <c r="AH31" s="167"/>
      <c r="AI31" s="18"/>
      <c r="AJ31" s="20" t="s">
        <v>523</v>
      </c>
      <c r="AK31" s="175"/>
      <c r="BC31" s="18"/>
      <c r="BD31" s="18"/>
      <c r="BE31" s="18"/>
      <c r="BF31" s="18"/>
    </row>
    <row r="32" spans="2:58" x14ac:dyDescent="0.25">
      <c r="B32" s="201"/>
      <c r="C32" s="202"/>
      <c r="D32" s="21" t="s">
        <v>35</v>
      </c>
      <c r="F32" s="90">
        <f>IFERROR(F38/F$65,0)</f>
        <v>0</v>
      </c>
      <c r="G32" s="32"/>
      <c r="H32" s="90">
        <f>IFERROR(H38/H$65,0)</f>
        <v>5.4165053300159714E-4</v>
      </c>
      <c r="I32" s="32"/>
      <c r="J32" s="90">
        <f>IFERROR(J38/J$65,0)</f>
        <v>0</v>
      </c>
      <c r="K32" s="32"/>
      <c r="L32" s="90">
        <f>IFERROR(L38/L$65,0)</f>
        <v>0</v>
      </c>
      <c r="M32" s="32"/>
      <c r="N32" s="90">
        <f>IFERROR(N38/N$65,0)</f>
        <v>0</v>
      </c>
      <c r="O32" s="32"/>
      <c r="P32" s="90">
        <f>IFERROR(P38/P$65,0)</f>
        <v>0</v>
      </c>
      <c r="Q32" s="32"/>
      <c r="R32" s="90">
        <f>IFERROR(R38/R$65,0)</f>
        <v>0</v>
      </c>
      <c r="S32" s="32"/>
      <c r="T32" s="90">
        <f>IFERROR(T38/T$65,0)</f>
        <v>0</v>
      </c>
      <c r="U32" s="32"/>
      <c r="V32" s="90">
        <f>IFERROR(V38/V$65,0)</f>
        <v>0</v>
      </c>
      <c r="W32" s="32"/>
      <c r="X32" s="90">
        <f>IFERROR(X38/X$65,0)</f>
        <v>0</v>
      </c>
      <c r="Y32" s="32"/>
      <c r="Z32" s="90">
        <f>IFERROR(Z38/Z$65,0)</f>
        <v>0</v>
      </c>
      <c r="AA32" s="32"/>
      <c r="AB32" s="90">
        <f>IFERROR(AB38/AB$65,0)</f>
        <v>0</v>
      </c>
      <c r="AC32" s="32"/>
      <c r="AD32" s="90">
        <f>IFERROR(AD38/AD$65,0)</f>
        <v>0</v>
      </c>
      <c r="AE32" s="32"/>
      <c r="AF32" s="33"/>
      <c r="AG32" s="90">
        <f>IFERROR(AG38/AG$65,0)</f>
        <v>2.6099724879889908E-4</v>
      </c>
      <c r="AH32" s="167"/>
      <c r="AI32" s="18"/>
      <c r="AJ32" s="42" t="s">
        <v>525</v>
      </c>
      <c r="AK32" s="175"/>
      <c r="BC32" s="18"/>
      <c r="BD32" s="18"/>
      <c r="BE32" s="18"/>
      <c r="BF32" s="18"/>
    </row>
    <row r="33" spans="2:58" x14ac:dyDescent="0.25">
      <c r="B33" s="201"/>
      <c r="C33" s="202"/>
      <c r="D33" s="21" t="s">
        <v>24</v>
      </c>
      <c r="F33" s="91">
        <f>IFERROR(F39/F$65,0)</f>
        <v>1.7661820001274656E-6</v>
      </c>
      <c r="G33" s="32"/>
      <c r="H33" s="91">
        <f>IFERROR(H39/H$65,0)</f>
        <v>2.1081069131548925E-4</v>
      </c>
      <c r="I33" s="32"/>
      <c r="J33" s="91">
        <f>IFERROR(J39/J$65,0)</f>
        <v>0</v>
      </c>
      <c r="K33" s="32"/>
      <c r="L33" s="91">
        <f>IFERROR(L39/L$65,0)</f>
        <v>0</v>
      </c>
      <c r="M33" s="32"/>
      <c r="N33" s="91">
        <f>IFERROR(N39/N$65,0)</f>
        <v>0</v>
      </c>
      <c r="O33" s="32"/>
      <c r="P33" s="91">
        <f>IFERROR(P39/P$65,0)</f>
        <v>0</v>
      </c>
      <c r="Q33" s="32"/>
      <c r="R33" s="91">
        <f>IFERROR(R39/R$65,0)</f>
        <v>0</v>
      </c>
      <c r="S33" s="32"/>
      <c r="T33" s="91">
        <f>IFERROR(T39/T$65,0)</f>
        <v>0</v>
      </c>
      <c r="U33" s="32"/>
      <c r="V33" s="91">
        <f>IFERROR(V39/V$65,0)</f>
        <v>0</v>
      </c>
      <c r="W33" s="32"/>
      <c r="X33" s="91">
        <f>IFERROR(X39/X$65,0)</f>
        <v>0</v>
      </c>
      <c r="Y33" s="32"/>
      <c r="Z33" s="91">
        <f>IFERROR(Z39/Z$65,0)</f>
        <v>0</v>
      </c>
      <c r="AA33" s="32"/>
      <c r="AB33" s="91">
        <f>IFERROR(AB39/AB$65,0)</f>
        <v>0</v>
      </c>
      <c r="AC33" s="32"/>
      <c r="AD33" s="91">
        <f>IFERROR(AD39/AD$65,0)</f>
        <v>0</v>
      </c>
      <c r="AE33" s="32"/>
      <c r="AF33" s="33"/>
      <c r="AG33" s="91">
        <f>IFERROR(AG39/AG$65,0)</f>
        <v>1.0249541327306037E-4</v>
      </c>
      <c r="AH33" s="167"/>
      <c r="AI33" s="18"/>
      <c r="AJ33" s="137" t="s">
        <v>513</v>
      </c>
      <c r="AK33" s="175"/>
      <c r="BC33" s="18"/>
      <c r="BD33" s="18"/>
      <c r="BE33" s="18"/>
      <c r="BF33" s="18"/>
    </row>
    <row r="34" spans="2:58" ht="15" customHeight="1" x14ac:dyDescent="0.25">
      <c r="B34" s="201"/>
      <c r="C34" s="49"/>
      <c r="D34" s="10"/>
      <c r="F34" s="92">
        <f>SUM(F30:F33)</f>
        <v>2.5853372117865843E-4</v>
      </c>
      <c r="G34" s="4"/>
      <c r="H34" s="92">
        <f>SUM(H30:H33)</f>
        <v>5.7198068381518604E-3</v>
      </c>
      <c r="I34" s="4"/>
      <c r="J34" s="92">
        <f>SUM(J30:J33)</f>
        <v>0</v>
      </c>
      <c r="K34" s="4"/>
      <c r="L34" s="92">
        <f>SUM(L30:L33)</f>
        <v>0</v>
      </c>
      <c r="M34" s="4"/>
      <c r="N34" s="92">
        <f>SUM(N30:N33)</f>
        <v>0</v>
      </c>
      <c r="O34" s="4"/>
      <c r="P34" s="92">
        <f>SUM(P30:P33)</f>
        <v>0</v>
      </c>
      <c r="Q34" s="4"/>
      <c r="R34" s="92">
        <f>SUM(R30:R33)</f>
        <v>0</v>
      </c>
      <c r="S34" s="4"/>
      <c r="T34" s="92">
        <f>SUM(T30:T33)</f>
        <v>0</v>
      </c>
      <c r="U34" s="4"/>
      <c r="V34" s="92">
        <f>SUM(V30:V33)</f>
        <v>0</v>
      </c>
      <c r="W34" s="4"/>
      <c r="X34" s="92">
        <f>SUM(X30:X33)</f>
        <v>0</v>
      </c>
      <c r="Y34" s="4"/>
      <c r="Z34" s="92">
        <f>SUM(Z30:Z33)</f>
        <v>0</v>
      </c>
      <c r="AA34" s="4"/>
      <c r="AB34" s="92">
        <f>SUM(AB30:AB33)</f>
        <v>0</v>
      </c>
      <c r="AC34" s="4"/>
      <c r="AD34" s="92">
        <f>SUM(AD30:AD33)</f>
        <v>0</v>
      </c>
      <c r="AE34" s="4"/>
      <c r="AG34" s="92">
        <f>SUM(AG30:AG33)</f>
        <v>2.8900778102623689E-3</v>
      </c>
      <c r="AH34" s="167"/>
      <c r="AI34" s="176"/>
      <c r="AK34" s="175"/>
      <c r="BC34" s="18"/>
      <c r="BD34" s="18"/>
      <c r="BE34" s="18"/>
      <c r="BF34" s="18"/>
    </row>
    <row r="35" spans="2:58" ht="9" customHeight="1" x14ac:dyDescent="0.25">
      <c r="B35" s="201"/>
      <c r="C35" s="49"/>
      <c r="D35" s="2"/>
      <c r="F35" s="59" t="str">
        <f>IF(F40&gt;LARGE($F40:$AD40,2),"Highest",IF(AND(F40=_xlfn.MINIFS($F40:$AD40,$F40:$AD40,"&lt;&gt;0"),COUNTIF($F40:$AD40,F40)=1),"Lowest",""))</f>
        <v>Lowest</v>
      </c>
      <c r="G35" s="59"/>
      <c r="H35" s="59" t="str">
        <f>IF(H40&gt;LARGE($F40:$AD40,2),"Highest",IF(AND(H40=_xlfn.MINIFS($F40:$AD40,$F40:$AD40,"&lt;&gt;0"),COUNTIF($F40:$AD40,H40)=1),"Lowest",""))</f>
        <v>Highest</v>
      </c>
      <c r="I35" s="59"/>
      <c r="J35" s="59" t="str">
        <f>IF(J40&gt;LARGE($F40:$AD40,2),"Highest",IF(AND(J40=_xlfn.MINIFS($F40:$AD40,$F40:$AD40,"&lt;&gt;0"),COUNTIF($F40:$AD40,J40)=1),"Lowest",""))</f>
        <v/>
      </c>
      <c r="K35" s="59"/>
      <c r="L35" s="59" t="str">
        <f>IF(L40&gt;LARGE($F40:$AD40,2),"Highest",IF(AND(L40=_xlfn.MINIFS($F40:$AD40,$F40:$AD40,"&lt;&gt;0"),COUNTIF($F40:$AD40,L40)=1),"Lowest",""))</f>
        <v/>
      </c>
      <c r="M35" s="59"/>
      <c r="N35" s="59" t="str">
        <f>IF(N40&gt;LARGE($F40:$AD40,2),"Highest",IF(AND(N40=_xlfn.MINIFS($F40:$AD40,$F40:$AD40,"&lt;&gt;0"),COUNTIF($F40:$AD40,N40)=1),"Lowest",""))</f>
        <v/>
      </c>
      <c r="O35" s="59"/>
      <c r="P35" s="59" t="str">
        <f>IF(P40&gt;LARGE($F40:$AD40,2),"Highest",IF(AND(P40=_xlfn.MINIFS($F40:$AD40,$F40:$AD40,"&lt;&gt;0"),COUNTIF($F40:$AD40,P40)=1),"Lowest",""))</f>
        <v/>
      </c>
      <c r="Q35" s="59"/>
      <c r="R35" s="59" t="str">
        <f>IF(R40&gt;LARGE($F40:$AD40,2),"Highest",IF(AND(R40=_xlfn.MINIFS($F40:$AD40,$F40:$AD40,"&lt;&gt;0"),COUNTIF($F40:$AD40,R40)=1),"Lowest",""))</f>
        <v/>
      </c>
      <c r="S35" s="59"/>
      <c r="T35" s="59" t="str">
        <f>IF(T40&gt;LARGE($F40:$AD40,2),"Highest",IF(AND(T40=_xlfn.MINIFS($F40:$AD40,$F40:$AD40,"&lt;&gt;0"),COUNTIF($F40:$AD40,T40)=1),"Lowest",""))</f>
        <v/>
      </c>
      <c r="U35" s="59"/>
      <c r="V35" s="59" t="str">
        <f>IF(V40&gt;LARGE($F40:$AD40,2),"Highest",IF(AND(V40=_xlfn.MINIFS($F40:$AD40,$F40:$AD40,"&lt;&gt;0"),COUNTIF($F40:$AD40,V40)=1),"Lowest",""))</f>
        <v/>
      </c>
      <c r="W35" s="59"/>
      <c r="X35" s="59" t="str">
        <f>IF(X40&gt;LARGE($F40:$AD40,2),"Highest",IF(AND(X40=_xlfn.MINIFS($F40:$AD40,$F40:$AD40,"&lt;&gt;0"),COUNTIF($F40:$AD40,X40)=1),"Lowest",""))</f>
        <v/>
      </c>
      <c r="Y35" s="59"/>
      <c r="Z35" s="59" t="str">
        <f>IF(Z40&gt;LARGE($F40:$AD40,2),"Highest",IF(AND(Z40=_xlfn.MINIFS($F40:$AD40,$F40:$AD40,"&lt;&gt;0"),COUNTIF($F40:$AD40,Z40)=1),"Lowest",""))</f>
        <v/>
      </c>
      <c r="AA35" s="59"/>
      <c r="AB35" s="59" t="str">
        <f>IF(AB40&gt;LARGE($F40:$AD40,2),"Highest",IF(AND(AB40=_xlfn.MINIFS($F40:$AD40,$F40:$AD40,"&lt;&gt;0"),COUNTIF($F40:$AD40,AB40)=1),"Lowest",""))</f>
        <v/>
      </c>
      <c r="AC35" s="59"/>
      <c r="AD35" s="59" t="str">
        <f>IF(AD40&gt;LARGE($F40:$AD40,2),"Highest",IF(AND(AD40=_xlfn.MINIFS($F40:$AD40,$F40:$AD40,"&lt;&gt;0"),COUNTIF($F40:$AD40,AD40)=1),"Lowest",""))</f>
        <v/>
      </c>
      <c r="AE35" s="27"/>
      <c r="AH35" s="167"/>
      <c r="AI35" s="18"/>
      <c r="AK35" s="177"/>
      <c r="BC35" s="18"/>
      <c r="BD35" s="18"/>
      <c r="BE35" s="18"/>
      <c r="BF35" s="18"/>
    </row>
    <row r="36" spans="2:58" ht="15" customHeight="1" x14ac:dyDescent="0.25">
      <c r="B36" s="201"/>
      <c r="C36" s="202" t="s">
        <v>43</v>
      </c>
      <c r="D36" s="21" t="s">
        <v>36</v>
      </c>
      <c r="F36" s="98">
        <f>SUMIFS(MainData[ExtendedCost],MainData[Date],"&gt;="&amp;F$7,MainData[Date],"&lt;="&amp;F$8,MainData[BillTo],"EPO",MainData[Billable?],"Y",MainData[Category],"Beverage",MainData[Product],$D36)</f>
        <v>72.19</v>
      </c>
      <c r="G36" s="32"/>
      <c r="H36" s="98">
        <f>SUMIFS(MainData[ExtendedCost],MainData[Date],"&gt;="&amp;H$7,MainData[Date],"&lt;="&amp;H$8,MainData[BillTo],"EPO",MainData[Billable?],"Y",MainData[Category],"Beverage",MainData[Product],$D36)</f>
        <v>1091.5500000000002</v>
      </c>
      <c r="I36" s="32"/>
      <c r="J36" s="98">
        <f>SUMIFS(MainData[ExtendedCost],MainData[Date],"&gt;="&amp;J$7,MainData[Date],"&lt;="&amp;J$8,MainData[BillTo],"EPO",MainData[Billable?],"Y",MainData[Category],"Beverage",MainData[Product],$D36)</f>
        <v>0</v>
      </c>
      <c r="K36" s="32"/>
      <c r="L36" s="98">
        <f>SUMIFS(MainData[ExtendedCost],MainData[Date],"&gt;="&amp;L$7,MainData[Date],"&lt;="&amp;L$8,MainData[BillTo],"EPO",MainData[Billable?],"Y",MainData[Category],"Beverage",MainData[Product],$D36)</f>
        <v>0</v>
      </c>
      <c r="M36" s="32"/>
      <c r="N36" s="98">
        <f>SUMIFS(MainData[ExtendedCost],MainData[Date],"&gt;="&amp;N$7,MainData[Date],"&lt;="&amp;N$8,MainData[BillTo],"EPO",MainData[Billable?],"Y",MainData[Category],"Beverage",MainData[Product],$D36)</f>
        <v>0</v>
      </c>
      <c r="O36" s="32"/>
      <c r="P36" s="98">
        <f>SUMIFS(MainData[ExtendedCost],MainData[Date],"&gt;="&amp;P$7,MainData[Date],"&lt;="&amp;P$8,MainData[BillTo],"EPO",MainData[Billable?],"Y",MainData[Category],"Beverage",MainData[Product],$D36)</f>
        <v>0</v>
      </c>
      <c r="Q36" s="32"/>
      <c r="R36" s="98">
        <f>SUMIFS(MainData[ExtendedCost],MainData[Date],"&gt;="&amp;R$7,MainData[Date],"&lt;="&amp;R$8,MainData[BillTo],"EPO",MainData[Billable?],"Y",MainData[Category],"Beverage",MainData[Product],$D36)</f>
        <v>0</v>
      </c>
      <c r="S36" s="32"/>
      <c r="T36" s="98">
        <f>SUMIFS(MainData[ExtendedCost],MainData[Date],"&gt;="&amp;T$7,MainData[Date],"&lt;="&amp;T$8,MainData[BillTo],"EPO",MainData[Billable?],"Y",MainData[Category],"Beverage",MainData[Product],$D36)</f>
        <v>0</v>
      </c>
      <c r="U36" s="32"/>
      <c r="V36" s="98">
        <f>SUMIFS(MainData[ExtendedCost],MainData[Date],"&gt;="&amp;V$7,MainData[Date],"&lt;="&amp;V$8,MainData[BillTo],"EPO",MainData[Billable?],"Y",MainData[Category],"Beverage",MainData[Product],$D36)</f>
        <v>0</v>
      </c>
      <c r="W36" s="32"/>
      <c r="X36" s="98">
        <f>SUMIFS(MainData[ExtendedCost],MainData[Date],"&gt;="&amp;X$7,MainData[Date],"&lt;="&amp;X$8,MainData[BillTo],"EPO",MainData[Billable?],"Y",MainData[Category],"Beverage",MainData[Product],$D36)</f>
        <v>0</v>
      </c>
      <c r="Y36" s="32"/>
      <c r="Z36" s="98">
        <f>SUMIFS(MainData[ExtendedCost],MainData[Date],"&gt;="&amp;Z$7,MainData[Date],"&lt;="&amp;Z$8,MainData[BillTo],"EPO",MainData[Billable?],"Y",MainData[Category],"Beverage",MainData[Product],$D36)</f>
        <v>0</v>
      </c>
      <c r="AA36" s="32"/>
      <c r="AB36" s="98">
        <f>SUMIFS(MainData[ExtendedCost],MainData[Date],"&gt;="&amp;AB$7,MainData[Date],"&lt;="&amp;AB$8,MainData[BillTo],"EPO",MainData[Billable?],"Y",MainData[Category],"Beverage",MainData[Product],$D36)</f>
        <v>0</v>
      </c>
      <c r="AC36" s="32"/>
      <c r="AD36" s="98">
        <f>SUMIFS(MainData[ExtendedCost],MainData[Date],"&gt;="&amp;AD$7,MainData[Date],"&lt;="&amp;AD$8,MainData[BillTo],"EPO",MainData[Billable?],"Y",MainData[Category],"Beverage",MainData[Product],$D36)</f>
        <v>0</v>
      </c>
      <c r="AE36" s="32"/>
      <c r="AF36" s="33"/>
      <c r="AG36" s="31">
        <f>SUM(F36:AD36)</f>
        <v>1163.7400000000002</v>
      </c>
      <c r="AH36" s="167"/>
      <c r="AI36" s="178"/>
      <c r="AJ36" s="20" t="s">
        <v>527</v>
      </c>
      <c r="BC36" s="18"/>
      <c r="BD36" s="18"/>
      <c r="BE36" s="18"/>
      <c r="BF36" s="18"/>
    </row>
    <row r="37" spans="2:58" x14ac:dyDescent="0.25">
      <c r="B37" s="201"/>
      <c r="C37" s="202"/>
      <c r="D37" s="21" t="s">
        <v>25</v>
      </c>
      <c r="F37" s="99">
        <f>SUMIFS(MainData[ExtendedCost],MainData[Date],"&gt;="&amp;F$7,MainData[Date],"&lt;="&amp;F$8,MainData[BillTo],"EPO",MainData[Billable?],"Y",MainData[Category],"Beverage",MainData[Product],$D37)</f>
        <v>0.5</v>
      </c>
      <c r="G37" s="32"/>
      <c r="H37" s="99">
        <f>SUMIFS(MainData[ExtendedCost],MainData[Date],"&gt;="&amp;H$7,MainData[Date],"&lt;="&amp;H$8,MainData[BillTo],"EPO",MainData[Billable?],"Y",MainData[Category],"Beverage",MainData[Product],$D37)</f>
        <v>216.2</v>
      </c>
      <c r="I37" s="32"/>
      <c r="J37" s="99">
        <f>SUMIFS(MainData[ExtendedCost],MainData[Date],"&gt;="&amp;J$7,MainData[Date],"&lt;="&amp;J$8,MainData[BillTo],"EPO",MainData[Billable?],"Y",MainData[Category],"Beverage",MainData[Product],$D37)</f>
        <v>0</v>
      </c>
      <c r="K37" s="32"/>
      <c r="L37" s="99">
        <f>SUMIFS(MainData[ExtendedCost],MainData[Date],"&gt;="&amp;L$7,MainData[Date],"&lt;="&amp;L$8,MainData[BillTo],"EPO",MainData[Billable?],"Y",MainData[Category],"Beverage",MainData[Product],$D37)</f>
        <v>0</v>
      </c>
      <c r="M37" s="32"/>
      <c r="N37" s="99">
        <f>SUMIFS(MainData[ExtendedCost],MainData[Date],"&gt;="&amp;N$7,MainData[Date],"&lt;="&amp;N$8,MainData[BillTo],"EPO",MainData[Billable?],"Y",MainData[Category],"Beverage",MainData[Product],$D37)</f>
        <v>0</v>
      </c>
      <c r="O37" s="32"/>
      <c r="P37" s="99">
        <f>SUMIFS(MainData[ExtendedCost],MainData[Date],"&gt;="&amp;P$7,MainData[Date],"&lt;="&amp;P$8,MainData[BillTo],"EPO",MainData[Billable?],"Y",MainData[Category],"Beverage",MainData[Product],$D37)</f>
        <v>0</v>
      </c>
      <c r="Q37" s="32"/>
      <c r="R37" s="99">
        <f>SUMIFS(MainData[ExtendedCost],MainData[Date],"&gt;="&amp;R$7,MainData[Date],"&lt;="&amp;R$8,MainData[BillTo],"EPO",MainData[Billable?],"Y",MainData[Category],"Beverage",MainData[Product],$D37)</f>
        <v>0</v>
      </c>
      <c r="S37" s="32"/>
      <c r="T37" s="99">
        <f>SUMIFS(MainData[ExtendedCost],MainData[Date],"&gt;="&amp;T$7,MainData[Date],"&lt;="&amp;T$8,MainData[BillTo],"EPO",MainData[Billable?],"Y",MainData[Category],"Beverage",MainData[Product],$D37)</f>
        <v>0</v>
      </c>
      <c r="U37" s="32"/>
      <c r="V37" s="99">
        <f>SUMIFS(MainData[ExtendedCost],MainData[Date],"&gt;="&amp;V$7,MainData[Date],"&lt;="&amp;V$8,MainData[BillTo],"EPO",MainData[Billable?],"Y",MainData[Category],"Beverage",MainData[Product],$D37)</f>
        <v>0</v>
      </c>
      <c r="W37" s="32"/>
      <c r="X37" s="99">
        <f>SUMIFS(MainData[ExtendedCost],MainData[Date],"&gt;="&amp;X$7,MainData[Date],"&lt;="&amp;X$8,MainData[BillTo],"EPO",MainData[Billable?],"Y",MainData[Category],"Beverage",MainData[Product],$D37)</f>
        <v>0</v>
      </c>
      <c r="Y37" s="32"/>
      <c r="Z37" s="99">
        <f>SUMIFS(MainData[ExtendedCost],MainData[Date],"&gt;="&amp;Z$7,MainData[Date],"&lt;="&amp;Z$8,MainData[BillTo],"EPO",MainData[Billable?],"Y",MainData[Category],"Beverage",MainData[Product],$D37)</f>
        <v>0</v>
      </c>
      <c r="AA37" s="32"/>
      <c r="AB37" s="99">
        <f>SUMIFS(MainData[ExtendedCost],MainData[Date],"&gt;="&amp;AB$7,MainData[Date],"&lt;="&amp;AB$8,MainData[BillTo],"EPO",MainData[Billable?],"Y",MainData[Category],"Beverage",MainData[Product],$D37)</f>
        <v>0</v>
      </c>
      <c r="AC37" s="32"/>
      <c r="AD37" s="99">
        <f>SUMIFS(MainData[ExtendedCost],MainData[Date],"&gt;="&amp;AD$7,MainData[Date],"&lt;="&amp;AD$8,MainData[BillTo],"EPO",MainData[Billable?],"Y",MainData[Category],"Beverage",MainData[Product],$D37)</f>
        <v>0</v>
      </c>
      <c r="AE37" s="32"/>
      <c r="AF37" s="33"/>
      <c r="AG37" s="34">
        <f>SUM(F37:AD37)</f>
        <v>216.7</v>
      </c>
      <c r="AH37" s="167"/>
      <c r="AI37" s="178"/>
      <c r="AJ37" s="20" t="s">
        <v>528</v>
      </c>
      <c r="BC37" s="18"/>
      <c r="BD37" s="18"/>
      <c r="BE37" s="18"/>
      <c r="BF37" s="18"/>
    </row>
    <row r="38" spans="2:58" x14ac:dyDescent="0.25">
      <c r="B38" s="201"/>
      <c r="C38" s="202"/>
      <c r="D38" s="21" t="s">
        <v>35</v>
      </c>
      <c r="F38" s="100">
        <f>SUMIFS(MainData[ExtendedCost],MainData[Date],"&gt;="&amp;F$7,MainData[Date],"&lt;="&amp;F$8,MainData[BillTo],"EPO",MainData[Billable?],"Y",MainData[Category],"Beverage",MainData[Product],$D38)</f>
        <v>0</v>
      </c>
      <c r="G38" s="32"/>
      <c r="H38" s="100">
        <f>SUMIFS(MainData[ExtendedCost],MainData[Date],"&gt;="&amp;H$7,MainData[Date],"&lt;="&amp;H$8,MainData[BillTo],"EPO",MainData[Billable?],"Y",MainData[Category],"Beverage",MainData[Product],$D38)</f>
        <v>142.6</v>
      </c>
      <c r="I38" s="32"/>
      <c r="J38" s="100">
        <f>SUMIFS(MainData[ExtendedCost],MainData[Date],"&gt;="&amp;J$7,MainData[Date],"&lt;="&amp;J$8,MainData[BillTo],"EPO",MainData[Billable?],"Y",MainData[Category],"Beverage",MainData[Product],$D38)</f>
        <v>0</v>
      </c>
      <c r="K38" s="32"/>
      <c r="L38" s="100">
        <f>SUMIFS(MainData[ExtendedCost],MainData[Date],"&gt;="&amp;L$7,MainData[Date],"&lt;="&amp;L$8,MainData[BillTo],"EPO",MainData[Billable?],"Y",MainData[Category],"Beverage",MainData[Product],$D38)</f>
        <v>0</v>
      </c>
      <c r="M38" s="32"/>
      <c r="N38" s="100">
        <f>SUMIFS(MainData[ExtendedCost],MainData[Date],"&gt;="&amp;N$7,MainData[Date],"&lt;="&amp;N$8,MainData[BillTo],"EPO",MainData[Billable?],"Y",MainData[Category],"Beverage",MainData[Product],$D38)</f>
        <v>0</v>
      </c>
      <c r="O38" s="32"/>
      <c r="P38" s="100">
        <f>SUMIFS(MainData[ExtendedCost],MainData[Date],"&gt;="&amp;P$7,MainData[Date],"&lt;="&amp;P$8,MainData[BillTo],"EPO",MainData[Billable?],"Y",MainData[Category],"Beverage",MainData[Product],$D38)</f>
        <v>0</v>
      </c>
      <c r="Q38" s="32"/>
      <c r="R38" s="100">
        <f>SUMIFS(MainData[ExtendedCost],MainData[Date],"&gt;="&amp;R$7,MainData[Date],"&lt;="&amp;R$8,MainData[BillTo],"EPO",MainData[Billable?],"Y",MainData[Category],"Beverage",MainData[Product],$D38)</f>
        <v>0</v>
      </c>
      <c r="S38" s="32"/>
      <c r="T38" s="100">
        <f>SUMIFS(MainData[ExtendedCost],MainData[Date],"&gt;="&amp;T$7,MainData[Date],"&lt;="&amp;T$8,MainData[BillTo],"EPO",MainData[Billable?],"Y",MainData[Category],"Beverage",MainData[Product],$D38)</f>
        <v>0</v>
      </c>
      <c r="U38" s="32"/>
      <c r="V38" s="100">
        <f>SUMIFS(MainData[ExtendedCost],MainData[Date],"&gt;="&amp;V$7,MainData[Date],"&lt;="&amp;V$8,MainData[BillTo],"EPO",MainData[Billable?],"Y",MainData[Category],"Beverage",MainData[Product],$D38)</f>
        <v>0</v>
      </c>
      <c r="W38" s="32"/>
      <c r="X38" s="100">
        <f>SUMIFS(MainData[ExtendedCost],MainData[Date],"&gt;="&amp;X$7,MainData[Date],"&lt;="&amp;X$8,MainData[BillTo],"EPO",MainData[Billable?],"Y",MainData[Category],"Beverage",MainData[Product],$D38)</f>
        <v>0</v>
      </c>
      <c r="Y38" s="32"/>
      <c r="Z38" s="100">
        <f>SUMIFS(MainData[ExtendedCost],MainData[Date],"&gt;="&amp;Z$7,MainData[Date],"&lt;="&amp;Z$8,MainData[BillTo],"EPO",MainData[Billable?],"Y",MainData[Category],"Beverage",MainData[Product],$D38)</f>
        <v>0</v>
      </c>
      <c r="AA38" s="32"/>
      <c r="AB38" s="100">
        <f>SUMIFS(MainData[ExtendedCost],MainData[Date],"&gt;="&amp;AB$7,MainData[Date],"&lt;="&amp;AB$8,MainData[BillTo],"EPO",MainData[Billable?],"Y",MainData[Category],"Beverage",MainData[Product],$D38)</f>
        <v>0</v>
      </c>
      <c r="AC38" s="32"/>
      <c r="AD38" s="100">
        <f>SUMIFS(MainData[ExtendedCost],MainData[Date],"&gt;="&amp;AD$7,MainData[Date],"&lt;="&amp;AD$8,MainData[BillTo],"EPO",MainData[Billable?],"Y",MainData[Category],"Beverage",MainData[Product],$D38)</f>
        <v>0</v>
      </c>
      <c r="AE38" s="32"/>
      <c r="AF38" s="33"/>
      <c r="AG38" s="32">
        <f>SUM(F38:AD38)</f>
        <v>142.6</v>
      </c>
      <c r="AH38" s="167"/>
      <c r="AI38" s="178"/>
      <c r="AJ38" s="20" t="s">
        <v>521</v>
      </c>
      <c r="BC38" s="18"/>
      <c r="BD38" s="18"/>
      <c r="BE38" s="18"/>
      <c r="BF38" s="18"/>
    </row>
    <row r="39" spans="2:58" x14ac:dyDescent="0.25">
      <c r="B39" s="201"/>
      <c r="C39" s="202"/>
      <c r="D39" s="21" t="s">
        <v>24</v>
      </c>
      <c r="F39" s="101">
        <f>SUMIFS(MainData[ExtendedCost],MainData[Date],"&gt;="&amp;F$7,MainData[Date],"&lt;="&amp;F$8,MainData[BillTo],"EPO",MainData[Billable?],"Y",MainData[Category],"Beverage") -SUM(F36:F38) -
  SUMIFS(MainData[ExtendedCost],MainData[Date],"&gt;="&amp;F$7,MainData[Date],"&lt;="&amp;F$8,MainData[BillTo],"EPO",MainData[Billable?],"Y",MainData[Category],"Beverage",MainData[Product],IF($AJ$39="No","SoftDrink","999999"))</f>
        <v>0.5</v>
      </c>
      <c r="G39" s="32"/>
      <c r="H39" s="101">
        <f>SUMIFS(MainData[ExtendedCost],MainData[Date],"&gt;="&amp;H$7,MainData[Date],"&lt;="&amp;H$8,MainData[BillTo],"EPO",MainData[Billable?],"Y",MainData[Category],"Beverage") -SUM(H36:H38) -
  SUMIFS(MainData[ExtendedCost],MainData[Date],"&gt;="&amp;H$7,MainData[Date],"&lt;="&amp;H$8,MainData[BillTo],"EPO",MainData[Billable?],"Y",MainData[Category],"Beverage",MainData[Product],IF($AJ$39="No","SoftDrink","999999"))</f>
        <v>55.500000000000227</v>
      </c>
      <c r="I39" s="32"/>
      <c r="J39" s="101">
        <f>SUMIFS(MainData[ExtendedCost],MainData[Date],"&gt;="&amp;J$7,MainData[Date],"&lt;="&amp;J$8,MainData[BillTo],"EPO",MainData[Billable?],"Y",MainData[Category],"Beverage") -SUM(J36:J38) -
  SUMIFS(MainData[ExtendedCost],MainData[Date],"&gt;="&amp;J$7,MainData[Date],"&lt;="&amp;J$8,MainData[BillTo],"EPO",MainData[Billable?],"Y",MainData[Category],"Beverage",MainData[Product],IF($AJ$39="No","SoftDrink","999999"))</f>
        <v>0</v>
      </c>
      <c r="K39" s="32"/>
      <c r="L39" s="101">
        <f>SUMIFS(MainData[ExtendedCost],MainData[Date],"&gt;="&amp;L$7,MainData[Date],"&lt;="&amp;L$8,MainData[BillTo],"EPO",MainData[Billable?],"Y",MainData[Category],"Beverage") -SUM(L36:L38) -
  SUMIFS(MainData[ExtendedCost],MainData[Date],"&gt;="&amp;L$7,MainData[Date],"&lt;="&amp;L$8,MainData[BillTo],"EPO",MainData[Billable?],"Y",MainData[Category],"Beverage",MainData[Product],IF($AJ$39="No","SoftDrink","999999"))</f>
        <v>0</v>
      </c>
      <c r="M39" s="32"/>
      <c r="N39" s="101">
        <f>SUMIFS(MainData[ExtendedCost],MainData[Date],"&gt;="&amp;N$7,MainData[Date],"&lt;="&amp;N$8,MainData[BillTo],"EPO",MainData[Billable?],"Y",MainData[Category],"Beverage") -SUM(N36:N38) -
  SUMIFS(MainData[ExtendedCost],MainData[Date],"&gt;="&amp;N$7,MainData[Date],"&lt;="&amp;N$8,MainData[BillTo],"EPO",MainData[Billable?],"Y",MainData[Category],"Beverage",MainData[Product],IF($AJ$39="No","SoftDrink","999999"))</f>
        <v>0</v>
      </c>
      <c r="O39" s="32"/>
      <c r="P39" s="101">
        <f>SUMIFS(MainData[ExtendedCost],MainData[Date],"&gt;="&amp;P$7,MainData[Date],"&lt;="&amp;P$8,MainData[BillTo],"EPO",MainData[Billable?],"Y",MainData[Category],"Beverage") -SUM(P36:P38) -
  SUMIFS(MainData[ExtendedCost],MainData[Date],"&gt;="&amp;P$7,MainData[Date],"&lt;="&amp;P$8,MainData[BillTo],"EPO",MainData[Billable?],"Y",MainData[Category],"Beverage",MainData[Product],IF($AJ$39="No","SoftDrink","999999"))</f>
        <v>0</v>
      </c>
      <c r="Q39" s="32"/>
      <c r="R39" s="101">
        <f>SUMIFS(MainData[ExtendedCost],MainData[Date],"&gt;="&amp;R$7,MainData[Date],"&lt;="&amp;R$8,MainData[BillTo],"EPO",MainData[Billable?],"Y",MainData[Category],"Beverage") -SUM(R36:R38) -
  SUMIFS(MainData[ExtendedCost],MainData[Date],"&gt;="&amp;R$7,MainData[Date],"&lt;="&amp;R$8,MainData[BillTo],"EPO",MainData[Billable?],"Y",MainData[Category],"Beverage",MainData[Product],IF($AJ$39="No","SoftDrink","999999"))</f>
        <v>0</v>
      </c>
      <c r="S39" s="32"/>
      <c r="T39" s="101">
        <f>SUMIFS(MainData[ExtendedCost],MainData[Date],"&gt;="&amp;T$7,MainData[Date],"&lt;="&amp;T$8,MainData[BillTo],"EPO",MainData[Billable?],"Y",MainData[Category],"Beverage") -SUM(T36:T38) -
  SUMIFS(MainData[ExtendedCost],MainData[Date],"&gt;="&amp;T$7,MainData[Date],"&lt;="&amp;T$8,MainData[BillTo],"EPO",MainData[Billable?],"Y",MainData[Category],"Beverage",MainData[Product],IF($AJ$39="No","SoftDrink","999999"))</f>
        <v>0</v>
      </c>
      <c r="U39" s="32"/>
      <c r="V39" s="101">
        <f>SUMIFS(MainData[ExtendedCost],MainData[Date],"&gt;="&amp;V$7,MainData[Date],"&lt;="&amp;V$8,MainData[BillTo],"EPO",MainData[Billable?],"Y",MainData[Category],"Beverage") -SUM(V36:V38) -
  SUMIFS(MainData[ExtendedCost],MainData[Date],"&gt;="&amp;V$7,MainData[Date],"&lt;="&amp;V$8,MainData[BillTo],"EPO",MainData[Billable?],"Y",MainData[Category],"Beverage",MainData[Product],IF($AJ$39="No","SoftDrink","999999"))</f>
        <v>0</v>
      </c>
      <c r="W39" s="32"/>
      <c r="X39" s="101">
        <f>SUMIFS(MainData[ExtendedCost],MainData[Date],"&gt;="&amp;X$7,MainData[Date],"&lt;="&amp;X$8,MainData[BillTo],"EPO",MainData[Billable?],"Y",MainData[Category],"Beverage") -SUM(X36:X38) -
  SUMIFS(MainData[ExtendedCost],MainData[Date],"&gt;="&amp;X$7,MainData[Date],"&lt;="&amp;X$8,MainData[BillTo],"EPO",MainData[Billable?],"Y",MainData[Category],"Beverage",MainData[Product],IF($AJ$39="No","SoftDrink","999999"))</f>
        <v>0</v>
      </c>
      <c r="Y39" s="32"/>
      <c r="Z39" s="101">
        <f>SUMIFS(MainData[ExtendedCost],MainData[Date],"&gt;="&amp;Z$7,MainData[Date],"&lt;="&amp;Z$8,MainData[BillTo],"EPO",MainData[Billable?],"Y",MainData[Category],"Beverage") -SUM(Z36:Z38) -
  SUMIFS(MainData[ExtendedCost],MainData[Date],"&gt;="&amp;Z$7,MainData[Date],"&lt;="&amp;Z$8,MainData[BillTo],"EPO",MainData[Billable?],"Y",MainData[Category],"Beverage",MainData[Product],IF($AJ$39="No","SoftDrink","999999"))</f>
        <v>0</v>
      </c>
      <c r="AA39" s="32"/>
      <c r="AB39" s="101">
        <f>SUMIFS(MainData[ExtendedCost],MainData[Date],"&gt;="&amp;AB$7,MainData[Date],"&lt;="&amp;AB$8,MainData[BillTo],"EPO",MainData[Billable?],"Y",MainData[Category],"Beverage") -SUM(AB36:AB38) -
  SUMIFS(MainData[ExtendedCost],MainData[Date],"&gt;="&amp;AB$7,MainData[Date],"&lt;="&amp;AB$8,MainData[BillTo],"EPO",MainData[Billable?],"Y",MainData[Category],"Beverage",MainData[Product],IF($AJ$39="No","SoftDrink","999999"))</f>
        <v>0</v>
      </c>
      <c r="AC39" s="32"/>
      <c r="AD39" s="101">
        <f>SUMIFS(MainData[ExtendedCost],MainData[Date],"&gt;="&amp;AD$7,MainData[Date],"&lt;="&amp;AD$8,MainData[BillTo],"EPO",MainData[Billable?],"Y",MainData[Category],"Beverage") -SUM(AD36:AD38) -
  SUMIFS(MainData[ExtendedCost],MainData[Date],"&gt;="&amp;AD$7,MainData[Date],"&lt;="&amp;AD$8,MainData[BillTo],"EPO",MainData[Billable?],"Y",MainData[Category],"Beverage",MainData[Product],IF($AJ$39="No","SoftDrink","999999"))</f>
        <v>0</v>
      </c>
      <c r="AE39" s="32"/>
      <c r="AF39" s="33"/>
      <c r="AG39" s="35">
        <f>SUM(F39:AD39)</f>
        <v>56.000000000000227</v>
      </c>
      <c r="AH39" s="167"/>
      <c r="AI39" s="178"/>
      <c r="AJ39" s="137" t="s">
        <v>513</v>
      </c>
      <c r="BC39" s="18"/>
      <c r="BD39" s="18"/>
      <c r="BE39" s="18"/>
      <c r="BF39" s="18"/>
    </row>
    <row r="40" spans="2:58" ht="15" customHeight="1" x14ac:dyDescent="0.25">
      <c r="B40" s="201"/>
      <c r="C40" s="49"/>
      <c r="F40" s="97">
        <f>SUM(F36:F39)</f>
        <v>73.19</v>
      </c>
      <c r="G40" s="4"/>
      <c r="H40" s="97">
        <f>SUM(H36:H39)</f>
        <v>1505.8500000000004</v>
      </c>
      <c r="I40" s="4"/>
      <c r="J40" s="97">
        <f>SUM(J36:J39)</f>
        <v>0</v>
      </c>
      <c r="K40" s="4"/>
      <c r="L40" s="97">
        <f>SUM(L36:L39)</f>
        <v>0</v>
      </c>
      <c r="M40" s="4"/>
      <c r="N40" s="97">
        <f>SUM(N36:N39)</f>
        <v>0</v>
      </c>
      <c r="O40" s="4"/>
      <c r="P40" s="97">
        <f>SUM(P36:P39)</f>
        <v>0</v>
      </c>
      <c r="Q40" s="4"/>
      <c r="R40" s="97">
        <f>SUM(R36:R39)</f>
        <v>0</v>
      </c>
      <c r="S40" s="4"/>
      <c r="T40" s="97">
        <f>SUM(T36:T39)</f>
        <v>0</v>
      </c>
      <c r="U40" s="4"/>
      <c r="V40" s="97">
        <f>SUM(V36:V39)</f>
        <v>0</v>
      </c>
      <c r="W40" s="4"/>
      <c r="X40" s="97">
        <f>SUM(X36:X39)</f>
        <v>0</v>
      </c>
      <c r="Y40" s="4"/>
      <c r="Z40" s="97">
        <f>SUM(Z36:Z39)</f>
        <v>0</v>
      </c>
      <c r="AA40" s="4"/>
      <c r="AB40" s="97">
        <f>SUM(AB36:AB39)</f>
        <v>0</v>
      </c>
      <c r="AC40" s="4"/>
      <c r="AD40" s="97">
        <f>SUM(AD36:AD39)</f>
        <v>0</v>
      </c>
      <c r="AE40" s="4"/>
      <c r="AG40" s="4">
        <f>IF(SUM(AG36:AG39)=0,"",SUM(AG36:AG39))</f>
        <v>1579.0400000000004</v>
      </c>
      <c r="AH40" s="167"/>
      <c r="AI40" s="178"/>
      <c r="BC40" s="18"/>
      <c r="BD40" s="18"/>
      <c r="BE40" s="18"/>
      <c r="BF40" s="18"/>
    </row>
    <row r="41" spans="2:58" ht="9" customHeight="1" x14ac:dyDescent="0.25">
      <c r="B41" s="201"/>
      <c r="C41" s="56"/>
      <c r="D41" s="2"/>
      <c r="F41" s="59" t="str">
        <f>IF(F46&gt;LARGE($F46:$AD46,2),"Highest",IF(AND(F46=_xlfn.MINIFS($F46:$AD46,$F46:$AD46,"&lt;&gt;0"),COUNTIF($F46:$AD46,F46)=1),"Lowest",""))</f>
        <v>Lowest</v>
      </c>
      <c r="G41" s="59"/>
      <c r="H41" s="59" t="str">
        <f>IF(H46&gt;LARGE($F46:$AD46,2),"Highest",IF(AND(H46=_xlfn.MINIFS($F46:$AD46,$F46:$AD46,"&lt;&gt;0"),COUNTIF($F46:$AD46,H46)=1),"Lowest",""))</f>
        <v>Highest</v>
      </c>
      <c r="I41" s="59"/>
      <c r="J41" s="59" t="str">
        <f>IF(J46&gt;LARGE($F46:$AD46,2),"Highest",IF(AND(J46=_xlfn.MINIFS($F46:$AD46,$F46:$AD46,"&lt;&gt;0"),COUNTIF($F46:$AD46,J46)=1),"Lowest",""))</f>
        <v/>
      </c>
      <c r="K41" s="59"/>
      <c r="L41" s="59" t="str">
        <f>IF(L46&gt;LARGE($F46:$AD46,2),"Highest",IF(AND(L46=_xlfn.MINIFS($F46:$AD46,$F46:$AD46,"&lt;&gt;0"),COUNTIF($F46:$AD46,L46)=1),"Lowest",""))</f>
        <v/>
      </c>
      <c r="M41" s="59"/>
      <c r="N41" s="59" t="str">
        <f>IF(N46&gt;LARGE($F46:$AD46,2),"Highest",IF(AND(N46=_xlfn.MINIFS($F46:$AD46,$F46:$AD46,"&lt;&gt;0"),COUNTIF($F46:$AD46,N46)=1),"Lowest",""))</f>
        <v/>
      </c>
      <c r="O41" s="59"/>
      <c r="P41" s="59" t="str">
        <f>IF(P46&gt;LARGE($F46:$AD46,2),"Highest",IF(AND(P46=_xlfn.MINIFS($F46:$AD46,$F46:$AD46,"&lt;&gt;0"),COUNTIF($F46:$AD46,P46)=1),"Lowest",""))</f>
        <v/>
      </c>
      <c r="Q41" s="59"/>
      <c r="R41" s="59" t="str">
        <f>IF(R46&gt;LARGE($F46:$AD46,2),"Highest",IF(AND(R46=_xlfn.MINIFS($F46:$AD46,$F46:$AD46,"&lt;&gt;0"),COUNTIF($F46:$AD46,R46)=1),"Lowest",""))</f>
        <v/>
      </c>
      <c r="S41" s="59"/>
      <c r="T41" s="59" t="str">
        <f>IF(T46&gt;LARGE($F46:$AD46,2),"Highest",IF(AND(T46=_xlfn.MINIFS($F46:$AD46,$F46:$AD46,"&lt;&gt;0"),COUNTIF($F46:$AD46,T46)=1),"Lowest",""))</f>
        <v/>
      </c>
      <c r="U41" s="59"/>
      <c r="V41" s="59" t="str">
        <f>IF(V46&gt;LARGE($F46:$AD46,2),"Highest",IF(AND(V46=_xlfn.MINIFS($F46:$AD46,$F46:$AD46,"&lt;&gt;0"),COUNTIF($F46:$AD46,V46)=1),"Lowest",""))</f>
        <v/>
      </c>
      <c r="W41" s="59"/>
      <c r="X41" s="59" t="str">
        <f>IF(X46&gt;LARGE($F46:$AD46,2),"Highest",IF(AND(X46=_xlfn.MINIFS($F46:$AD46,$F46:$AD46,"&lt;&gt;0"),COUNTIF($F46:$AD46,X46)=1),"Lowest",""))</f>
        <v/>
      </c>
      <c r="Y41" s="59"/>
      <c r="Z41" s="59" t="str">
        <f>IF(Z46&gt;LARGE($F46:$AD46,2),"Highest",IF(AND(Z46=_xlfn.MINIFS($F46:$AD46,$F46:$AD46,"&lt;&gt;0"),COUNTIF($F46:$AD46,Z46)=1),"Lowest",""))</f>
        <v/>
      </c>
      <c r="AA41" s="59"/>
      <c r="AB41" s="59" t="str">
        <f>IF(AB46&gt;LARGE($F46:$AD46,2),"Highest",IF(AND(AB46=_xlfn.MINIFS($F46:$AD46,$F46:$AD46,"&lt;&gt;0"),COUNTIF($F46:$AD46,AB46)=1),"Lowest",""))</f>
        <v/>
      </c>
      <c r="AC41" s="59"/>
      <c r="AD41" s="59" t="str">
        <f>IF(AD46&gt;LARGE($F46:$AD46,2),"Highest",IF(AND(AD46=_xlfn.MINIFS($F46:$AD46,$F46:$AD46,"&lt;&gt;0"),COUNTIF($F46:$AD46,AD46)=1),"Lowest",""))</f>
        <v/>
      </c>
      <c r="AE41" s="27"/>
      <c r="AH41" s="167"/>
      <c r="AI41" s="178"/>
      <c r="AK41" s="174"/>
      <c r="BC41" s="18"/>
      <c r="BD41" s="18"/>
      <c r="BE41" s="18"/>
      <c r="BF41" s="18"/>
    </row>
    <row r="42" spans="2:58" ht="15" customHeight="1" x14ac:dyDescent="0.25">
      <c r="B42" s="201"/>
      <c r="C42" s="202" t="s">
        <v>42</v>
      </c>
      <c r="D42" s="21" t="s">
        <v>36</v>
      </c>
      <c r="F42" s="98">
        <f>SUMIFS(MainData[ExtendedPrice],MainData[Date],"&gt;="&amp;F$7,MainData[Date],"&lt;="&amp;F$8,MainData[BillTo],"EPO",MainData[Billable?],"Y",MainData[Category],"Beverage",MainData[Product],$D42)</f>
        <v>989.15</v>
      </c>
      <c r="G42" s="32"/>
      <c r="H42" s="98">
        <f>SUMIFS(MainData[ExtendedPrice],MainData[Date],"&gt;="&amp;H$7,MainData[Date],"&lt;="&amp;H$8,MainData[BillTo],"EPO",MainData[Billable?],"Y",MainData[Category],"Beverage",MainData[Product],$D42)</f>
        <v>7733.58</v>
      </c>
      <c r="I42" s="32"/>
      <c r="J42" s="98">
        <f>SUMIFS(MainData[ExtendedPrice],MainData[Date],"&gt;="&amp;J$7,MainData[Date],"&lt;="&amp;J$8,MainData[BillTo],"EPO",MainData[Billable?],"Y",MainData[Category],"Beverage",MainData[Product],$D42)</f>
        <v>0</v>
      </c>
      <c r="K42" s="32"/>
      <c r="L42" s="98">
        <f>SUMIFS(MainData[ExtendedPrice],MainData[Date],"&gt;="&amp;L$7,MainData[Date],"&lt;="&amp;L$8,MainData[BillTo],"EPO",MainData[Billable?],"Y",MainData[Category],"Beverage",MainData[Product],$D42)</f>
        <v>0</v>
      </c>
      <c r="M42" s="32"/>
      <c r="N42" s="98">
        <f>SUMIFS(MainData[ExtendedPrice],MainData[Date],"&gt;="&amp;N$7,MainData[Date],"&lt;="&amp;N$8,MainData[BillTo],"EPO",MainData[Billable?],"Y",MainData[Category],"Beverage",MainData[Product],$D42)</f>
        <v>0</v>
      </c>
      <c r="O42" s="32"/>
      <c r="P42" s="98">
        <f>SUMIFS(MainData[ExtendedPrice],MainData[Date],"&gt;="&amp;P$7,MainData[Date],"&lt;="&amp;P$8,MainData[BillTo],"EPO",MainData[Billable?],"Y",MainData[Category],"Beverage",MainData[Product],$D42)</f>
        <v>0</v>
      </c>
      <c r="Q42" s="32"/>
      <c r="R42" s="98">
        <f>SUMIFS(MainData[ExtendedPrice],MainData[Date],"&gt;="&amp;R$7,MainData[Date],"&lt;="&amp;R$8,MainData[BillTo],"EPO",MainData[Billable?],"Y",MainData[Category],"Beverage",MainData[Product],$D42)</f>
        <v>0</v>
      </c>
      <c r="S42" s="32"/>
      <c r="T42" s="98">
        <f>SUMIFS(MainData[ExtendedPrice],MainData[Date],"&gt;="&amp;T$7,MainData[Date],"&lt;="&amp;T$8,MainData[BillTo],"EPO",MainData[Billable?],"Y",MainData[Category],"Beverage",MainData[Product],$D42)</f>
        <v>0</v>
      </c>
      <c r="U42" s="32"/>
      <c r="V42" s="98">
        <f>SUMIFS(MainData[ExtendedPrice],MainData[Date],"&gt;="&amp;V$7,MainData[Date],"&lt;="&amp;V$8,MainData[BillTo],"EPO",MainData[Billable?],"Y",MainData[Category],"Beverage",MainData[Product],$D42)</f>
        <v>0</v>
      </c>
      <c r="W42" s="32"/>
      <c r="X42" s="98">
        <f>SUMIFS(MainData[ExtendedPrice],MainData[Date],"&gt;="&amp;X$7,MainData[Date],"&lt;="&amp;X$8,MainData[BillTo],"EPO",MainData[Billable?],"Y",MainData[Category],"Beverage",MainData[Product],$D42)</f>
        <v>0</v>
      </c>
      <c r="Y42" s="32"/>
      <c r="Z42" s="98">
        <f>SUMIFS(MainData[ExtendedPrice],MainData[Date],"&gt;="&amp;Z$7,MainData[Date],"&lt;="&amp;Z$8,MainData[BillTo],"EPO",MainData[Billable?],"Y",MainData[Category],"Beverage",MainData[Product],$D42)</f>
        <v>0</v>
      </c>
      <c r="AA42" s="32"/>
      <c r="AB42" s="98">
        <f>SUMIFS(MainData[ExtendedPrice],MainData[Date],"&gt;="&amp;AB$7,MainData[Date],"&lt;="&amp;AB$8,MainData[BillTo],"EPO",MainData[Billable?],"Y",MainData[Category],"Beverage",MainData[Product],$D42)</f>
        <v>0</v>
      </c>
      <c r="AC42" s="32"/>
      <c r="AD42" s="98">
        <f>SUMIFS(MainData[ExtendedPrice],MainData[Date],"&gt;="&amp;AD$7,MainData[Date],"&lt;="&amp;AD$8,MainData[BillTo],"EPO",MainData[Billable?],"Y",MainData[Category],"Beverage",MainData[Product],$D42)</f>
        <v>0</v>
      </c>
      <c r="AE42" s="32"/>
      <c r="AF42" s="33"/>
      <c r="AG42" s="31">
        <f>SUM(F42:AD42)</f>
        <v>8722.73</v>
      </c>
      <c r="AH42" s="196"/>
      <c r="AI42" s="178"/>
      <c r="AK42" s="175"/>
      <c r="BC42" s="18"/>
      <c r="BD42" s="18"/>
      <c r="BE42" s="18"/>
      <c r="BF42" s="18"/>
    </row>
    <row r="43" spans="2:58" x14ac:dyDescent="0.25">
      <c r="B43" s="201"/>
      <c r="C43" s="202"/>
      <c r="D43" s="21" t="s">
        <v>25</v>
      </c>
      <c r="F43" s="99">
        <f>SUMIFS(MainData[ExtendedPrice],MainData[Date],"&gt;="&amp;F$7,MainData[Date],"&lt;="&amp;F$8,MainData[BillTo],"EPO",MainData[Billable?],"Y",MainData[Category],"Beverage",MainData[Product],$D43)</f>
        <v>12</v>
      </c>
      <c r="G43" s="32"/>
      <c r="H43" s="99">
        <f>SUMIFS(MainData[ExtendedPrice],MainData[Date],"&gt;="&amp;H$7,MainData[Date],"&lt;="&amp;H$8,MainData[BillTo],"EPO",MainData[Billable?],"Y",MainData[Category],"Beverage",MainData[Product],$D43)</f>
        <v>2022.7900000000002</v>
      </c>
      <c r="I43" s="32"/>
      <c r="J43" s="99">
        <f>SUMIFS(MainData[ExtendedPrice],MainData[Date],"&gt;="&amp;J$7,MainData[Date],"&lt;="&amp;J$8,MainData[BillTo],"EPO",MainData[Billable?],"Y",MainData[Category],"Beverage",MainData[Product],$D43)</f>
        <v>0</v>
      </c>
      <c r="K43" s="32"/>
      <c r="L43" s="99">
        <f>SUMIFS(MainData[ExtendedPrice],MainData[Date],"&gt;="&amp;L$7,MainData[Date],"&lt;="&amp;L$8,MainData[BillTo],"EPO",MainData[Billable?],"Y",MainData[Category],"Beverage",MainData[Product],$D43)</f>
        <v>0</v>
      </c>
      <c r="M43" s="32"/>
      <c r="N43" s="99">
        <f>SUMIFS(MainData[ExtendedPrice],MainData[Date],"&gt;="&amp;N$7,MainData[Date],"&lt;="&amp;N$8,MainData[BillTo],"EPO",MainData[Billable?],"Y",MainData[Category],"Beverage",MainData[Product],$D43)</f>
        <v>0</v>
      </c>
      <c r="O43" s="32"/>
      <c r="P43" s="99">
        <f>SUMIFS(MainData[ExtendedPrice],MainData[Date],"&gt;="&amp;P$7,MainData[Date],"&lt;="&amp;P$8,MainData[BillTo],"EPO",MainData[Billable?],"Y",MainData[Category],"Beverage",MainData[Product],$D43)</f>
        <v>0</v>
      </c>
      <c r="Q43" s="32"/>
      <c r="R43" s="99">
        <f>SUMIFS(MainData[ExtendedPrice],MainData[Date],"&gt;="&amp;R$7,MainData[Date],"&lt;="&amp;R$8,MainData[BillTo],"EPO",MainData[Billable?],"Y",MainData[Category],"Beverage",MainData[Product],$D43)</f>
        <v>0</v>
      </c>
      <c r="S43" s="32"/>
      <c r="T43" s="99">
        <f>SUMIFS(MainData[ExtendedPrice],MainData[Date],"&gt;="&amp;T$7,MainData[Date],"&lt;="&amp;T$8,MainData[BillTo],"EPO",MainData[Billable?],"Y",MainData[Category],"Beverage",MainData[Product],$D43)</f>
        <v>0</v>
      </c>
      <c r="U43" s="32"/>
      <c r="V43" s="99">
        <f>SUMIFS(MainData[ExtendedPrice],MainData[Date],"&gt;="&amp;V$7,MainData[Date],"&lt;="&amp;V$8,MainData[BillTo],"EPO",MainData[Billable?],"Y",MainData[Category],"Beverage",MainData[Product],$D43)</f>
        <v>0</v>
      </c>
      <c r="W43" s="32"/>
      <c r="X43" s="99">
        <f>SUMIFS(MainData[ExtendedPrice],MainData[Date],"&gt;="&amp;X$7,MainData[Date],"&lt;="&amp;X$8,MainData[BillTo],"EPO",MainData[Billable?],"Y",MainData[Category],"Beverage",MainData[Product],$D43)</f>
        <v>0</v>
      </c>
      <c r="Y43" s="32"/>
      <c r="Z43" s="99">
        <f>SUMIFS(MainData[ExtendedPrice],MainData[Date],"&gt;="&amp;Z$7,MainData[Date],"&lt;="&amp;Z$8,MainData[BillTo],"EPO",MainData[Billable?],"Y",MainData[Category],"Beverage",MainData[Product],$D43)</f>
        <v>0</v>
      </c>
      <c r="AA43" s="32"/>
      <c r="AB43" s="99">
        <f>SUMIFS(MainData[ExtendedPrice],MainData[Date],"&gt;="&amp;AB$7,MainData[Date],"&lt;="&amp;AB$8,MainData[BillTo],"EPO",MainData[Billable?],"Y",MainData[Category],"Beverage",MainData[Product],$D43)</f>
        <v>0</v>
      </c>
      <c r="AC43" s="32"/>
      <c r="AD43" s="99">
        <f>SUMIFS(MainData[ExtendedPrice],MainData[Date],"&gt;="&amp;AD$7,MainData[Date],"&lt;="&amp;AD$8,MainData[BillTo],"EPO",MainData[Billable?],"Y",MainData[Category],"Beverage",MainData[Product],$D43)</f>
        <v>0</v>
      </c>
      <c r="AE43" s="32"/>
      <c r="AF43" s="33"/>
      <c r="AG43" s="34">
        <f>SUM(F43:AD43)</f>
        <v>2034.7900000000002</v>
      </c>
      <c r="AH43" s="196"/>
      <c r="AI43" s="178"/>
      <c r="AK43" s="175"/>
      <c r="BC43" s="18"/>
      <c r="BD43" s="18"/>
      <c r="BE43" s="18"/>
      <c r="BF43" s="18"/>
    </row>
    <row r="44" spans="2:58" x14ac:dyDescent="0.25">
      <c r="B44" s="201"/>
      <c r="C44" s="202"/>
      <c r="D44" s="21" t="s">
        <v>35</v>
      </c>
      <c r="F44" s="100">
        <f>SUMIFS(MainData[ExtendedPrice],MainData[Date],"&gt;="&amp;F$7,MainData[Date],"&lt;="&amp;F$8,MainData[BillTo],"EPO",MainData[Billable?],"Y",MainData[Category],"Beverage",MainData[Product],$D44)</f>
        <v>0</v>
      </c>
      <c r="G44" s="32"/>
      <c r="H44" s="100">
        <f>SUMIFS(MainData[ExtendedPrice],MainData[Date],"&gt;="&amp;H$7,MainData[Date],"&lt;="&amp;H$8,MainData[BillTo],"EPO",MainData[Billable?],"Y",MainData[Category],"Beverage",MainData[Product],$D44)</f>
        <v>1402.04</v>
      </c>
      <c r="I44" s="32"/>
      <c r="J44" s="100">
        <f>SUMIFS(MainData[ExtendedPrice],MainData[Date],"&gt;="&amp;J$7,MainData[Date],"&lt;="&amp;J$8,MainData[BillTo],"EPO",MainData[Billable?],"Y",MainData[Category],"Beverage",MainData[Product],$D44)</f>
        <v>0</v>
      </c>
      <c r="K44" s="32"/>
      <c r="L44" s="100">
        <f>SUMIFS(MainData[ExtendedPrice],MainData[Date],"&gt;="&amp;L$7,MainData[Date],"&lt;="&amp;L$8,MainData[BillTo],"EPO",MainData[Billable?],"Y",MainData[Category],"Beverage",MainData[Product],$D44)</f>
        <v>0</v>
      </c>
      <c r="M44" s="32"/>
      <c r="N44" s="100">
        <f>SUMIFS(MainData[ExtendedPrice],MainData[Date],"&gt;="&amp;N$7,MainData[Date],"&lt;="&amp;N$8,MainData[BillTo],"EPO",MainData[Billable?],"Y",MainData[Category],"Beverage",MainData[Product],$D44)</f>
        <v>0</v>
      </c>
      <c r="O44" s="32"/>
      <c r="P44" s="100">
        <f>SUMIFS(MainData[ExtendedPrice],MainData[Date],"&gt;="&amp;P$7,MainData[Date],"&lt;="&amp;P$8,MainData[BillTo],"EPO",MainData[Billable?],"Y",MainData[Category],"Beverage",MainData[Product],$D44)</f>
        <v>0</v>
      </c>
      <c r="Q44" s="32"/>
      <c r="R44" s="100">
        <f>SUMIFS(MainData[ExtendedPrice],MainData[Date],"&gt;="&amp;R$7,MainData[Date],"&lt;="&amp;R$8,MainData[BillTo],"EPO",MainData[Billable?],"Y",MainData[Category],"Beverage",MainData[Product],$D44)</f>
        <v>0</v>
      </c>
      <c r="S44" s="32"/>
      <c r="T44" s="100">
        <f>SUMIFS(MainData[ExtendedPrice],MainData[Date],"&gt;="&amp;T$7,MainData[Date],"&lt;="&amp;T$8,MainData[BillTo],"EPO",MainData[Billable?],"Y",MainData[Category],"Beverage",MainData[Product],$D44)</f>
        <v>0</v>
      </c>
      <c r="U44" s="32"/>
      <c r="V44" s="100">
        <f>SUMIFS(MainData[ExtendedPrice],MainData[Date],"&gt;="&amp;V$7,MainData[Date],"&lt;="&amp;V$8,MainData[BillTo],"EPO",MainData[Billable?],"Y",MainData[Category],"Beverage",MainData[Product],$D44)</f>
        <v>0</v>
      </c>
      <c r="W44" s="32"/>
      <c r="X44" s="100">
        <f>SUMIFS(MainData[ExtendedPrice],MainData[Date],"&gt;="&amp;X$7,MainData[Date],"&lt;="&amp;X$8,MainData[BillTo],"EPO",MainData[Billable?],"Y",MainData[Category],"Beverage",MainData[Product],$D44)</f>
        <v>0</v>
      </c>
      <c r="Y44" s="32"/>
      <c r="Z44" s="100">
        <f>SUMIFS(MainData[ExtendedPrice],MainData[Date],"&gt;="&amp;Z$7,MainData[Date],"&lt;="&amp;Z$8,MainData[BillTo],"EPO",MainData[Billable?],"Y",MainData[Category],"Beverage",MainData[Product],$D44)</f>
        <v>0</v>
      </c>
      <c r="AA44" s="32"/>
      <c r="AB44" s="100">
        <f>SUMIFS(MainData[ExtendedPrice],MainData[Date],"&gt;="&amp;AB$7,MainData[Date],"&lt;="&amp;AB$8,MainData[BillTo],"EPO",MainData[Billable?],"Y",MainData[Category],"Beverage",MainData[Product],$D44)</f>
        <v>0</v>
      </c>
      <c r="AC44" s="32"/>
      <c r="AD44" s="100">
        <f>SUMIFS(MainData[ExtendedPrice],MainData[Date],"&gt;="&amp;AD$7,MainData[Date],"&lt;="&amp;AD$8,MainData[BillTo],"EPO",MainData[Billable?],"Y",MainData[Category],"Beverage",MainData[Product],$D44)</f>
        <v>0</v>
      </c>
      <c r="AE44" s="32"/>
      <c r="AF44" s="33"/>
      <c r="AG44" s="32">
        <f>SUM(F44:AD44)</f>
        <v>1402.04</v>
      </c>
      <c r="AH44" s="196"/>
      <c r="AI44" s="178"/>
      <c r="AK44" s="175"/>
      <c r="BC44" s="18"/>
      <c r="BD44" s="18"/>
      <c r="BE44" s="18"/>
      <c r="BF44" s="18"/>
    </row>
    <row r="45" spans="2:58" x14ac:dyDescent="0.25">
      <c r="B45" s="201"/>
      <c r="C45" s="202"/>
      <c r="D45" s="21" t="s">
        <v>24</v>
      </c>
      <c r="F45" s="101">
        <f>SUMIFS(MainData[ExtendedPrice],MainData[Date],"&gt;="&amp;F$7,MainData[Date],"&lt;="&amp;F$8,MainData[BillTo],"EPO",MainData[Billable?],"Y",MainData[Category],"Beverage") - SUM(F42:F44) -
  SUMIFS(MainData[ExtendedPrice],MainData[Date],"&gt;="&amp;F$7,MainData[Date],"&lt;="&amp;F$8,MainData[BillTo],"EPO",MainData[Billable?],"Y",MainData[Category],"Beverage",MainData[Product],IF($AJ$39="No","SoftDrink","999999"))</f>
        <v>5.25</v>
      </c>
      <c r="G45" s="32"/>
      <c r="H45" s="101">
        <f>SUMIFS(MainData[ExtendedPrice],MainData[Date],"&gt;="&amp;H$7,MainData[Date],"&lt;="&amp;H$8,MainData[BillTo],"EPO",MainData[Billable?],"Y",MainData[Category],"Beverage") - SUM(H42:H44) -
  SUMIFS(MainData[ExtendedPrice],MainData[Date],"&gt;="&amp;H$7,MainData[Date],"&lt;="&amp;H$8,MainData[BillTo],"EPO",MainData[Billable?],"Y",MainData[Category],"Beverage",MainData[Product],IF($AJ$39="No","SoftDrink","999999"))</f>
        <v>970.11000000000058</v>
      </c>
      <c r="I45" s="32"/>
      <c r="J45" s="101">
        <f>SUMIFS(MainData[ExtendedPrice],MainData[Date],"&gt;="&amp;J$7,MainData[Date],"&lt;="&amp;J$8,MainData[BillTo],"EPO",MainData[Billable?],"Y",MainData[Category],"Beverage") - SUM(J42:J44) -
  SUMIFS(MainData[ExtendedPrice],MainData[Date],"&gt;="&amp;J$7,MainData[Date],"&lt;="&amp;J$8,MainData[BillTo],"EPO",MainData[Billable?],"Y",MainData[Category],"Beverage",MainData[Product],IF($AJ$39="No","SoftDrink","999999"))</f>
        <v>0</v>
      </c>
      <c r="K45" s="32"/>
      <c r="L45" s="101">
        <f>SUMIFS(MainData[ExtendedPrice],MainData[Date],"&gt;="&amp;L$7,MainData[Date],"&lt;="&amp;L$8,MainData[BillTo],"EPO",MainData[Billable?],"Y",MainData[Category],"Beverage") - SUM(L42:L44) -
  SUMIFS(MainData[ExtendedPrice],MainData[Date],"&gt;="&amp;L$7,MainData[Date],"&lt;="&amp;L$8,MainData[BillTo],"EPO",MainData[Billable?],"Y",MainData[Category],"Beverage",MainData[Product],IF($AJ$39="No","SoftDrink","999999"))</f>
        <v>0</v>
      </c>
      <c r="M45" s="32"/>
      <c r="N45" s="101">
        <f>SUMIFS(MainData[ExtendedPrice],MainData[Date],"&gt;="&amp;N$7,MainData[Date],"&lt;="&amp;N$8,MainData[BillTo],"EPO",MainData[Billable?],"Y",MainData[Category],"Beverage") - SUM(N42:N44) -
  SUMIFS(MainData[ExtendedPrice],MainData[Date],"&gt;="&amp;N$7,MainData[Date],"&lt;="&amp;N$8,MainData[BillTo],"EPO",MainData[Billable?],"Y",MainData[Category],"Beverage",MainData[Product],IF($AJ$39="No","SoftDrink","999999"))</f>
        <v>0</v>
      </c>
      <c r="O45" s="32"/>
      <c r="P45" s="101">
        <f>SUMIFS(MainData[ExtendedPrice],MainData[Date],"&gt;="&amp;P$7,MainData[Date],"&lt;="&amp;P$8,MainData[BillTo],"EPO",MainData[Billable?],"Y",MainData[Category],"Beverage") - SUM(P42:P44) -
  SUMIFS(MainData[ExtendedPrice],MainData[Date],"&gt;="&amp;P$7,MainData[Date],"&lt;="&amp;P$8,MainData[BillTo],"EPO",MainData[Billable?],"Y",MainData[Category],"Beverage",MainData[Product],IF($AJ$39="No","SoftDrink","999999"))</f>
        <v>0</v>
      </c>
      <c r="Q45" s="32"/>
      <c r="R45" s="101">
        <f>SUMIFS(MainData[ExtendedPrice],MainData[Date],"&gt;="&amp;R$7,MainData[Date],"&lt;="&amp;R$8,MainData[BillTo],"EPO",MainData[Billable?],"Y",MainData[Category],"Beverage") - SUM(R42:R44) -
  SUMIFS(MainData[ExtendedPrice],MainData[Date],"&gt;="&amp;R$7,MainData[Date],"&lt;="&amp;R$8,MainData[BillTo],"EPO",MainData[Billable?],"Y",MainData[Category],"Beverage",MainData[Product],IF($AJ$39="No","SoftDrink","999999"))</f>
        <v>0</v>
      </c>
      <c r="S45" s="32"/>
      <c r="T45" s="101">
        <f>SUMIFS(MainData[ExtendedPrice],MainData[Date],"&gt;="&amp;T$7,MainData[Date],"&lt;="&amp;T$8,MainData[BillTo],"EPO",MainData[Billable?],"Y",MainData[Category],"Beverage") - SUM(T42:T44) -
  SUMIFS(MainData[ExtendedPrice],MainData[Date],"&gt;="&amp;T$7,MainData[Date],"&lt;="&amp;T$8,MainData[BillTo],"EPO",MainData[Billable?],"Y",MainData[Category],"Beverage",MainData[Product],IF($AJ$39="No","SoftDrink","999999"))</f>
        <v>0</v>
      </c>
      <c r="U45" s="32"/>
      <c r="V45" s="101">
        <f>SUMIFS(MainData[ExtendedPrice],MainData[Date],"&gt;="&amp;V$7,MainData[Date],"&lt;="&amp;V$8,MainData[BillTo],"EPO",MainData[Billable?],"Y",MainData[Category],"Beverage") - SUM(V42:V44) -
  SUMIFS(MainData[ExtendedPrice],MainData[Date],"&gt;="&amp;V$7,MainData[Date],"&lt;="&amp;V$8,MainData[BillTo],"EPO",MainData[Billable?],"Y",MainData[Category],"Beverage",MainData[Product],IF($AJ$39="No","SoftDrink","999999"))</f>
        <v>0</v>
      </c>
      <c r="W45" s="32"/>
      <c r="X45" s="101">
        <f>SUMIFS(MainData[ExtendedPrice],MainData[Date],"&gt;="&amp;X$7,MainData[Date],"&lt;="&amp;X$8,MainData[BillTo],"EPO",MainData[Billable?],"Y",MainData[Category],"Beverage") - SUM(X42:X44) -
  SUMIFS(MainData[ExtendedPrice],MainData[Date],"&gt;="&amp;X$7,MainData[Date],"&lt;="&amp;X$8,MainData[BillTo],"EPO",MainData[Billable?],"Y",MainData[Category],"Beverage",MainData[Product],IF($AJ$39="No","SoftDrink","999999"))</f>
        <v>0</v>
      </c>
      <c r="Y45" s="32"/>
      <c r="Z45" s="101">
        <f>SUMIFS(MainData[ExtendedPrice],MainData[Date],"&gt;="&amp;Z$7,MainData[Date],"&lt;="&amp;Z$8,MainData[BillTo],"EPO",MainData[Billable?],"Y",MainData[Category],"Beverage") - SUM(Z42:Z44) -
  SUMIFS(MainData[ExtendedPrice],MainData[Date],"&gt;="&amp;Z$7,MainData[Date],"&lt;="&amp;Z$8,MainData[BillTo],"EPO",MainData[Billable?],"Y",MainData[Category],"Beverage",MainData[Product],IF($AJ$39="No","SoftDrink","999999"))</f>
        <v>0</v>
      </c>
      <c r="AA45" s="32"/>
      <c r="AB45" s="101">
        <f>SUMIFS(MainData[ExtendedPrice],MainData[Date],"&gt;="&amp;AB$7,MainData[Date],"&lt;="&amp;AB$8,MainData[BillTo],"EPO",MainData[Billable?],"Y",MainData[Category],"Beverage") - SUM(AB42:AB44) -
  SUMIFS(MainData[ExtendedPrice],MainData[Date],"&gt;="&amp;AB$7,MainData[Date],"&lt;="&amp;AB$8,MainData[BillTo],"EPO",MainData[Billable?],"Y",MainData[Category],"Beverage",MainData[Product],IF($AJ$39="No","SoftDrink","999999"))</f>
        <v>0</v>
      </c>
      <c r="AC45" s="32"/>
      <c r="AD45" s="101">
        <f>SUMIFS(MainData[ExtendedPrice],MainData[Date],"&gt;="&amp;AD$7,MainData[Date],"&lt;="&amp;AD$8,MainData[BillTo],"EPO",MainData[Billable?],"Y",MainData[Category],"Beverage") - SUM(AD42:AD44) -
  SUMIFS(MainData[ExtendedPrice],MainData[Date],"&gt;="&amp;AD$7,MainData[Date],"&lt;="&amp;AD$8,MainData[BillTo],"EPO",MainData[Billable?],"Y",MainData[Category],"Beverage",MainData[Product],IF($AJ$39="No","SoftDrink","999999"))</f>
        <v>0</v>
      </c>
      <c r="AE45" s="32"/>
      <c r="AF45" s="33"/>
      <c r="AG45" s="35">
        <f>SUM(F45:AD45)</f>
        <v>975.36000000000058</v>
      </c>
      <c r="AH45" s="196"/>
      <c r="AI45" s="178"/>
      <c r="AK45" s="175"/>
      <c r="BC45" s="18"/>
      <c r="BD45" s="18"/>
      <c r="BE45" s="18"/>
      <c r="BF45" s="18"/>
    </row>
    <row r="46" spans="2:58" x14ac:dyDescent="0.25">
      <c r="D46" s="10"/>
      <c r="F46" s="97">
        <f>SUM(F42:F45)</f>
        <v>1006.4</v>
      </c>
      <c r="G46" s="4"/>
      <c r="H46" s="97">
        <f>SUM(H42:H45)</f>
        <v>12128.52</v>
      </c>
      <c r="I46" s="4"/>
      <c r="J46" s="97">
        <f>SUM(J42:J45)</f>
        <v>0</v>
      </c>
      <c r="K46" s="4"/>
      <c r="L46" s="97">
        <f>SUM(L42:L45)</f>
        <v>0</v>
      </c>
      <c r="M46" s="4"/>
      <c r="N46" s="97">
        <f>SUM(N42:N45)</f>
        <v>0</v>
      </c>
      <c r="O46" s="4"/>
      <c r="P46" s="97">
        <f>SUM(P42:P45)</f>
        <v>0</v>
      </c>
      <c r="Q46" s="4"/>
      <c r="R46" s="97">
        <f>SUM(R42:R45)</f>
        <v>0</v>
      </c>
      <c r="S46" s="4"/>
      <c r="T46" s="97">
        <f>SUM(T42:T45)</f>
        <v>0</v>
      </c>
      <c r="U46" s="4"/>
      <c r="V46" s="97">
        <f>SUM(V42:V45)</f>
        <v>0</v>
      </c>
      <c r="W46" s="4"/>
      <c r="X46" s="97">
        <f>SUM(X42:X45)</f>
        <v>0</v>
      </c>
      <c r="Y46" s="4"/>
      <c r="Z46" s="97">
        <f>SUM(Z42:Z45)</f>
        <v>0</v>
      </c>
      <c r="AA46" s="4"/>
      <c r="AB46" s="97">
        <f>SUM(AB42:AB45)</f>
        <v>0</v>
      </c>
      <c r="AC46" s="4"/>
      <c r="AD46" s="97">
        <f>SUM(AD42:AD45)</f>
        <v>0</v>
      </c>
      <c r="AE46" s="4"/>
      <c r="AG46" s="4">
        <f>IF(SUM(AG42:AG45)=0,"",SUM(AG42:AG45))</f>
        <v>13134.920000000002</v>
      </c>
      <c r="AI46" s="170"/>
      <c r="AJ46" s="175"/>
      <c r="AK46" s="175"/>
      <c r="BC46" s="18"/>
      <c r="BD46" s="18"/>
      <c r="BE46" s="18"/>
      <c r="BF46" s="18"/>
    </row>
    <row r="47" spans="2:58" ht="15" customHeight="1" x14ac:dyDescent="0.25">
      <c r="C47" s="30"/>
      <c r="D47" s="10"/>
      <c r="F47" s="128"/>
      <c r="G47" s="4"/>
      <c r="H47" s="128"/>
      <c r="I47" s="4"/>
      <c r="J47" s="128"/>
      <c r="K47" s="4"/>
      <c r="L47" s="128"/>
      <c r="M47" s="4"/>
      <c r="N47" s="128"/>
      <c r="O47" s="4"/>
      <c r="P47" s="128"/>
      <c r="Q47" s="4"/>
      <c r="R47" s="128"/>
      <c r="S47" s="4"/>
      <c r="T47" s="128"/>
      <c r="U47" s="4"/>
      <c r="V47" s="128"/>
      <c r="W47" s="4"/>
      <c r="X47" s="128"/>
      <c r="Y47" s="4"/>
      <c r="Z47" s="128"/>
      <c r="AA47" s="4"/>
      <c r="AB47" s="128"/>
      <c r="AC47" s="4"/>
      <c r="AD47" s="128"/>
      <c r="AE47" s="4"/>
      <c r="AG47" s="4"/>
      <c r="AJ47" s="20"/>
      <c r="BC47" s="18"/>
      <c r="BD47" s="18"/>
      <c r="BE47" s="18"/>
      <c r="BF47" s="18"/>
    </row>
    <row r="48" spans="2:58" ht="9" customHeight="1" x14ac:dyDescent="0.25">
      <c r="C48" s="30"/>
      <c r="F48" s="59" t="str">
        <f>IF(F53&gt;LARGE($F53:$AD53,2),"Highest",IF(AND(F53=_xlfn.MINIFS($F53:$AD53,$F53:$AD53,"&lt;&gt;0"),COUNTIF($F53:$AD53,F53)=1),"Lowest",""))</f>
        <v>Highest</v>
      </c>
      <c r="G48" s="59"/>
      <c r="H48" s="59" t="str">
        <f>IF(H53&gt;LARGE($F53:$AD53,2),"Highest",IF(AND(H53=_xlfn.MINIFS($F53:$AD53,$F53:$AD53,"&lt;&gt;0"),COUNTIF($F53:$AD53,H53)=1),"Lowest",""))</f>
        <v>Lowest</v>
      </c>
      <c r="I48" s="59"/>
      <c r="J48" s="59" t="str">
        <f>IF(J53&gt;LARGE($F53:$AD53,2),"Highest",IF(AND(J53=_xlfn.MINIFS($F53:$AD53,$F53:$AD53,"&lt;&gt;0"),COUNTIF($F53:$AD53,J53)=1),"Lowest",""))</f>
        <v/>
      </c>
      <c r="K48" s="59"/>
      <c r="L48" s="59" t="str">
        <f>IF(L53&gt;LARGE($F53:$AD53,2),"Highest",IF(AND(L53=_xlfn.MINIFS($F53:$AD53,$F53:$AD53,"&lt;&gt;0"),COUNTIF($F53:$AD53,L53)=1),"Lowest",""))</f>
        <v/>
      </c>
      <c r="M48" s="59"/>
      <c r="N48" s="59" t="str">
        <f>IF(N53&gt;LARGE($F53:$AD53,2),"Highest",IF(AND(N53=_xlfn.MINIFS($F53:$AD53,$F53:$AD53,"&lt;&gt;0"),COUNTIF($F53:$AD53,N53)=1),"Lowest",""))</f>
        <v/>
      </c>
      <c r="O48" s="59"/>
      <c r="P48" s="59" t="str">
        <f>IF(P53&gt;LARGE($F53:$AD53,2),"Highest",IF(AND(P53=_xlfn.MINIFS($F53:$AD53,$F53:$AD53,"&lt;&gt;0"),COUNTIF($F53:$AD53,P53)=1),"Lowest",""))</f>
        <v/>
      </c>
      <c r="Q48" s="59"/>
      <c r="R48" s="59" t="str">
        <f>IF(R53&gt;LARGE($F53:$AD53,2),"Highest",IF(AND(R53=_xlfn.MINIFS($F53:$AD53,$F53:$AD53,"&lt;&gt;0"),COUNTIF($F53:$AD53,R53)=1),"Lowest",""))</f>
        <v/>
      </c>
      <c r="S48" s="59"/>
      <c r="T48" s="59" t="str">
        <f>IF(T53&gt;LARGE($F53:$AD53,2),"Highest",IF(AND(T53=_xlfn.MINIFS($F53:$AD53,$F53:$AD53,"&lt;&gt;0"),COUNTIF($F53:$AD53,T53)=1),"Lowest",""))</f>
        <v/>
      </c>
      <c r="U48" s="59"/>
      <c r="V48" s="59" t="str">
        <f>IF(V53&gt;LARGE($F53:$AD53,2),"Highest",IF(AND(V53=_xlfn.MINIFS($F53:$AD53,$F53:$AD53,"&lt;&gt;0"),COUNTIF($F53:$AD53,V53)=1),"Lowest",""))</f>
        <v/>
      </c>
      <c r="W48" s="59"/>
      <c r="X48" s="59" t="str">
        <f>IF(X53&gt;LARGE($F53:$AD53,2),"Highest",IF(AND(X53=_xlfn.MINIFS($F53:$AD53,$F53:$AD53,"&lt;&gt;0"),COUNTIF($F53:$AD53,X53)=1),"Lowest",""))</f>
        <v/>
      </c>
      <c r="Y48" s="59"/>
      <c r="Z48" s="59" t="str">
        <f>IF(Z53&gt;LARGE($F53:$AD53,2),"Highest",IF(AND(Z53=_xlfn.MINIFS($F53:$AD53,$F53:$AD53,"&lt;&gt;0"),COUNTIF($F53:$AD53,Z53)=1),"Lowest",""))</f>
        <v/>
      </c>
      <c r="AA48" s="59"/>
      <c r="AB48" s="59" t="str">
        <f>IF(AB53&gt;LARGE($F53:$AD53,2),"Highest",IF(AND(AB53=_xlfn.MINIFS($F53:$AD53,$F53:$AD53,"&lt;&gt;0"),COUNTIF($F53:$AD53,AB53)=1),"Lowest",""))</f>
        <v/>
      </c>
      <c r="AC48" s="59"/>
      <c r="AD48" s="59" t="str">
        <f>IF(AD53&gt;LARGE($F53:$AD53,2),"Highest",IF(AND(AD53=_xlfn.MINIFS($F53:$AD53,$F53:$AD53,"&lt;&gt;0"),COUNTIF($F53:$AD53,AD53)=1),"Lowest",""))</f>
        <v/>
      </c>
      <c r="AE48" s="27"/>
      <c r="AI48" s="18"/>
      <c r="AJ48" s="42"/>
      <c r="AK48" s="174"/>
      <c r="BC48" s="18"/>
      <c r="BD48" s="18"/>
      <c r="BE48" s="18"/>
      <c r="BF48" s="18"/>
    </row>
    <row r="49" spans="2:58" ht="15" customHeight="1" x14ac:dyDescent="0.25">
      <c r="B49" s="201" t="s">
        <v>518</v>
      </c>
      <c r="C49" s="202" t="s">
        <v>40</v>
      </c>
      <c r="D49" s="21" t="s">
        <v>36</v>
      </c>
      <c r="F49" s="88">
        <f>IFERROR(F55/F$65,0)</f>
        <v>4.469712111362581E-2</v>
      </c>
      <c r="G49" s="32"/>
      <c r="H49" s="88">
        <f>IFERROR(H55/H$65,0)</f>
        <v>2.7699423305513168E-2</v>
      </c>
      <c r="I49" s="32"/>
      <c r="J49" s="88">
        <f>IFERROR(J55/J$65,0)</f>
        <v>0</v>
      </c>
      <c r="K49" s="32"/>
      <c r="L49" s="88">
        <f>IFERROR(L55/L$65,0)</f>
        <v>0</v>
      </c>
      <c r="M49" s="32"/>
      <c r="N49" s="88">
        <f>IFERROR(N55/N$65,0)</f>
        <v>0</v>
      </c>
      <c r="O49" s="32"/>
      <c r="P49" s="88">
        <f>IFERROR(P55/P$65,0)</f>
        <v>0</v>
      </c>
      <c r="Q49" s="32"/>
      <c r="R49" s="88">
        <f>IFERROR(R55/R$65,0)</f>
        <v>0</v>
      </c>
      <c r="S49" s="32"/>
      <c r="T49" s="88">
        <f>IFERROR(T55/T$65,0)</f>
        <v>0</v>
      </c>
      <c r="U49" s="32"/>
      <c r="V49" s="88">
        <f>IFERROR(V55/V$65,0)</f>
        <v>0</v>
      </c>
      <c r="W49" s="32"/>
      <c r="X49" s="88">
        <f>IFERROR(X55/X$65,0)</f>
        <v>0</v>
      </c>
      <c r="Y49" s="32"/>
      <c r="Z49" s="88">
        <f>IFERROR(Z55/Z$65,0)</f>
        <v>0</v>
      </c>
      <c r="AA49" s="32"/>
      <c r="AB49" s="88">
        <f>IFERROR(AB55/AB$65,0)</f>
        <v>0</v>
      </c>
      <c r="AC49" s="32"/>
      <c r="AD49" s="88">
        <f>IFERROR(AD55/AD$65,0)</f>
        <v>0</v>
      </c>
      <c r="AE49" s="32"/>
      <c r="AF49" s="33"/>
      <c r="AG49" s="88">
        <f>IFERROR(AG55/AG$65,0)</f>
        <v>3.6506688180331912E-2</v>
      </c>
      <c r="AH49" s="167"/>
      <c r="AI49" s="18"/>
      <c r="AJ49" s="20" t="s">
        <v>522</v>
      </c>
      <c r="AK49" s="175"/>
      <c r="BC49" s="18"/>
      <c r="BD49" s="18"/>
      <c r="BE49" s="18"/>
      <c r="BF49" s="18"/>
    </row>
    <row r="50" spans="2:58" x14ac:dyDescent="0.25">
      <c r="B50" s="201"/>
      <c r="C50" s="202"/>
      <c r="D50" s="21" t="s">
        <v>25</v>
      </c>
      <c r="F50" s="89">
        <f>IFERROR(F56/F$65,0)</f>
        <v>2.6952891060225196E-2</v>
      </c>
      <c r="G50" s="32"/>
      <c r="H50" s="89">
        <f>IFERROR(H56/H$65,0)</f>
        <v>2.8519002095876093E-2</v>
      </c>
      <c r="I50" s="32"/>
      <c r="J50" s="89">
        <f>IFERROR(J56/J$65,0)</f>
        <v>0</v>
      </c>
      <c r="K50" s="32"/>
      <c r="L50" s="89">
        <f>IFERROR(L56/L$65,0)</f>
        <v>0</v>
      </c>
      <c r="M50" s="32"/>
      <c r="N50" s="89">
        <f>IFERROR(N56/N$65,0)</f>
        <v>0</v>
      </c>
      <c r="O50" s="32"/>
      <c r="P50" s="89">
        <f>IFERROR(P56/P$65,0)</f>
        <v>0</v>
      </c>
      <c r="Q50" s="32"/>
      <c r="R50" s="89">
        <f>IFERROR(R56/R$65,0)</f>
        <v>0</v>
      </c>
      <c r="S50" s="32"/>
      <c r="T50" s="89">
        <f>IFERROR(T56/T$65,0)</f>
        <v>0</v>
      </c>
      <c r="U50" s="32"/>
      <c r="V50" s="89">
        <f>IFERROR(V56/V$65,0)</f>
        <v>0</v>
      </c>
      <c r="W50" s="32"/>
      <c r="X50" s="89">
        <f>IFERROR(X56/X$65,0)</f>
        <v>0</v>
      </c>
      <c r="Y50" s="32"/>
      <c r="Z50" s="89">
        <f>IFERROR(Z56/Z$65,0)</f>
        <v>0</v>
      </c>
      <c r="AA50" s="32"/>
      <c r="AB50" s="89">
        <f>IFERROR(AB56/AB$65,0)</f>
        <v>0</v>
      </c>
      <c r="AC50" s="32"/>
      <c r="AD50" s="89">
        <f>IFERROR(AD56/AD$65,0)</f>
        <v>0</v>
      </c>
      <c r="AE50" s="32"/>
      <c r="AF50" s="33"/>
      <c r="AG50" s="89">
        <f>IFERROR(AG56/AG$65,0)</f>
        <v>2.7707530161849184E-2</v>
      </c>
      <c r="AH50" s="167"/>
      <c r="AI50" s="18"/>
      <c r="AJ50" s="20" t="s">
        <v>523</v>
      </c>
      <c r="AK50" s="175"/>
      <c r="BC50" s="18"/>
      <c r="BD50" s="18"/>
      <c r="BE50" s="18"/>
      <c r="BF50" s="18"/>
    </row>
    <row r="51" spans="2:58" x14ac:dyDescent="0.25">
      <c r="B51" s="201"/>
      <c r="C51" s="202"/>
      <c r="D51" s="21" t="s">
        <v>35</v>
      </c>
      <c r="F51" s="90">
        <f>IFERROR(F57/F$65,0)</f>
        <v>2.2435315416659159E-2</v>
      </c>
      <c r="G51" s="32"/>
      <c r="H51" s="90">
        <f>IFERROR(H57/H$65,0)</f>
        <v>2.9645300946125989E-2</v>
      </c>
      <c r="I51" s="32"/>
      <c r="J51" s="90">
        <f>IFERROR(J57/J$65,0)</f>
        <v>0</v>
      </c>
      <c r="K51" s="32"/>
      <c r="L51" s="90">
        <f>IFERROR(L57/L$65,0)</f>
        <v>0</v>
      </c>
      <c r="M51" s="32"/>
      <c r="N51" s="90">
        <f>IFERROR(N57/N$65,0)</f>
        <v>0</v>
      </c>
      <c r="O51" s="32"/>
      <c r="P51" s="90">
        <f>IFERROR(P57/P$65,0)</f>
        <v>0</v>
      </c>
      <c r="Q51" s="32"/>
      <c r="R51" s="90">
        <f>IFERROR(R57/R$65,0)</f>
        <v>0</v>
      </c>
      <c r="S51" s="32"/>
      <c r="T51" s="90">
        <f>IFERROR(T57/T$65,0)</f>
        <v>0</v>
      </c>
      <c r="U51" s="32"/>
      <c r="V51" s="90">
        <f>IFERROR(V57/V$65,0)</f>
        <v>0</v>
      </c>
      <c r="W51" s="32"/>
      <c r="X51" s="90">
        <f>IFERROR(X57/X$65,0)</f>
        <v>0</v>
      </c>
      <c r="Y51" s="32"/>
      <c r="Z51" s="90">
        <f>IFERROR(Z57/Z$65,0)</f>
        <v>0</v>
      </c>
      <c r="AA51" s="32"/>
      <c r="AB51" s="90">
        <f>IFERROR(AB57/AB$65,0)</f>
        <v>0</v>
      </c>
      <c r="AC51" s="32"/>
      <c r="AD51" s="90">
        <f>IFERROR(AD57/AD$65,0)</f>
        <v>0</v>
      </c>
      <c r="AE51" s="32"/>
      <c r="AF51" s="33"/>
      <c r="AG51" s="90">
        <f>IFERROR(AG57/AG$65,0)</f>
        <v>2.5909486071754164E-2</v>
      </c>
      <c r="AH51" s="167"/>
      <c r="AI51" s="18"/>
      <c r="AJ51" s="42" t="s">
        <v>526</v>
      </c>
      <c r="AK51" s="175"/>
      <c r="BC51" s="18"/>
      <c r="BD51" s="18"/>
      <c r="BE51" s="18"/>
      <c r="BF51" s="18"/>
    </row>
    <row r="52" spans="2:58" x14ac:dyDescent="0.25">
      <c r="B52" s="201"/>
      <c r="C52" s="202"/>
      <c r="D52" s="21" t="s">
        <v>24</v>
      </c>
      <c r="F52" s="91">
        <f>IFERROR(F58/F$65,0)</f>
        <v>2.8830095260880479E-3</v>
      </c>
      <c r="G52" s="32"/>
      <c r="H52" s="91">
        <f>IFERROR(H58/H$65,0)</f>
        <v>3.0761268173306214E-3</v>
      </c>
      <c r="I52" s="32"/>
      <c r="J52" s="91">
        <f>IFERROR(J58/J$65,0)</f>
        <v>0</v>
      </c>
      <c r="K52" s="32"/>
      <c r="L52" s="91">
        <f>IFERROR(L58/L$65,0)</f>
        <v>0</v>
      </c>
      <c r="M52" s="32"/>
      <c r="N52" s="91">
        <f>IFERROR(N58/N$65,0)</f>
        <v>0</v>
      </c>
      <c r="O52" s="32"/>
      <c r="P52" s="91">
        <f>IFERROR(P58/P$65,0)</f>
        <v>0</v>
      </c>
      <c r="Q52" s="32"/>
      <c r="R52" s="91">
        <f>IFERROR(R58/R$65,0)</f>
        <v>0</v>
      </c>
      <c r="S52" s="32"/>
      <c r="T52" s="91">
        <f>IFERROR(T58/T$65,0)</f>
        <v>0</v>
      </c>
      <c r="U52" s="32"/>
      <c r="V52" s="91">
        <f>IFERROR(V58/V$65,0)</f>
        <v>0</v>
      </c>
      <c r="W52" s="32"/>
      <c r="X52" s="91">
        <f>IFERROR(X58/X$65,0)</f>
        <v>0</v>
      </c>
      <c r="Y52" s="32"/>
      <c r="Z52" s="91">
        <f>IFERROR(Z58/Z$65,0)</f>
        <v>0</v>
      </c>
      <c r="AA52" s="32"/>
      <c r="AB52" s="91">
        <f>IFERROR(AB58/AB$65,0)</f>
        <v>0</v>
      </c>
      <c r="AC52" s="32"/>
      <c r="AD52" s="91">
        <f>IFERROR(AD58/AD$65,0)</f>
        <v>0</v>
      </c>
      <c r="AE52" s="32"/>
      <c r="AF52" s="33"/>
      <c r="AG52" s="91">
        <f>IFERROR(AG58/AG$65,0)</f>
        <v>2.9760641408975177E-3</v>
      </c>
      <c r="AH52" s="167"/>
      <c r="AI52" s="18"/>
      <c r="AJ52" s="137" t="s">
        <v>513</v>
      </c>
      <c r="AK52" s="175"/>
      <c r="BC52" s="18"/>
      <c r="BD52" s="18"/>
      <c r="BE52" s="18"/>
      <c r="BF52" s="18"/>
    </row>
    <row r="53" spans="2:58" ht="15" customHeight="1" x14ac:dyDescent="0.25">
      <c r="B53" s="201"/>
      <c r="C53" s="49"/>
      <c r="D53" s="10"/>
      <c r="F53" s="92">
        <f>SUM(F49:F52)</f>
        <v>9.6968337116598219E-2</v>
      </c>
      <c r="G53" s="4"/>
      <c r="H53" s="92">
        <f>SUM(H49:H52)</f>
        <v>8.8939853164845858E-2</v>
      </c>
      <c r="I53" s="4"/>
      <c r="J53" s="92">
        <f>SUM(J49:J52)</f>
        <v>0</v>
      </c>
      <c r="K53" s="4"/>
      <c r="L53" s="92">
        <f>SUM(L49:L52)</f>
        <v>0</v>
      </c>
      <c r="M53" s="4"/>
      <c r="N53" s="92">
        <f>SUM(N49:N52)</f>
        <v>0</v>
      </c>
      <c r="O53" s="4"/>
      <c r="P53" s="92">
        <f>SUM(P49:P52)</f>
        <v>0</v>
      </c>
      <c r="Q53" s="4"/>
      <c r="R53" s="92">
        <f>SUM(R49:R52)</f>
        <v>0</v>
      </c>
      <c r="S53" s="4"/>
      <c r="T53" s="92">
        <f>SUM(T49:T52)</f>
        <v>0</v>
      </c>
      <c r="U53" s="4"/>
      <c r="V53" s="92">
        <f>SUM(V49:V52)</f>
        <v>0</v>
      </c>
      <c r="W53" s="4"/>
      <c r="X53" s="92">
        <f>SUM(X49:X52)</f>
        <v>0</v>
      </c>
      <c r="Y53" s="4"/>
      <c r="Z53" s="92">
        <f>SUM(Z49:Z52)</f>
        <v>0</v>
      </c>
      <c r="AA53" s="4"/>
      <c r="AB53" s="92">
        <f>SUM(AB49:AB52)</f>
        <v>0</v>
      </c>
      <c r="AC53" s="4"/>
      <c r="AD53" s="92">
        <f>SUM(AD49:AD52)</f>
        <v>0</v>
      </c>
      <c r="AE53" s="4"/>
      <c r="AG53" s="92">
        <f>SUM(AG49:AG52)</f>
        <v>9.3099768554832776E-2</v>
      </c>
      <c r="AH53" s="167"/>
      <c r="AI53" s="176"/>
      <c r="AK53" s="175"/>
      <c r="BC53" s="18"/>
      <c r="BD53" s="18"/>
      <c r="BE53" s="18"/>
      <c r="BF53" s="18"/>
    </row>
    <row r="54" spans="2:58" ht="9" customHeight="1" x14ac:dyDescent="0.25">
      <c r="B54" s="201"/>
      <c r="C54" s="49"/>
      <c r="D54" s="2"/>
      <c r="F54" s="59" t="str">
        <f>IF(F59&gt;LARGE($F59:$AD59,2),"Highest",IF(AND(F59=_xlfn.MINIFS($F59:$AD59,$F59:$AD59,"&lt;&gt;0"),COUNTIF($F59:$AD59,F59)=1),"Lowest",""))</f>
        <v>Highest</v>
      </c>
      <c r="G54" s="59"/>
      <c r="H54" s="59" t="str">
        <f>IF(H59&gt;LARGE($F59:$AD59,2),"Highest",IF(AND(H59=_xlfn.MINIFS($F59:$AD59,$F59:$AD59,"&lt;&gt;0"),COUNTIF($F59:$AD59,H59)=1),"Lowest",""))</f>
        <v>Lowest</v>
      </c>
      <c r="I54" s="59"/>
      <c r="J54" s="59" t="str">
        <f>IF(J59&gt;LARGE($F59:$AD59,2),"Highest",IF(AND(J59=_xlfn.MINIFS($F59:$AD59,$F59:$AD59,"&lt;&gt;0"),COUNTIF($F59:$AD59,J59)=1),"Lowest",""))</f>
        <v/>
      </c>
      <c r="K54" s="59"/>
      <c r="L54" s="59" t="str">
        <f>IF(L59&gt;LARGE($F59:$AD59,2),"Highest",IF(AND(L59=_xlfn.MINIFS($F59:$AD59,$F59:$AD59,"&lt;&gt;0"),COUNTIF($F59:$AD59,L59)=1),"Lowest",""))</f>
        <v/>
      </c>
      <c r="M54" s="59"/>
      <c r="N54" s="59" t="str">
        <f>IF(N59&gt;LARGE($F59:$AD59,2),"Highest",IF(AND(N59=_xlfn.MINIFS($F59:$AD59,$F59:$AD59,"&lt;&gt;0"),COUNTIF($F59:$AD59,N59)=1),"Lowest",""))</f>
        <v/>
      </c>
      <c r="O54" s="59"/>
      <c r="P54" s="59" t="str">
        <f>IF(P59&gt;LARGE($F59:$AD59,2),"Highest",IF(AND(P59=_xlfn.MINIFS($F59:$AD59,$F59:$AD59,"&lt;&gt;0"),COUNTIF($F59:$AD59,P59)=1),"Lowest",""))</f>
        <v/>
      </c>
      <c r="Q54" s="59"/>
      <c r="R54" s="59" t="str">
        <f>IF(R59&gt;LARGE($F59:$AD59,2),"Highest",IF(AND(R59=_xlfn.MINIFS($F59:$AD59,$F59:$AD59,"&lt;&gt;0"),COUNTIF($F59:$AD59,R59)=1),"Lowest",""))</f>
        <v/>
      </c>
      <c r="S54" s="59"/>
      <c r="T54" s="59" t="str">
        <f>IF(T59&gt;LARGE($F59:$AD59,2),"Highest",IF(AND(T59=_xlfn.MINIFS($F59:$AD59,$F59:$AD59,"&lt;&gt;0"),COUNTIF($F59:$AD59,T59)=1),"Lowest",""))</f>
        <v/>
      </c>
      <c r="U54" s="59"/>
      <c r="V54" s="59" t="str">
        <f>IF(V59&gt;LARGE($F59:$AD59,2),"Highest",IF(AND(V59=_xlfn.MINIFS($F59:$AD59,$F59:$AD59,"&lt;&gt;0"),COUNTIF($F59:$AD59,V59)=1),"Lowest",""))</f>
        <v/>
      </c>
      <c r="W54" s="59"/>
      <c r="X54" s="59" t="str">
        <f>IF(X59&gt;LARGE($F59:$AD59,2),"Highest",IF(AND(X59=_xlfn.MINIFS($F59:$AD59,$F59:$AD59,"&lt;&gt;0"),COUNTIF($F59:$AD59,X59)=1),"Lowest",""))</f>
        <v/>
      </c>
      <c r="Y54" s="59"/>
      <c r="Z54" s="59" t="str">
        <f>IF(Z59&gt;LARGE($F59:$AD59,2),"Highest",IF(AND(Z59=_xlfn.MINIFS($F59:$AD59,$F59:$AD59,"&lt;&gt;0"),COUNTIF($F59:$AD59,Z59)=1),"Lowest",""))</f>
        <v/>
      </c>
      <c r="AA54" s="59"/>
      <c r="AB54" s="59" t="str">
        <f>IF(AB59&gt;LARGE($F59:$AD59,2),"Highest",IF(AND(AB59=_xlfn.MINIFS($F59:$AD59,$F59:$AD59,"&lt;&gt;0"),COUNTIF($F59:$AD59,AB59)=1),"Lowest",""))</f>
        <v/>
      </c>
      <c r="AC54" s="59"/>
      <c r="AD54" s="59" t="str">
        <f>IF(AD59&gt;LARGE($F59:$AD59,2),"Highest",IF(AND(AD59=_xlfn.MINIFS($F59:$AD59,$F59:$AD59,"&lt;&gt;0"),COUNTIF($F59:$AD59,AD59)=1),"Lowest",""))</f>
        <v/>
      </c>
      <c r="AE54" s="27"/>
      <c r="AH54" s="167"/>
      <c r="AI54" s="18"/>
      <c r="AK54" s="177"/>
      <c r="BC54" s="18"/>
      <c r="BD54" s="18"/>
      <c r="BE54" s="18"/>
      <c r="BF54" s="18"/>
    </row>
    <row r="55" spans="2:58" ht="15" customHeight="1" x14ac:dyDescent="0.25">
      <c r="B55" s="201"/>
      <c r="C55" s="202" t="s">
        <v>43</v>
      </c>
      <c r="D55" s="21" t="s">
        <v>36</v>
      </c>
      <c r="F55" s="98">
        <f>SUMIFS(MainData[ExtendedCost],MainData[Date],"&gt;="&amp;F$7,MainData[Date],"&lt;="&amp;F$8,MainData[BillTo],"Group",MainData[Billable?],"Y",MainData[Category],"Beverage",MainData[Product],$D55)</f>
        <v>12653.600000000004</v>
      </c>
      <c r="G55" s="32"/>
      <c r="H55" s="98">
        <f>SUMIFS(MainData[ExtendedCost],MainData[Date],"&gt;="&amp;H$7,MainData[Date],"&lt;="&amp;H$8,MainData[BillTo],"Group",MainData[Billable?],"Y",MainData[Category],"Beverage",MainData[Product],$D55)</f>
        <v>7292.4100000000008</v>
      </c>
      <c r="I55" s="32"/>
      <c r="J55" s="98">
        <f>SUMIFS(MainData[ExtendedCost],MainData[Date],"&gt;="&amp;J$7,MainData[Date],"&lt;="&amp;J$8,MainData[BillTo],"Group",MainData[Billable?],"Y",MainData[Category],"Beverage",MainData[Product],$D55)</f>
        <v>0</v>
      </c>
      <c r="K55" s="32"/>
      <c r="L55" s="98">
        <f>SUMIFS(MainData[ExtendedCost],MainData[Date],"&gt;="&amp;L$7,MainData[Date],"&lt;="&amp;L$8,MainData[BillTo],"Group",MainData[Billable?],"Y",MainData[Category],"Beverage",MainData[Product],$D55)</f>
        <v>0</v>
      </c>
      <c r="M55" s="32"/>
      <c r="N55" s="98">
        <f>SUMIFS(MainData[ExtendedCost],MainData[Date],"&gt;="&amp;N$7,MainData[Date],"&lt;="&amp;N$8,MainData[BillTo],"Group",MainData[Billable?],"Y",MainData[Category],"Beverage",MainData[Product],$D55)</f>
        <v>0</v>
      </c>
      <c r="O55" s="32"/>
      <c r="P55" s="98">
        <f>SUMIFS(MainData[ExtendedCost],MainData[Date],"&gt;="&amp;P$7,MainData[Date],"&lt;="&amp;P$8,MainData[BillTo],"Group",MainData[Billable?],"Y",MainData[Category],"Beverage",MainData[Product],$D55)</f>
        <v>0</v>
      </c>
      <c r="Q55" s="32"/>
      <c r="R55" s="98">
        <f>SUMIFS(MainData[ExtendedCost],MainData[Date],"&gt;="&amp;R$7,MainData[Date],"&lt;="&amp;R$8,MainData[BillTo],"Group",MainData[Billable?],"Y",MainData[Category],"Beverage",MainData[Product],$D55)</f>
        <v>0</v>
      </c>
      <c r="S55" s="32"/>
      <c r="T55" s="98">
        <f>SUMIFS(MainData[ExtendedCost],MainData[Date],"&gt;="&amp;T$7,MainData[Date],"&lt;="&amp;T$8,MainData[BillTo],"Group",MainData[Billable?],"Y",MainData[Category],"Beverage",MainData[Product],$D55)</f>
        <v>0</v>
      </c>
      <c r="U55" s="32"/>
      <c r="V55" s="98">
        <f>SUMIFS(MainData[ExtendedCost],MainData[Date],"&gt;="&amp;V$7,MainData[Date],"&lt;="&amp;V$8,MainData[BillTo],"Group",MainData[Billable?],"Y",MainData[Category],"Beverage",MainData[Product],$D55)</f>
        <v>0</v>
      </c>
      <c r="W55" s="32"/>
      <c r="X55" s="98">
        <f>SUMIFS(MainData[ExtendedCost],MainData[Date],"&gt;="&amp;X$7,MainData[Date],"&lt;="&amp;X$8,MainData[BillTo],"Group",MainData[Billable?],"Y",MainData[Category],"Beverage",MainData[Product],$D55)</f>
        <v>0</v>
      </c>
      <c r="Y55" s="32"/>
      <c r="Z55" s="98">
        <f>SUMIFS(MainData[ExtendedCost],MainData[Date],"&gt;="&amp;Z$7,MainData[Date],"&lt;="&amp;Z$8,MainData[BillTo],"Group",MainData[Billable?],"Y",MainData[Category],"Beverage",MainData[Product],$D55)</f>
        <v>0</v>
      </c>
      <c r="AA55" s="32"/>
      <c r="AB55" s="98">
        <f>SUMIFS(MainData[ExtendedCost],MainData[Date],"&gt;="&amp;AB$7,MainData[Date],"&lt;="&amp;AB$8,MainData[BillTo],"Group",MainData[Billable?],"Y",MainData[Category],"Beverage",MainData[Product],$D55)</f>
        <v>0</v>
      </c>
      <c r="AC55" s="32"/>
      <c r="AD55" s="98">
        <f>SUMIFS(MainData[ExtendedCost],MainData[Date],"&gt;="&amp;AD$7,MainData[Date],"&lt;="&amp;AD$8,MainData[BillTo],"Group",MainData[Billable?],"Y",MainData[Category],"Beverage",MainData[Product],$D55)</f>
        <v>0</v>
      </c>
      <c r="AE55" s="32"/>
      <c r="AF55" s="33"/>
      <c r="AG55" s="31">
        <f>SUM(F55:AD55)</f>
        <v>19946.010000000006</v>
      </c>
      <c r="AH55" s="167"/>
      <c r="AI55" s="178"/>
      <c r="AJ55" s="20" t="s">
        <v>527</v>
      </c>
      <c r="BC55" s="18"/>
      <c r="BD55" s="18"/>
      <c r="BE55" s="18"/>
      <c r="BF55" s="18"/>
    </row>
    <row r="56" spans="2:58" x14ac:dyDescent="0.25">
      <c r="B56" s="201"/>
      <c r="C56" s="202"/>
      <c r="D56" s="21" t="s">
        <v>25</v>
      </c>
      <c r="F56" s="99">
        <f>SUMIFS(MainData[ExtendedCost],MainData[Date],"&gt;="&amp;F$7,MainData[Date],"&lt;="&amp;F$8,MainData[BillTo],"Group",MainData[Billable?],"Y",MainData[Category],"Beverage",MainData[Product],$D56)</f>
        <v>7630.27</v>
      </c>
      <c r="G56" s="32"/>
      <c r="H56" s="99">
        <f>SUMIFS(MainData[ExtendedCost],MainData[Date],"&gt;="&amp;H$7,MainData[Date],"&lt;="&amp;H$8,MainData[BillTo],"Group",MainData[Billable?],"Y",MainData[Category],"Beverage",MainData[Product],$D56)</f>
        <v>7508.1799999999985</v>
      </c>
      <c r="I56" s="32"/>
      <c r="J56" s="99">
        <f>SUMIFS(MainData[ExtendedCost],MainData[Date],"&gt;="&amp;J$7,MainData[Date],"&lt;="&amp;J$8,MainData[BillTo],"Group",MainData[Billable?],"Y",MainData[Category],"Beverage",MainData[Product],$D56)</f>
        <v>0</v>
      </c>
      <c r="K56" s="32"/>
      <c r="L56" s="99">
        <f>SUMIFS(MainData[ExtendedCost],MainData[Date],"&gt;="&amp;L$7,MainData[Date],"&lt;="&amp;L$8,MainData[BillTo],"Group",MainData[Billable?],"Y",MainData[Category],"Beverage",MainData[Product],$D56)</f>
        <v>0</v>
      </c>
      <c r="M56" s="32"/>
      <c r="N56" s="99">
        <f>SUMIFS(MainData[ExtendedCost],MainData[Date],"&gt;="&amp;N$7,MainData[Date],"&lt;="&amp;N$8,MainData[BillTo],"Group",MainData[Billable?],"Y",MainData[Category],"Beverage",MainData[Product],$D56)</f>
        <v>0</v>
      </c>
      <c r="O56" s="32"/>
      <c r="P56" s="99">
        <f>SUMIFS(MainData[ExtendedCost],MainData[Date],"&gt;="&amp;P$7,MainData[Date],"&lt;="&amp;P$8,MainData[BillTo],"Group",MainData[Billable?],"Y",MainData[Category],"Beverage",MainData[Product],$D56)</f>
        <v>0</v>
      </c>
      <c r="Q56" s="32"/>
      <c r="R56" s="99">
        <f>SUMIFS(MainData[ExtendedCost],MainData[Date],"&gt;="&amp;R$7,MainData[Date],"&lt;="&amp;R$8,MainData[BillTo],"Group",MainData[Billable?],"Y",MainData[Category],"Beverage",MainData[Product],$D56)</f>
        <v>0</v>
      </c>
      <c r="S56" s="32"/>
      <c r="T56" s="99">
        <f>SUMIFS(MainData[ExtendedCost],MainData[Date],"&gt;="&amp;T$7,MainData[Date],"&lt;="&amp;T$8,MainData[BillTo],"Group",MainData[Billable?],"Y",MainData[Category],"Beverage",MainData[Product],$D56)</f>
        <v>0</v>
      </c>
      <c r="U56" s="32"/>
      <c r="V56" s="99">
        <f>SUMIFS(MainData[ExtendedCost],MainData[Date],"&gt;="&amp;V$7,MainData[Date],"&lt;="&amp;V$8,MainData[BillTo],"Group",MainData[Billable?],"Y",MainData[Category],"Beverage",MainData[Product],$D56)</f>
        <v>0</v>
      </c>
      <c r="W56" s="32"/>
      <c r="X56" s="99">
        <f>SUMIFS(MainData[ExtendedCost],MainData[Date],"&gt;="&amp;X$7,MainData[Date],"&lt;="&amp;X$8,MainData[BillTo],"Group",MainData[Billable?],"Y",MainData[Category],"Beverage",MainData[Product],$D56)</f>
        <v>0</v>
      </c>
      <c r="Y56" s="32"/>
      <c r="Z56" s="99">
        <f>SUMIFS(MainData[ExtendedCost],MainData[Date],"&gt;="&amp;Z$7,MainData[Date],"&lt;="&amp;Z$8,MainData[BillTo],"Group",MainData[Billable?],"Y",MainData[Category],"Beverage",MainData[Product],$D56)</f>
        <v>0</v>
      </c>
      <c r="AA56" s="32"/>
      <c r="AB56" s="99">
        <f>SUMIFS(MainData[ExtendedCost],MainData[Date],"&gt;="&amp;AB$7,MainData[Date],"&lt;="&amp;AB$8,MainData[BillTo],"Group",MainData[Billable?],"Y",MainData[Category],"Beverage",MainData[Product],$D56)</f>
        <v>0</v>
      </c>
      <c r="AC56" s="32"/>
      <c r="AD56" s="99">
        <f>SUMIFS(MainData[ExtendedCost],MainData[Date],"&gt;="&amp;AD$7,MainData[Date],"&lt;="&amp;AD$8,MainData[BillTo],"Group",MainData[Billable?],"Y",MainData[Category],"Beverage",MainData[Product],$D56)</f>
        <v>0</v>
      </c>
      <c r="AE56" s="32"/>
      <c r="AF56" s="33"/>
      <c r="AG56" s="34">
        <f>SUM(F56:AD56)</f>
        <v>15138.449999999999</v>
      </c>
      <c r="AH56" s="167"/>
      <c r="AI56" s="178"/>
      <c r="AJ56" s="20" t="s">
        <v>528</v>
      </c>
      <c r="BC56" s="18"/>
      <c r="BD56" s="18"/>
      <c r="BE56" s="18"/>
      <c r="BF56" s="18"/>
    </row>
    <row r="57" spans="2:58" x14ac:dyDescent="0.25">
      <c r="B57" s="201"/>
      <c r="C57" s="202"/>
      <c r="D57" s="21" t="s">
        <v>35</v>
      </c>
      <c r="F57" s="100">
        <f>SUMIFS(MainData[ExtendedCost],MainData[Date],"&gt;="&amp;F$7,MainData[Date],"&lt;="&amp;F$8,MainData[BillTo],"Group",MainData[Billable?],"Y",MainData[Category],"Beverage",MainData[Product],$D57)</f>
        <v>6351.3600000000006</v>
      </c>
      <c r="G57" s="32"/>
      <c r="H57" s="100">
        <f>SUMIFS(MainData[ExtendedCost],MainData[Date],"&gt;="&amp;H$7,MainData[Date],"&lt;="&amp;H$8,MainData[BillTo],"Group",MainData[Billable?],"Y",MainData[Category],"Beverage",MainData[Product],$D57)</f>
        <v>7804.7000000000007</v>
      </c>
      <c r="I57" s="32"/>
      <c r="J57" s="100">
        <f>SUMIFS(MainData[ExtendedCost],MainData[Date],"&gt;="&amp;J$7,MainData[Date],"&lt;="&amp;J$8,MainData[BillTo],"Group",MainData[Billable?],"Y",MainData[Category],"Beverage",MainData[Product],$D57)</f>
        <v>0</v>
      </c>
      <c r="K57" s="32"/>
      <c r="L57" s="100">
        <f>SUMIFS(MainData[ExtendedCost],MainData[Date],"&gt;="&amp;L$7,MainData[Date],"&lt;="&amp;L$8,MainData[BillTo],"Group",MainData[Billable?],"Y",MainData[Category],"Beverage",MainData[Product],$D57)</f>
        <v>0</v>
      </c>
      <c r="M57" s="32"/>
      <c r="N57" s="100">
        <f>SUMIFS(MainData[ExtendedCost],MainData[Date],"&gt;="&amp;N$7,MainData[Date],"&lt;="&amp;N$8,MainData[BillTo],"Group",MainData[Billable?],"Y",MainData[Category],"Beverage",MainData[Product],$D57)</f>
        <v>0</v>
      </c>
      <c r="O57" s="32"/>
      <c r="P57" s="100">
        <f>SUMIFS(MainData[ExtendedCost],MainData[Date],"&gt;="&amp;P$7,MainData[Date],"&lt;="&amp;P$8,MainData[BillTo],"Group",MainData[Billable?],"Y",MainData[Category],"Beverage",MainData[Product],$D57)</f>
        <v>0</v>
      </c>
      <c r="Q57" s="32"/>
      <c r="R57" s="100">
        <f>SUMIFS(MainData[ExtendedCost],MainData[Date],"&gt;="&amp;R$7,MainData[Date],"&lt;="&amp;R$8,MainData[BillTo],"Group",MainData[Billable?],"Y",MainData[Category],"Beverage",MainData[Product],$D57)</f>
        <v>0</v>
      </c>
      <c r="S57" s="32"/>
      <c r="T57" s="100">
        <f>SUMIFS(MainData[ExtendedCost],MainData[Date],"&gt;="&amp;T$7,MainData[Date],"&lt;="&amp;T$8,MainData[BillTo],"Group",MainData[Billable?],"Y",MainData[Category],"Beverage",MainData[Product],$D57)</f>
        <v>0</v>
      </c>
      <c r="U57" s="32"/>
      <c r="V57" s="100">
        <f>SUMIFS(MainData[ExtendedCost],MainData[Date],"&gt;="&amp;V$7,MainData[Date],"&lt;="&amp;V$8,MainData[BillTo],"Group",MainData[Billable?],"Y",MainData[Category],"Beverage",MainData[Product],$D57)</f>
        <v>0</v>
      </c>
      <c r="W57" s="32"/>
      <c r="X57" s="100">
        <f>SUMIFS(MainData[ExtendedCost],MainData[Date],"&gt;="&amp;X$7,MainData[Date],"&lt;="&amp;X$8,MainData[BillTo],"Group",MainData[Billable?],"Y",MainData[Category],"Beverage",MainData[Product],$D57)</f>
        <v>0</v>
      </c>
      <c r="Y57" s="32"/>
      <c r="Z57" s="100">
        <f>SUMIFS(MainData[ExtendedCost],MainData[Date],"&gt;="&amp;Z$7,MainData[Date],"&lt;="&amp;Z$8,MainData[BillTo],"Group",MainData[Billable?],"Y",MainData[Category],"Beverage",MainData[Product],$D57)</f>
        <v>0</v>
      </c>
      <c r="AA57" s="32"/>
      <c r="AB57" s="100">
        <f>SUMIFS(MainData[ExtendedCost],MainData[Date],"&gt;="&amp;AB$7,MainData[Date],"&lt;="&amp;AB$8,MainData[BillTo],"Group",MainData[Billable?],"Y",MainData[Category],"Beverage",MainData[Product],$D57)</f>
        <v>0</v>
      </c>
      <c r="AC57" s="32"/>
      <c r="AD57" s="100">
        <f>SUMIFS(MainData[ExtendedCost],MainData[Date],"&gt;="&amp;AD$7,MainData[Date],"&lt;="&amp;AD$8,MainData[BillTo],"Group",MainData[Billable?],"Y",MainData[Category],"Beverage",MainData[Product],$D57)</f>
        <v>0</v>
      </c>
      <c r="AE57" s="32"/>
      <c r="AF57" s="33"/>
      <c r="AG57" s="32">
        <f>SUM(F57:AD57)</f>
        <v>14156.060000000001</v>
      </c>
      <c r="AH57" s="167"/>
      <c r="AI57" s="178"/>
      <c r="AJ57" s="20" t="s">
        <v>521</v>
      </c>
      <c r="BC57" s="18"/>
      <c r="BD57" s="18"/>
      <c r="BE57" s="18"/>
      <c r="BF57" s="18"/>
    </row>
    <row r="58" spans="2:58" x14ac:dyDescent="0.25">
      <c r="B58" s="201"/>
      <c r="C58" s="202"/>
      <c r="D58" s="21" t="s">
        <v>24</v>
      </c>
      <c r="F58" s="101">
        <f>SUMIFS(MainData[ExtendedCost],MainData[Date],"&gt;="&amp;F$7,MainData[Date],"&lt;="&amp;F$8,MainData[BillTo],"Group",MainData[Billable?],"Y",MainData[Category],"Beverage") - SUM(F55:F57) -
  SUMIFS(MainData[ExtendedCost],MainData[Date],"&gt;="&amp;F$7,MainData[Date],"&lt;="&amp;F$8,MainData[BillTo],"Group",MainData[Billable?],"Y",MainData[Category],"Beverage",MainData[Product],IF($AJ$58="No","SoftDrink","999999"))</f>
        <v>816.16999999999462</v>
      </c>
      <c r="G58" s="32"/>
      <c r="H58" s="101">
        <f>SUMIFS(MainData[ExtendedCost],MainData[Date],"&gt;="&amp;H$7,MainData[Date],"&lt;="&amp;H$8,MainData[BillTo],"Group",MainData[Billable?],"Y",MainData[Category],"Beverage") - SUM(H55:H57) -
  SUMIFS(MainData[ExtendedCost],MainData[Date],"&gt;="&amp;H$7,MainData[Date],"&lt;="&amp;H$8,MainData[BillTo],"Group",MainData[Billable?],"Y",MainData[Category],"Beverage",MainData[Product],IF($AJ$58="No","SoftDrink","999999"))</f>
        <v>809.85000000000582</v>
      </c>
      <c r="I58" s="32"/>
      <c r="J58" s="101">
        <f>SUMIFS(MainData[ExtendedCost],MainData[Date],"&gt;="&amp;J$7,MainData[Date],"&lt;="&amp;J$8,MainData[BillTo],"Group",MainData[Billable?],"Y",MainData[Category],"Beverage") - SUM(J55:J57) -
  SUMIFS(MainData[ExtendedCost],MainData[Date],"&gt;="&amp;J$7,MainData[Date],"&lt;="&amp;J$8,MainData[BillTo],"Group",MainData[Billable?],"Y",MainData[Category],"Beverage",MainData[Product],IF($AJ$58="No","SoftDrink","999999"))</f>
        <v>0</v>
      </c>
      <c r="K58" s="32"/>
      <c r="L58" s="101">
        <f>SUMIFS(MainData[ExtendedCost],MainData[Date],"&gt;="&amp;L$7,MainData[Date],"&lt;="&amp;L$8,MainData[BillTo],"Group",MainData[Billable?],"Y",MainData[Category],"Beverage") - SUM(L55:L57) -
  SUMIFS(MainData[ExtendedCost],MainData[Date],"&gt;="&amp;L$7,MainData[Date],"&lt;="&amp;L$8,MainData[BillTo],"Group",MainData[Billable?],"Y",MainData[Category],"Beverage",MainData[Product],IF($AJ$58="No","SoftDrink","999999"))</f>
        <v>0</v>
      </c>
      <c r="M58" s="32"/>
      <c r="N58" s="101">
        <f>SUMIFS(MainData[ExtendedCost],MainData[Date],"&gt;="&amp;N$7,MainData[Date],"&lt;="&amp;N$8,MainData[BillTo],"Group",MainData[Billable?],"Y",MainData[Category],"Beverage") - SUM(N55:N57) -
  SUMIFS(MainData[ExtendedCost],MainData[Date],"&gt;="&amp;N$7,MainData[Date],"&lt;="&amp;N$8,MainData[BillTo],"Group",MainData[Billable?],"Y",MainData[Category],"Beverage",MainData[Product],IF($AJ$58="No","SoftDrink","999999"))</f>
        <v>0</v>
      </c>
      <c r="O58" s="32"/>
      <c r="P58" s="101">
        <f>SUMIFS(MainData[ExtendedCost],MainData[Date],"&gt;="&amp;P$7,MainData[Date],"&lt;="&amp;P$8,MainData[BillTo],"Group",MainData[Billable?],"Y",MainData[Category],"Beverage") - SUM(P55:P57) -
  SUMIFS(MainData[ExtendedCost],MainData[Date],"&gt;="&amp;P$7,MainData[Date],"&lt;="&amp;P$8,MainData[BillTo],"Group",MainData[Billable?],"Y",MainData[Category],"Beverage",MainData[Product],IF($AJ$58="No","SoftDrink","999999"))</f>
        <v>0</v>
      </c>
      <c r="Q58" s="32"/>
      <c r="R58" s="101">
        <f>SUMIFS(MainData[ExtendedCost],MainData[Date],"&gt;="&amp;R$7,MainData[Date],"&lt;="&amp;R$8,MainData[BillTo],"Group",MainData[Billable?],"Y",MainData[Category],"Beverage") - SUM(R55:R57) -
  SUMIFS(MainData[ExtendedCost],MainData[Date],"&gt;="&amp;R$7,MainData[Date],"&lt;="&amp;R$8,MainData[BillTo],"Group",MainData[Billable?],"Y",MainData[Category],"Beverage",MainData[Product],IF($AJ$58="No","SoftDrink","999999"))</f>
        <v>0</v>
      </c>
      <c r="S58" s="32"/>
      <c r="T58" s="101">
        <f>SUMIFS(MainData[ExtendedCost],MainData[Date],"&gt;="&amp;T$7,MainData[Date],"&lt;="&amp;T$8,MainData[BillTo],"Group",MainData[Billable?],"Y",MainData[Category],"Beverage") - SUM(T55:T57) -
  SUMIFS(MainData[ExtendedCost],MainData[Date],"&gt;="&amp;T$7,MainData[Date],"&lt;="&amp;T$8,MainData[BillTo],"Group",MainData[Billable?],"Y",MainData[Category],"Beverage",MainData[Product],IF($AJ$58="No","SoftDrink","999999"))</f>
        <v>0</v>
      </c>
      <c r="U58" s="32"/>
      <c r="V58" s="101">
        <f>SUMIFS(MainData[ExtendedCost],MainData[Date],"&gt;="&amp;V$7,MainData[Date],"&lt;="&amp;V$8,MainData[BillTo],"Group",MainData[Billable?],"Y",MainData[Category],"Beverage") - SUM(V55:V57) -
  SUMIFS(MainData[ExtendedCost],MainData[Date],"&gt;="&amp;V$7,MainData[Date],"&lt;="&amp;V$8,MainData[BillTo],"Group",MainData[Billable?],"Y",MainData[Category],"Beverage",MainData[Product],IF($AJ$58="No","SoftDrink","999999"))</f>
        <v>0</v>
      </c>
      <c r="W58" s="32"/>
      <c r="X58" s="101">
        <f>SUMIFS(MainData[ExtendedCost],MainData[Date],"&gt;="&amp;X$7,MainData[Date],"&lt;="&amp;X$8,MainData[BillTo],"Group",MainData[Billable?],"Y",MainData[Category],"Beverage") - SUM(X55:X57) -
  SUMIFS(MainData[ExtendedCost],MainData[Date],"&gt;="&amp;X$7,MainData[Date],"&lt;="&amp;X$8,MainData[BillTo],"Group",MainData[Billable?],"Y",MainData[Category],"Beverage",MainData[Product],IF($AJ$58="No","SoftDrink","999999"))</f>
        <v>0</v>
      </c>
      <c r="Y58" s="32"/>
      <c r="Z58" s="101">
        <f>SUMIFS(MainData[ExtendedCost],MainData[Date],"&gt;="&amp;Z$7,MainData[Date],"&lt;="&amp;Z$8,MainData[BillTo],"Group",MainData[Billable?],"Y",MainData[Category],"Beverage") - SUM(Z55:Z57) -
  SUMIFS(MainData[ExtendedCost],MainData[Date],"&gt;="&amp;Z$7,MainData[Date],"&lt;="&amp;Z$8,MainData[BillTo],"Group",MainData[Billable?],"Y",MainData[Category],"Beverage",MainData[Product],IF($AJ$58="No","SoftDrink","999999"))</f>
        <v>0</v>
      </c>
      <c r="AA58" s="32"/>
      <c r="AB58" s="101">
        <f>SUMIFS(MainData[ExtendedCost],MainData[Date],"&gt;="&amp;AB$7,MainData[Date],"&lt;="&amp;AB$8,MainData[BillTo],"Group",MainData[Billable?],"Y",MainData[Category],"Beverage") - SUM(AB55:AB57) -
  SUMIFS(MainData[ExtendedCost],MainData[Date],"&gt;="&amp;AB$7,MainData[Date],"&lt;="&amp;AB$8,MainData[BillTo],"Group",MainData[Billable?],"Y",MainData[Category],"Beverage",MainData[Product],IF($AJ$58="No","SoftDrink","999999"))</f>
        <v>0</v>
      </c>
      <c r="AC58" s="32"/>
      <c r="AD58" s="101">
        <f>SUMIFS(MainData[ExtendedCost],MainData[Date],"&gt;="&amp;AD$7,MainData[Date],"&lt;="&amp;AD$8,MainData[BillTo],"Group",MainData[Billable?],"Y",MainData[Category],"Beverage") - SUM(AD55:AD57) -
  SUMIFS(MainData[ExtendedCost],MainData[Date],"&gt;="&amp;AD$7,MainData[Date],"&lt;="&amp;AD$8,MainData[BillTo],"Group",MainData[Billable?],"Y",MainData[Category],"Beverage",MainData[Product],IF($AJ$58="No","SoftDrink","999999"))</f>
        <v>0</v>
      </c>
      <c r="AE58" s="32"/>
      <c r="AF58" s="33"/>
      <c r="AG58" s="35">
        <f>SUM(F58:AD58)</f>
        <v>1626.0200000000004</v>
      </c>
      <c r="AH58" s="167"/>
      <c r="AI58" s="178"/>
      <c r="AJ58" s="137" t="s">
        <v>513</v>
      </c>
      <c r="BC58" s="18"/>
      <c r="BD58" s="18"/>
      <c r="BE58" s="18"/>
      <c r="BF58" s="18"/>
    </row>
    <row r="59" spans="2:58" ht="15" customHeight="1" x14ac:dyDescent="0.25">
      <c r="B59" s="201"/>
      <c r="C59" s="49"/>
      <c r="F59" s="97">
        <f>SUM(F55:F58)</f>
        <v>27451.399999999998</v>
      </c>
      <c r="G59" s="4"/>
      <c r="H59" s="97">
        <f>SUM(H55:H58)</f>
        <v>23415.140000000007</v>
      </c>
      <c r="I59" s="4"/>
      <c r="J59" s="97">
        <f>SUM(J55:J58)</f>
        <v>0</v>
      </c>
      <c r="K59" s="4"/>
      <c r="L59" s="97">
        <f>SUM(L55:L58)</f>
        <v>0</v>
      </c>
      <c r="M59" s="4"/>
      <c r="N59" s="97">
        <f>SUM(N55:N58)</f>
        <v>0</v>
      </c>
      <c r="O59" s="4"/>
      <c r="P59" s="97">
        <f>SUM(P55:P58)</f>
        <v>0</v>
      </c>
      <c r="Q59" s="4"/>
      <c r="R59" s="97">
        <f>SUM(R55:R58)</f>
        <v>0</v>
      </c>
      <c r="S59" s="4"/>
      <c r="T59" s="97">
        <f>SUM(T55:T58)</f>
        <v>0</v>
      </c>
      <c r="U59" s="4"/>
      <c r="V59" s="97">
        <f>SUM(V55:V58)</f>
        <v>0</v>
      </c>
      <c r="W59" s="4"/>
      <c r="X59" s="97">
        <f>SUM(X55:X58)</f>
        <v>0</v>
      </c>
      <c r="Y59" s="4"/>
      <c r="Z59" s="97">
        <f>SUM(Z55:Z58)</f>
        <v>0</v>
      </c>
      <c r="AA59" s="4"/>
      <c r="AB59" s="97">
        <f>SUM(AB55:AB58)</f>
        <v>0</v>
      </c>
      <c r="AC59" s="4"/>
      <c r="AD59" s="97">
        <f>SUM(AD55:AD58)</f>
        <v>0</v>
      </c>
      <c r="AE59" s="4"/>
      <c r="AG59" s="4">
        <f>IF(SUM(AG55:AG58)=0,"",SUM(AG55:AG58))</f>
        <v>50866.540000000008</v>
      </c>
      <c r="AH59" s="167"/>
      <c r="AI59" s="178"/>
      <c r="BC59" s="18"/>
      <c r="BD59" s="18"/>
      <c r="BE59" s="18"/>
      <c r="BF59" s="18"/>
    </row>
    <row r="60" spans="2:58" ht="9" customHeight="1" x14ac:dyDescent="0.25">
      <c r="B60" s="201"/>
      <c r="C60" s="56"/>
      <c r="D60" s="2"/>
      <c r="F60" s="59" t="str">
        <f>IF(F65&gt;LARGE($F65:$AD65,2),"Highest",IF(AND(F65=_xlfn.MINIFS($F65:$AD65,$F65:$AD65,"&lt;&gt;0"),COUNTIF($F65:$AD65,F65)=1),"Lowest",""))</f>
        <v>Highest</v>
      </c>
      <c r="G60" s="59"/>
      <c r="H60" s="59" t="str">
        <f>IF(H65&gt;LARGE($F65:$AD65,2),"Highest",IF(AND(H65=_xlfn.MINIFS($F65:$AD65,$F65:$AD65,"&lt;&gt;0"),COUNTIF($F65:$AD65,H65)=1),"Lowest",""))</f>
        <v>Lowest</v>
      </c>
      <c r="I60" s="59"/>
      <c r="J60" s="59" t="str">
        <f>IF(J65&gt;LARGE($F65:$AD65,2),"Highest",IF(AND(J65=_xlfn.MINIFS($F65:$AD65,$F65:$AD65,"&lt;&gt;0"),COUNTIF($F65:$AD65,J65)=1),"Lowest",""))</f>
        <v/>
      </c>
      <c r="K60" s="59"/>
      <c r="L60" s="59" t="str">
        <f>IF(L65&gt;LARGE($F65:$AD65,2),"Highest",IF(AND(L65=_xlfn.MINIFS($F65:$AD65,$F65:$AD65,"&lt;&gt;0"),COUNTIF($F65:$AD65,L65)=1),"Lowest",""))</f>
        <v/>
      </c>
      <c r="M60" s="59"/>
      <c r="N60" s="59" t="str">
        <f>IF(N65&gt;LARGE($F65:$AD65,2),"Highest",IF(AND(N65=_xlfn.MINIFS($F65:$AD65,$F65:$AD65,"&lt;&gt;0"),COUNTIF($F65:$AD65,N65)=1),"Lowest",""))</f>
        <v/>
      </c>
      <c r="O60" s="59"/>
      <c r="P60" s="59" t="str">
        <f>IF(P65&gt;LARGE($F65:$AD65,2),"Highest",IF(AND(P65=_xlfn.MINIFS($F65:$AD65,$F65:$AD65,"&lt;&gt;0"),COUNTIF($F65:$AD65,P65)=1),"Lowest",""))</f>
        <v/>
      </c>
      <c r="Q60" s="59"/>
      <c r="R60" s="59" t="str">
        <f>IF(R65&gt;LARGE($F65:$AD65,2),"Highest",IF(AND(R65=_xlfn.MINIFS($F65:$AD65,$F65:$AD65,"&lt;&gt;0"),COUNTIF($F65:$AD65,R65)=1),"Lowest",""))</f>
        <v/>
      </c>
      <c r="S60" s="59"/>
      <c r="T60" s="59" t="str">
        <f>IF(T65&gt;LARGE($F65:$AD65,2),"Highest",IF(AND(T65=_xlfn.MINIFS($F65:$AD65,$F65:$AD65,"&lt;&gt;0"),COUNTIF($F65:$AD65,T65)=1),"Lowest",""))</f>
        <v/>
      </c>
      <c r="U60" s="59"/>
      <c r="V60" s="59" t="str">
        <f>IF(V65&gt;LARGE($F65:$AD65,2),"Highest",IF(AND(V65=_xlfn.MINIFS($F65:$AD65,$F65:$AD65,"&lt;&gt;0"),COUNTIF($F65:$AD65,V65)=1),"Lowest",""))</f>
        <v/>
      </c>
      <c r="W60" s="59"/>
      <c r="X60" s="59" t="str">
        <f>IF(X65&gt;LARGE($F65:$AD65,2),"Highest",IF(AND(X65=_xlfn.MINIFS($F65:$AD65,$F65:$AD65,"&lt;&gt;0"),COUNTIF($F65:$AD65,X65)=1),"Lowest",""))</f>
        <v/>
      </c>
      <c r="Y60" s="59"/>
      <c r="Z60" s="59" t="str">
        <f>IF(Z65&gt;LARGE($F65:$AD65,2),"Highest",IF(AND(Z65=_xlfn.MINIFS($F65:$AD65,$F65:$AD65,"&lt;&gt;0"),COUNTIF($F65:$AD65,Z65)=1),"Lowest",""))</f>
        <v/>
      </c>
      <c r="AA60" s="59"/>
      <c r="AB60" s="59" t="str">
        <f>IF(AB65&gt;LARGE($F65:$AD65,2),"Highest",IF(AND(AB65=_xlfn.MINIFS($F65:$AD65,$F65:$AD65,"&lt;&gt;0"),COUNTIF($F65:$AD65,AB65)=1),"Lowest",""))</f>
        <v/>
      </c>
      <c r="AC60" s="59"/>
      <c r="AD60" s="59" t="str">
        <f>IF(AD65&gt;LARGE($F65:$AD65,2),"Highest",IF(AND(AD65=_xlfn.MINIFS($F65:$AD65,$F65:$AD65,"&lt;&gt;0"),COUNTIF($F65:$AD65,AD65)=1),"Lowest",""))</f>
        <v/>
      </c>
      <c r="AE60" s="27"/>
      <c r="AH60" s="167"/>
      <c r="AI60" s="178"/>
      <c r="AK60" s="174"/>
      <c r="BC60" s="18"/>
      <c r="BD60" s="18"/>
      <c r="BE60" s="18"/>
      <c r="BF60" s="18"/>
    </row>
    <row r="61" spans="2:58" ht="15" customHeight="1" x14ac:dyDescent="0.25">
      <c r="B61" s="201"/>
      <c r="C61" s="202" t="s">
        <v>42</v>
      </c>
      <c r="D61" s="21" t="s">
        <v>36</v>
      </c>
      <c r="F61" s="98">
        <f>SUMIFS(MainData[ExtendedPrice],MainData[Date],"&gt;="&amp;F$7,MainData[Date],"&lt;="&amp;F$8,MainData[BillTo],"Group",MainData[Billable?],"Y",MainData[Category],"Beverage",MainData[Product],$D61)</f>
        <v>101748.81</v>
      </c>
      <c r="G61" s="32"/>
      <c r="H61" s="98">
        <f>SUMIFS(MainData[ExtendedPrice],MainData[Date],"&gt;="&amp;H$7,MainData[Date],"&lt;="&amp;H$8,MainData[BillTo],"Group",MainData[Billable?],"Y",MainData[Category],"Beverage",MainData[Product],$D61)</f>
        <v>89558.59</v>
      </c>
      <c r="I61" s="32"/>
      <c r="J61" s="98">
        <f>SUMIFS(MainData[ExtendedPrice],MainData[Date],"&gt;="&amp;J$7,MainData[Date],"&lt;="&amp;J$8,MainData[BillTo],"Group",MainData[Billable?],"Y",MainData[Category],"Beverage",MainData[Product],$D61)</f>
        <v>0</v>
      </c>
      <c r="K61" s="32"/>
      <c r="L61" s="98">
        <f>SUMIFS(MainData[ExtendedPrice],MainData[Date],"&gt;="&amp;L$7,MainData[Date],"&lt;="&amp;L$8,MainData[BillTo],"Group",MainData[Billable?],"Y",MainData[Category],"Beverage",MainData[Product],$D61)</f>
        <v>0</v>
      </c>
      <c r="M61" s="32"/>
      <c r="N61" s="98">
        <f>SUMIFS(MainData[ExtendedPrice],MainData[Date],"&gt;="&amp;N$7,MainData[Date],"&lt;="&amp;N$8,MainData[BillTo],"Group",MainData[Billable?],"Y",MainData[Category],"Beverage",MainData[Product],$D61)</f>
        <v>0</v>
      </c>
      <c r="O61" s="32"/>
      <c r="P61" s="98">
        <f>SUMIFS(MainData[ExtendedPrice],MainData[Date],"&gt;="&amp;P$7,MainData[Date],"&lt;="&amp;P$8,MainData[BillTo],"Group",MainData[Billable?],"Y",MainData[Category],"Beverage",MainData[Product],$D61)</f>
        <v>0</v>
      </c>
      <c r="Q61" s="32"/>
      <c r="R61" s="98">
        <f>SUMIFS(MainData[ExtendedPrice],MainData[Date],"&gt;="&amp;R$7,MainData[Date],"&lt;="&amp;R$8,MainData[BillTo],"Group",MainData[Billable?],"Y",MainData[Category],"Beverage",MainData[Product],$D61)</f>
        <v>0</v>
      </c>
      <c r="S61" s="32"/>
      <c r="T61" s="98">
        <f>SUMIFS(MainData[ExtendedPrice],MainData[Date],"&gt;="&amp;T$7,MainData[Date],"&lt;="&amp;T$8,MainData[BillTo],"Group",MainData[Billable?],"Y",MainData[Category],"Beverage",MainData[Product],$D61)</f>
        <v>0</v>
      </c>
      <c r="U61" s="32"/>
      <c r="V61" s="98">
        <f>SUMIFS(MainData[ExtendedPrice],MainData[Date],"&gt;="&amp;V$7,MainData[Date],"&lt;="&amp;V$8,MainData[BillTo],"Group",MainData[Billable?],"Y",MainData[Category],"Beverage",MainData[Product],$D61)</f>
        <v>0</v>
      </c>
      <c r="W61" s="32"/>
      <c r="X61" s="98">
        <f>SUMIFS(MainData[ExtendedPrice],MainData[Date],"&gt;="&amp;X$7,MainData[Date],"&lt;="&amp;X$8,MainData[BillTo],"Group",MainData[Billable?],"Y",MainData[Category],"Beverage",MainData[Product],$D61)</f>
        <v>0</v>
      </c>
      <c r="Y61" s="32"/>
      <c r="Z61" s="98">
        <f>SUMIFS(MainData[ExtendedPrice],MainData[Date],"&gt;="&amp;Z$7,MainData[Date],"&lt;="&amp;Z$8,MainData[BillTo],"Group",MainData[Billable?],"Y",MainData[Category],"Beverage",MainData[Product],$D61)</f>
        <v>0</v>
      </c>
      <c r="AA61" s="32"/>
      <c r="AB61" s="98">
        <f>SUMIFS(MainData[ExtendedPrice],MainData[Date],"&gt;="&amp;AB$7,MainData[Date],"&lt;="&amp;AB$8,MainData[BillTo],"Group",MainData[Billable?],"Y",MainData[Category],"Beverage",MainData[Product],$D61)</f>
        <v>0</v>
      </c>
      <c r="AC61" s="32"/>
      <c r="AD61" s="98">
        <f>SUMIFS(MainData[ExtendedPrice],MainData[Date],"&gt;="&amp;AD$7,MainData[Date],"&lt;="&amp;AD$8,MainData[BillTo],"Group",MainData[Billable?],"Y",MainData[Category],"Beverage",MainData[Product],$D61)</f>
        <v>0</v>
      </c>
      <c r="AE61" s="32"/>
      <c r="AF61" s="33"/>
      <c r="AG61" s="31">
        <f>SUM(F61:AD61)</f>
        <v>191307.4</v>
      </c>
      <c r="AH61" s="196"/>
      <c r="AI61" s="178"/>
      <c r="AK61" s="175"/>
      <c r="BC61" s="18"/>
      <c r="BD61" s="18"/>
      <c r="BE61" s="18"/>
      <c r="BF61" s="18"/>
    </row>
    <row r="62" spans="2:58" x14ac:dyDescent="0.25">
      <c r="B62" s="201"/>
      <c r="C62" s="202"/>
      <c r="D62" s="21" t="s">
        <v>25</v>
      </c>
      <c r="F62" s="99">
        <f>SUMIFS(MainData[ExtendedPrice],MainData[Date],"&gt;="&amp;F$7,MainData[Date],"&lt;="&amp;F$8,MainData[BillTo],"Group",MainData[Billable?],"Y",MainData[Category],"Beverage",MainData[Product],$D62)</f>
        <v>84313.782500000001</v>
      </c>
      <c r="G62" s="32"/>
      <c r="H62" s="99">
        <f>SUMIFS(MainData[ExtendedPrice],MainData[Date],"&gt;="&amp;H$7,MainData[Date],"&lt;="&amp;H$8,MainData[BillTo],"Group",MainData[Billable?],"Y",MainData[Category],"Beverage",MainData[Product],$D62)</f>
        <v>76216.22</v>
      </c>
      <c r="I62" s="32"/>
      <c r="J62" s="99">
        <f>SUMIFS(MainData[ExtendedPrice],MainData[Date],"&gt;="&amp;J$7,MainData[Date],"&lt;="&amp;J$8,MainData[BillTo],"Group",MainData[Billable?],"Y",MainData[Category],"Beverage",MainData[Product],$D62)</f>
        <v>0</v>
      </c>
      <c r="K62" s="32"/>
      <c r="L62" s="99">
        <f>SUMIFS(MainData[ExtendedPrice],MainData[Date],"&gt;="&amp;L$7,MainData[Date],"&lt;="&amp;L$8,MainData[BillTo],"Group",MainData[Billable?],"Y",MainData[Category],"Beverage",MainData[Product],$D62)</f>
        <v>0</v>
      </c>
      <c r="M62" s="32"/>
      <c r="N62" s="99">
        <f>SUMIFS(MainData[ExtendedPrice],MainData[Date],"&gt;="&amp;N$7,MainData[Date],"&lt;="&amp;N$8,MainData[BillTo],"Group",MainData[Billable?],"Y",MainData[Category],"Beverage",MainData[Product],$D62)</f>
        <v>0</v>
      </c>
      <c r="O62" s="32"/>
      <c r="P62" s="99">
        <f>SUMIFS(MainData[ExtendedPrice],MainData[Date],"&gt;="&amp;P$7,MainData[Date],"&lt;="&amp;P$8,MainData[BillTo],"Group",MainData[Billable?],"Y",MainData[Category],"Beverage",MainData[Product],$D62)</f>
        <v>0</v>
      </c>
      <c r="Q62" s="32"/>
      <c r="R62" s="99">
        <f>SUMIFS(MainData[ExtendedPrice],MainData[Date],"&gt;="&amp;R$7,MainData[Date],"&lt;="&amp;R$8,MainData[BillTo],"Group",MainData[Billable?],"Y",MainData[Category],"Beverage",MainData[Product],$D62)</f>
        <v>0</v>
      </c>
      <c r="S62" s="32"/>
      <c r="T62" s="99">
        <f>SUMIFS(MainData[ExtendedPrice],MainData[Date],"&gt;="&amp;T$7,MainData[Date],"&lt;="&amp;T$8,MainData[BillTo],"Group",MainData[Billable?],"Y",MainData[Category],"Beverage",MainData[Product],$D62)</f>
        <v>0</v>
      </c>
      <c r="U62" s="32"/>
      <c r="V62" s="99">
        <f>SUMIFS(MainData[ExtendedPrice],MainData[Date],"&gt;="&amp;V$7,MainData[Date],"&lt;="&amp;V$8,MainData[BillTo],"Group",MainData[Billable?],"Y",MainData[Category],"Beverage",MainData[Product],$D62)</f>
        <v>0</v>
      </c>
      <c r="W62" s="32"/>
      <c r="X62" s="99">
        <f>SUMIFS(MainData[ExtendedPrice],MainData[Date],"&gt;="&amp;X$7,MainData[Date],"&lt;="&amp;X$8,MainData[BillTo],"Group",MainData[Billable?],"Y",MainData[Category],"Beverage",MainData[Product],$D62)</f>
        <v>0</v>
      </c>
      <c r="Y62" s="32"/>
      <c r="Z62" s="99">
        <f>SUMIFS(MainData[ExtendedPrice],MainData[Date],"&gt;="&amp;Z$7,MainData[Date],"&lt;="&amp;Z$8,MainData[BillTo],"Group",MainData[Billable?],"Y",MainData[Category],"Beverage",MainData[Product],$D62)</f>
        <v>0</v>
      </c>
      <c r="AA62" s="32"/>
      <c r="AB62" s="99">
        <f>SUMIFS(MainData[ExtendedPrice],MainData[Date],"&gt;="&amp;AB$7,MainData[Date],"&lt;="&amp;AB$8,MainData[BillTo],"Group",MainData[Billable?],"Y",MainData[Category],"Beverage",MainData[Product],$D62)</f>
        <v>0</v>
      </c>
      <c r="AC62" s="32"/>
      <c r="AD62" s="99">
        <f>SUMIFS(MainData[ExtendedPrice],MainData[Date],"&gt;="&amp;AD$7,MainData[Date],"&lt;="&amp;AD$8,MainData[BillTo],"Group",MainData[Billable?],"Y",MainData[Category],"Beverage",MainData[Product],$D62)</f>
        <v>0</v>
      </c>
      <c r="AE62" s="32"/>
      <c r="AF62" s="33"/>
      <c r="AG62" s="34">
        <f>SUM(F62:AD62)</f>
        <v>160530.0025</v>
      </c>
      <c r="AH62" s="196"/>
      <c r="AI62" s="178"/>
      <c r="AK62" s="175"/>
      <c r="BC62" s="18"/>
      <c r="BD62" s="18"/>
      <c r="BE62" s="18"/>
      <c r="BF62" s="18"/>
    </row>
    <row r="63" spans="2:58" x14ac:dyDescent="0.25">
      <c r="B63" s="201"/>
      <c r="C63" s="202"/>
      <c r="D63" s="21" t="s">
        <v>35</v>
      </c>
      <c r="F63" s="100">
        <f>SUMIFS(MainData[ExtendedPrice],MainData[Date],"&gt;="&amp;F$7,MainData[Date],"&lt;="&amp;F$8,MainData[BillTo],"Group",MainData[Billable?],"Y",MainData[Category],"Beverage",MainData[Product],$D63)</f>
        <v>81179.75</v>
      </c>
      <c r="G63" s="32"/>
      <c r="H63" s="100">
        <f>SUMIFS(MainData[ExtendedPrice],MainData[Date],"&gt;="&amp;H$7,MainData[Date],"&lt;="&amp;H$8,MainData[BillTo],"Group",MainData[Billable?],"Y",MainData[Category],"Beverage",MainData[Product],$D63)</f>
        <v>80890.64</v>
      </c>
      <c r="I63" s="32"/>
      <c r="J63" s="100">
        <f>SUMIFS(MainData[ExtendedPrice],MainData[Date],"&gt;="&amp;J$7,MainData[Date],"&lt;="&amp;J$8,MainData[BillTo],"Group",MainData[Billable?],"Y",MainData[Category],"Beverage",MainData[Product],$D63)</f>
        <v>0</v>
      </c>
      <c r="K63" s="32"/>
      <c r="L63" s="100">
        <f>SUMIFS(MainData[ExtendedPrice],MainData[Date],"&gt;="&amp;L$7,MainData[Date],"&lt;="&amp;L$8,MainData[BillTo],"Group",MainData[Billable?],"Y",MainData[Category],"Beverage",MainData[Product],$D63)</f>
        <v>0</v>
      </c>
      <c r="M63" s="32"/>
      <c r="N63" s="100">
        <f>SUMIFS(MainData[ExtendedPrice],MainData[Date],"&gt;="&amp;N$7,MainData[Date],"&lt;="&amp;N$8,MainData[BillTo],"Group",MainData[Billable?],"Y",MainData[Category],"Beverage",MainData[Product],$D63)</f>
        <v>0</v>
      </c>
      <c r="O63" s="32"/>
      <c r="P63" s="100">
        <f>SUMIFS(MainData[ExtendedPrice],MainData[Date],"&gt;="&amp;P$7,MainData[Date],"&lt;="&amp;P$8,MainData[BillTo],"Group",MainData[Billable?],"Y",MainData[Category],"Beverage",MainData[Product],$D63)</f>
        <v>0</v>
      </c>
      <c r="Q63" s="32"/>
      <c r="R63" s="100">
        <f>SUMIFS(MainData[ExtendedPrice],MainData[Date],"&gt;="&amp;R$7,MainData[Date],"&lt;="&amp;R$8,MainData[BillTo],"Group",MainData[Billable?],"Y",MainData[Category],"Beverage",MainData[Product],$D63)</f>
        <v>0</v>
      </c>
      <c r="S63" s="32"/>
      <c r="T63" s="100">
        <f>SUMIFS(MainData[ExtendedPrice],MainData[Date],"&gt;="&amp;T$7,MainData[Date],"&lt;="&amp;T$8,MainData[BillTo],"Group",MainData[Billable?],"Y",MainData[Category],"Beverage",MainData[Product],$D63)</f>
        <v>0</v>
      </c>
      <c r="U63" s="32"/>
      <c r="V63" s="100">
        <f>SUMIFS(MainData[ExtendedPrice],MainData[Date],"&gt;="&amp;V$7,MainData[Date],"&lt;="&amp;V$8,MainData[BillTo],"Group",MainData[Billable?],"Y",MainData[Category],"Beverage",MainData[Product],$D63)</f>
        <v>0</v>
      </c>
      <c r="W63" s="32"/>
      <c r="X63" s="100">
        <f>SUMIFS(MainData[ExtendedPrice],MainData[Date],"&gt;="&amp;X$7,MainData[Date],"&lt;="&amp;X$8,MainData[BillTo],"Group",MainData[Billable?],"Y",MainData[Category],"Beverage",MainData[Product],$D63)</f>
        <v>0</v>
      </c>
      <c r="Y63" s="32"/>
      <c r="Z63" s="100">
        <f>SUMIFS(MainData[ExtendedPrice],MainData[Date],"&gt;="&amp;Z$7,MainData[Date],"&lt;="&amp;Z$8,MainData[BillTo],"Group",MainData[Billable?],"Y",MainData[Category],"Beverage",MainData[Product],$D63)</f>
        <v>0</v>
      </c>
      <c r="AA63" s="32"/>
      <c r="AB63" s="100">
        <f>SUMIFS(MainData[ExtendedPrice],MainData[Date],"&gt;="&amp;AB$7,MainData[Date],"&lt;="&amp;AB$8,MainData[BillTo],"Group",MainData[Billable?],"Y",MainData[Category],"Beverage",MainData[Product],$D63)</f>
        <v>0</v>
      </c>
      <c r="AC63" s="32"/>
      <c r="AD63" s="100">
        <f>SUMIFS(MainData[ExtendedPrice],MainData[Date],"&gt;="&amp;AD$7,MainData[Date],"&lt;="&amp;AD$8,MainData[BillTo],"Group",MainData[Billable?],"Y",MainData[Category],"Beverage",MainData[Product],$D63)</f>
        <v>0</v>
      </c>
      <c r="AE63" s="32"/>
      <c r="AF63" s="33"/>
      <c r="AG63" s="32">
        <f>SUM(F63:AD63)</f>
        <v>162070.39000000001</v>
      </c>
      <c r="AH63" s="196"/>
      <c r="AI63" s="178"/>
      <c r="AK63" s="175"/>
      <c r="BC63" s="18"/>
      <c r="BD63" s="18"/>
      <c r="BE63" s="18"/>
      <c r="BF63" s="18"/>
    </row>
    <row r="64" spans="2:58" x14ac:dyDescent="0.25">
      <c r="B64" s="201"/>
      <c r="C64" s="202"/>
      <c r="D64" s="21" t="s">
        <v>24</v>
      </c>
      <c r="F64" s="101">
        <f>SUMIFS(MainData[ExtendedPrice],MainData[Date],"&gt;="&amp;F$7,MainData[Date],"&lt;="&amp;F$8,MainData[BillTo],"Group",MainData[Billable?],"Y",MainData[Category],"Beverage") - SUM(F61:F63) -
  SUMIFS(MainData[ExtendedPrice],MainData[Date],"&gt;="&amp;F$7,MainData[Date],"&lt;="&amp;F$8,MainData[BillTo],"Group",MainData[Billable?],"Y",MainData[Category],"Beverage",MainData[Product],IF($AJ$58="No","SoftDrink","999999"))</f>
        <v>15854.189999999944</v>
      </c>
      <c r="G64" s="32"/>
      <c r="H64" s="101">
        <f>SUMIFS(MainData[ExtendedPrice],MainData[Date],"&gt;="&amp;H$7,MainData[Date],"&lt;="&amp;H$8,MainData[BillTo],"Group",MainData[Billable?],"Y",MainData[Category],"Beverage") - SUM(H61:H63) -
  SUMIFS(MainData[ExtendedPrice],MainData[Date],"&gt;="&amp;H$7,MainData[Date],"&lt;="&amp;H$8,MainData[BillTo],"Group",MainData[Billable?],"Y",MainData[Category],"Beverage",MainData[Product],IF($AJ$58="No","SoftDrink","999999"))</f>
        <v>16603.929999999935</v>
      </c>
      <c r="I64" s="32"/>
      <c r="J64" s="101">
        <f>SUMIFS(MainData[ExtendedPrice],MainData[Date],"&gt;="&amp;J$7,MainData[Date],"&lt;="&amp;J$8,MainData[BillTo],"Group",MainData[Billable?],"Y",MainData[Category],"Beverage") - SUM(J61:J63) -
  SUMIFS(MainData[ExtendedPrice],MainData[Date],"&gt;="&amp;J$7,MainData[Date],"&lt;="&amp;J$8,MainData[BillTo],"Group",MainData[Billable?],"Y",MainData[Category],"Beverage",MainData[Product],IF($AJ$58="No","SoftDrink","999999"))</f>
        <v>0</v>
      </c>
      <c r="K64" s="32"/>
      <c r="L64" s="101">
        <f>SUMIFS(MainData[ExtendedPrice],MainData[Date],"&gt;="&amp;L$7,MainData[Date],"&lt;="&amp;L$8,MainData[BillTo],"Group",MainData[Billable?],"Y",MainData[Category],"Beverage") - SUM(L61:L63) -
  SUMIFS(MainData[ExtendedPrice],MainData[Date],"&gt;="&amp;L$7,MainData[Date],"&lt;="&amp;L$8,MainData[BillTo],"Group",MainData[Billable?],"Y",MainData[Category],"Beverage",MainData[Product],IF($AJ$58="No","SoftDrink","999999"))</f>
        <v>0</v>
      </c>
      <c r="M64" s="32"/>
      <c r="N64" s="101">
        <f>SUMIFS(MainData[ExtendedPrice],MainData[Date],"&gt;="&amp;N$7,MainData[Date],"&lt;="&amp;N$8,MainData[BillTo],"Group",MainData[Billable?],"Y",MainData[Category],"Beverage") - SUM(N61:N63) -
  SUMIFS(MainData[ExtendedPrice],MainData[Date],"&gt;="&amp;N$7,MainData[Date],"&lt;="&amp;N$8,MainData[BillTo],"Group",MainData[Billable?],"Y",MainData[Category],"Beverage",MainData[Product],IF($AJ$58="No","SoftDrink","999999"))</f>
        <v>0</v>
      </c>
      <c r="O64" s="32"/>
      <c r="P64" s="101">
        <f>SUMIFS(MainData[ExtendedPrice],MainData[Date],"&gt;="&amp;P$7,MainData[Date],"&lt;="&amp;P$8,MainData[BillTo],"Group",MainData[Billable?],"Y",MainData[Category],"Beverage") - SUM(P61:P63) -
  SUMIFS(MainData[ExtendedPrice],MainData[Date],"&gt;="&amp;P$7,MainData[Date],"&lt;="&amp;P$8,MainData[BillTo],"Group",MainData[Billable?],"Y",MainData[Category],"Beverage",MainData[Product],IF($AJ$58="No","SoftDrink","999999"))</f>
        <v>0</v>
      </c>
      <c r="Q64" s="32"/>
      <c r="R64" s="101">
        <f>SUMIFS(MainData[ExtendedPrice],MainData[Date],"&gt;="&amp;R$7,MainData[Date],"&lt;="&amp;R$8,MainData[BillTo],"Group",MainData[Billable?],"Y",MainData[Category],"Beverage") - SUM(R61:R63) -
  SUMIFS(MainData[ExtendedPrice],MainData[Date],"&gt;="&amp;R$7,MainData[Date],"&lt;="&amp;R$8,MainData[BillTo],"Group",MainData[Billable?],"Y",MainData[Category],"Beverage",MainData[Product],IF($AJ$58="No","SoftDrink","999999"))</f>
        <v>0</v>
      </c>
      <c r="S64" s="32"/>
      <c r="T64" s="101">
        <f>SUMIFS(MainData[ExtendedPrice],MainData[Date],"&gt;="&amp;T$7,MainData[Date],"&lt;="&amp;T$8,MainData[BillTo],"Group",MainData[Billable?],"Y",MainData[Category],"Beverage") - SUM(T61:T63) -
  SUMIFS(MainData[ExtendedPrice],MainData[Date],"&gt;="&amp;T$7,MainData[Date],"&lt;="&amp;T$8,MainData[BillTo],"Group",MainData[Billable?],"Y",MainData[Category],"Beverage",MainData[Product],IF($AJ$58="No","SoftDrink","999999"))</f>
        <v>0</v>
      </c>
      <c r="U64" s="32"/>
      <c r="V64" s="101">
        <f>SUMIFS(MainData[ExtendedPrice],MainData[Date],"&gt;="&amp;V$7,MainData[Date],"&lt;="&amp;V$8,MainData[BillTo],"Group",MainData[Billable?],"Y",MainData[Category],"Beverage") - SUM(V61:V63) -
  SUMIFS(MainData[ExtendedPrice],MainData[Date],"&gt;="&amp;V$7,MainData[Date],"&lt;="&amp;V$8,MainData[BillTo],"Group",MainData[Billable?],"Y",MainData[Category],"Beverage",MainData[Product],IF($AJ$58="No","SoftDrink","999999"))</f>
        <v>0</v>
      </c>
      <c r="W64" s="32"/>
      <c r="X64" s="101">
        <f>SUMIFS(MainData[ExtendedPrice],MainData[Date],"&gt;="&amp;X$7,MainData[Date],"&lt;="&amp;X$8,MainData[BillTo],"Group",MainData[Billable?],"Y",MainData[Category],"Beverage") - SUM(X61:X63) -
  SUMIFS(MainData[ExtendedPrice],MainData[Date],"&gt;="&amp;X$7,MainData[Date],"&lt;="&amp;X$8,MainData[BillTo],"Group",MainData[Billable?],"Y",MainData[Category],"Beverage",MainData[Product],IF($AJ$58="No","SoftDrink","999999"))</f>
        <v>0</v>
      </c>
      <c r="Y64" s="32"/>
      <c r="Z64" s="101">
        <f>SUMIFS(MainData[ExtendedPrice],MainData[Date],"&gt;="&amp;Z$7,MainData[Date],"&lt;="&amp;Z$8,MainData[BillTo],"Group",MainData[Billable?],"Y",MainData[Category],"Beverage") - SUM(Z61:Z63) -
  SUMIFS(MainData[ExtendedPrice],MainData[Date],"&gt;="&amp;Z$7,MainData[Date],"&lt;="&amp;Z$8,MainData[BillTo],"Group",MainData[Billable?],"Y",MainData[Category],"Beverage",MainData[Product],IF($AJ$58="No","SoftDrink","999999"))</f>
        <v>0</v>
      </c>
      <c r="AA64" s="32"/>
      <c r="AB64" s="101">
        <f>SUMIFS(MainData[ExtendedPrice],MainData[Date],"&gt;="&amp;AB$7,MainData[Date],"&lt;="&amp;AB$8,MainData[BillTo],"Group",MainData[Billable?],"Y",MainData[Category],"Beverage") - SUM(AB61:AB63) -
  SUMIFS(MainData[ExtendedPrice],MainData[Date],"&gt;="&amp;AB$7,MainData[Date],"&lt;="&amp;AB$8,MainData[BillTo],"Group",MainData[Billable?],"Y",MainData[Category],"Beverage",MainData[Product],IF($AJ$58="No","SoftDrink","999999"))</f>
        <v>0</v>
      </c>
      <c r="AC64" s="32"/>
      <c r="AD64" s="101">
        <f>SUMIFS(MainData[ExtendedPrice],MainData[Date],"&gt;="&amp;AD$7,MainData[Date],"&lt;="&amp;AD$8,MainData[BillTo],"Group",MainData[Billable?],"Y",MainData[Category],"Beverage") - SUM(AD61:AD63) -
  SUMIFS(MainData[ExtendedPrice],MainData[Date],"&gt;="&amp;AD$7,MainData[Date],"&lt;="&amp;AD$8,MainData[BillTo],"Group",MainData[Billable?],"Y",MainData[Category],"Beverage",MainData[Product],IF($AJ$58="No","SoftDrink","999999"))</f>
        <v>0</v>
      </c>
      <c r="AE64" s="32"/>
      <c r="AF64" s="33"/>
      <c r="AG64" s="35">
        <f>SUM(F64:AD64)</f>
        <v>32458.119999999879</v>
      </c>
      <c r="AH64" s="196"/>
      <c r="AI64" s="178"/>
      <c r="AK64" s="175"/>
      <c r="BC64" s="18"/>
      <c r="BD64" s="18"/>
      <c r="BE64" s="18"/>
      <c r="BF64" s="18"/>
    </row>
    <row r="65" spans="4:58" x14ac:dyDescent="0.25">
      <c r="D65" s="10"/>
      <c r="F65" s="97">
        <f>SUM(F61:F64)</f>
        <v>283096.53249999997</v>
      </c>
      <c r="G65" s="4"/>
      <c r="H65" s="97">
        <f>SUM(H61:H64)</f>
        <v>263269.37999999995</v>
      </c>
      <c r="I65" s="4"/>
      <c r="J65" s="97">
        <f>SUM(J61:J64)</f>
        <v>0</v>
      </c>
      <c r="K65" s="4"/>
      <c r="L65" s="97">
        <f>SUM(L61:L64)</f>
        <v>0</v>
      </c>
      <c r="M65" s="4"/>
      <c r="N65" s="97">
        <f>SUM(N61:N64)</f>
        <v>0</v>
      </c>
      <c r="O65" s="4"/>
      <c r="P65" s="97">
        <f>SUM(P61:P64)</f>
        <v>0</v>
      </c>
      <c r="Q65" s="4"/>
      <c r="R65" s="97">
        <f>SUM(R61:R64)</f>
        <v>0</v>
      </c>
      <c r="S65" s="4"/>
      <c r="T65" s="97">
        <f>SUM(T61:T64)</f>
        <v>0</v>
      </c>
      <c r="U65" s="4"/>
      <c r="V65" s="97">
        <f>SUM(V61:V64)</f>
        <v>0</v>
      </c>
      <c r="W65" s="4"/>
      <c r="X65" s="97">
        <f>SUM(X61:X64)</f>
        <v>0</v>
      </c>
      <c r="Y65" s="4"/>
      <c r="Z65" s="97">
        <f>SUM(Z61:Z64)</f>
        <v>0</v>
      </c>
      <c r="AA65" s="4"/>
      <c r="AB65" s="97">
        <f>SUM(AB61:AB64)</f>
        <v>0</v>
      </c>
      <c r="AC65" s="4"/>
      <c r="AD65" s="97">
        <f>SUM(AD61:AD64)</f>
        <v>0</v>
      </c>
      <c r="AE65" s="4"/>
      <c r="AG65" s="4">
        <f>IF(SUM(AG61:AG64)=0,"",SUM(AG61:AG64))</f>
        <v>546365.91249999986</v>
      </c>
      <c r="AI65" s="170"/>
      <c r="AJ65" s="175"/>
      <c r="AK65" s="175"/>
      <c r="BC65" s="18"/>
      <c r="BD65" s="18"/>
      <c r="BE65" s="18"/>
      <c r="BF65" s="18"/>
    </row>
    <row r="66" spans="4:58" x14ac:dyDescent="0.25">
      <c r="AJ66" s="18"/>
      <c r="AQ66" s="174"/>
      <c r="AR66" s="174"/>
      <c r="AS66" s="174"/>
      <c r="AT66" s="174"/>
      <c r="BC66" s="18"/>
      <c r="BD66" s="18"/>
      <c r="BE66" s="18"/>
      <c r="BF66" s="18"/>
    </row>
    <row r="67" spans="4:58" x14ac:dyDescent="0.25">
      <c r="AG67" s="18"/>
      <c r="AH67" s="18"/>
      <c r="AI67" s="18"/>
      <c r="AJ67" s="18"/>
      <c r="AO67" s="174"/>
      <c r="AP67" s="174"/>
      <c r="AQ67" s="174"/>
      <c r="AR67" s="174"/>
      <c r="AS67" s="174"/>
      <c r="BC67" s="18"/>
      <c r="BD67" s="18"/>
      <c r="BE67" s="18"/>
      <c r="BF67" s="18"/>
    </row>
    <row r="68" spans="4:58" x14ac:dyDescent="0.25">
      <c r="AG68" s="18"/>
      <c r="AH68" s="18"/>
      <c r="AI68" s="18"/>
      <c r="AJ68" s="18"/>
      <c r="AO68" s="175"/>
      <c r="AP68" s="184"/>
      <c r="AS68" s="195"/>
      <c r="BC68" s="18"/>
      <c r="BD68" s="18"/>
      <c r="BE68" s="18"/>
      <c r="BF68" s="18"/>
    </row>
    <row r="69" spans="4:58" x14ac:dyDescent="0.25">
      <c r="AG69" s="18"/>
      <c r="AH69" s="18"/>
      <c r="AI69" s="18"/>
      <c r="AJ69" s="18"/>
      <c r="AO69" s="175"/>
      <c r="AP69" s="184"/>
      <c r="AS69" s="195"/>
      <c r="BC69" s="18"/>
      <c r="BD69" s="18"/>
      <c r="BE69" s="18"/>
      <c r="BF69" s="18"/>
    </row>
    <row r="70" spans="4:58" x14ac:dyDescent="0.25">
      <c r="AG70" s="18"/>
      <c r="AH70" s="18"/>
      <c r="AI70" s="18"/>
      <c r="AJ70" s="18"/>
      <c r="AO70" s="175"/>
      <c r="AP70" s="184"/>
      <c r="AS70" s="195"/>
      <c r="BC70" s="18"/>
      <c r="BD70" s="18"/>
      <c r="BE70" s="18"/>
      <c r="BF70" s="18"/>
    </row>
    <row r="71" spans="4:58" x14ac:dyDescent="0.25">
      <c r="AG71" s="18"/>
      <c r="AH71" s="18"/>
      <c r="AI71" s="18"/>
      <c r="AJ71" s="18"/>
      <c r="AO71" s="175"/>
      <c r="AP71" s="184"/>
      <c r="AS71" s="195"/>
      <c r="BC71" s="18"/>
      <c r="BD71" s="18"/>
      <c r="BE71" s="18"/>
      <c r="BF71" s="18"/>
    </row>
    <row r="72" spans="4:58" x14ac:dyDescent="0.25">
      <c r="AG72" s="18"/>
      <c r="AH72" s="18"/>
      <c r="AI72" s="18"/>
      <c r="AJ72" s="18"/>
      <c r="BC72" s="18"/>
      <c r="BD72" s="18"/>
      <c r="BE72" s="18"/>
      <c r="BF72" s="18"/>
    </row>
  </sheetData>
  <sheetProtection sheet="1" objects="1" scenarios="1" selectLockedCells="1"/>
  <mergeCells count="13">
    <mergeCell ref="C3:L3"/>
    <mergeCell ref="B11:B26"/>
    <mergeCell ref="B49:B64"/>
    <mergeCell ref="C11:C14"/>
    <mergeCell ref="C55:C58"/>
    <mergeCell ref="C61:C64"/>
    <mergeCell ref="C17:C20"/>
    <mergeCell ref="C23:C26"/>
    <mergeCell ref="C49:C52"/>
    <mergeCell ref="B30:B45"/>
    <mergeCell ref="C30:C33"/>
    <mergeCell ref="C36:C39"/>
    <mergeCell ref="C42:C45"/>
  </mergeCells>
  <conditionalFormatting sqref="F5">
    <cfRule type="cellIs" dxfId="160" priority="13" operator="equal">
      <formula>"Preliminary"</formula>
    </cfRule>
  </conditionalFormatting>
  <conditionalFormatting sqref="H5">
    <cfRule type="cellIs" dxfId="159" priority="12" operator="equal">
      <formula>"Preliminary"</formula>
    </cfRule>
  </conditionalFormatting>
  <conditionalFormatting sqref="J5">
    <cfRule type="cellIs" dxfId="158" priority="11" operator="equal">
      <formula>"Preliminary"</formula>
    </cfRule>
  </conditionalFormatting>
  <conditionalFormatting sqref="L5">
    <cfRule type="cellIs" dxfId="157" priority="10" operator="equal">
      <formula>"Preliminary"</formula>
    </cfRule>
  </conditionalFormatting>
  <conditionalFormatting sqref="N5">
    <cfRule type="cellIs" dxfId="156" priority="9" operator="equal">
      <formula>"Preliminary"</formula>
    </cfRule>
  </conditionalFormatting>
  <conditionalFormatting sqref="P5">
    <cfRule type="cellIs" dxfId="155" priority="8" operator="equal">
      <formula>"Preliminary"</formula>
    </cfRule>
  </conditionalFormatting>
  <conditionalFormatting sqref="R5">
    <cfRule type="cellIs" dxfId="154" priority="7" operator="equal">
      <formula>"Preliminary"</formula>
    </cfRule>
  </conditionalFormatting>
  <conditionalFormatting sqref="T5">
    <cfRule type="cellIs" dxfId="153" priority="6" operator="equal">
      <formula>"Preliminary"</formula>
    </cfRule>
  </conditionalFormatting>
  <conditionalFormatting sqref="V5">
    <cfRule type="cellIs" dxfId="152" priority="5" operator="equal">
      <formula>"Preliminary"</formula>
    </cfRule>
  </conditionalFormatting>
  <conditionalFormatting sqref="X5">
    <cfRule type="cellIs" dxfId="151" priority="4" operator="equal">
      <formula>"Preliminary"</formula>
    </cfRule>
  </conditionalFormatting>
  <conditionalFormatting sqref="Z5">
    <cfRule type="cellIs" dxfId="150" priority="3" operator="equal">
      <formula>"Preliminary"</formula>
    </cfRule>
  </conditionalFormatting>
  <conditionalFormatting sqref="AD5">
    <cfRule type="cellIs" dxfId="149" priority="1" operator="equal">
      <formula>"Preliminary"</formula>
    </cfRule>
  </conditionalFormatting>
  <conditionalFormatting sqref="AB5">
    <cfRule type="cellIs" dxfId="148" priority="2" operator="equal">
      <formula>"Preliminary"</formula>
    </cfRule>
  </conditionalFormatting>
  <dataValidations count="4">
    <dataValidation type="list" allowBlank="1" showInputMessage="1" showErrorMessage="1" errorTitle="Period Frequency?" error="Please select from drop-down list." prompt="Rather than monthly accounting periods, some locations prefer to use 13 equal length periods of 4 weeks.  " sqref="AJ8" xr:uid="{F77180D4-214B-4B6C-A9A2-27A776FECA41}">
      <formula1>"Monthly, 28 Days"</formula1>
    </dataValidation>
    <dataValidation type="list" allowBlank="1" showInputMessage="1" showErrorMessage="1" errorTitle="YTD of Final?" error="Please select from drop-down list." prompt="Select &quot;Final&quot; at the end of the year after all data has been entered and the final period has been reconciled." sqref="AJ5" xr:uid="{3EEA93F0-CADE-4997-81A4-E71CA5E5F56E}">
      <formula1>"Year to Date, Final"</formula1>
    </dataValidation>
    <dataValidation type="list" allowBlank="1" showInputMessage="1" showErrorMessage="1" errorTitle="Include Soft Drinks?" error="Please select from drop-down list." prompt="Some locations do not include soft drinks in their beverage calculations for legal and/or tax reasons." sqref="AJ20 AJ58 AJ39" xr:uid="{D46C77FE-4248-4169-B473-19AAFE110685}">
      <formula1>"Yes, No"</formula1>
    </dataValidation>
    <dataValidation type="list" allowBlank="1" showInputMessage="1" showErrorMessage="1" errorTitle="Include in Revenue?" error="Please select from drop-down list." prompt="Select &quot;Yes&quot; if these beverage sales are recorded in CI/TY. Otherwise select &quot;No&quot;." sqref="AJ14 AJ52 AJ33" xr:uid="{C6957C4E-EB62-49B6-BC88-25BDA3D04D34}">
      <formula1>"Yes, No"</formula1>
    </dataValidation>
  </dataValidations>
  <printOptions horizontalCentered="1"/>
  <pageMargins left="0.5" right="0.5" top="0.75" bottom="0.5" header="0.3" footer="0.1"/>
  <pageSetup scale="57" fitToHeight="2" orientation="landscape" r:id="rId1"/>
  <headerFooter>
    <oddFooter>&amp;CConfidential and Proprietary Information
Page &amp;P of &amp;N</oddFooter>
  </headerFooter>
  <rowBreaks count="1" manualBreakCount="1">
    <brk id="66" max="33" man="1"/>
  </rowBreaks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35</xdr:col>
                <xdr:colOff>952500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Z55"/>
  <sheetViews>
    <sheetView showGridLines="0" tabSelected="1" zoomScaleNormal="100" workbookViewId="0">
      <selection activeCell="E12" sqref="E12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  <col min="34" max="34" width="2.140625" customWidth="1"/>
    <col min="35" max="35" width="14.28515625" customWidth="1"/>
    <col min="36" max="36" width="10.7109375" customWidth="1"/>
    <col min="38" max="52" width="9.140625" customWidth="1"/>
  </cols>
  <sheetData>
    <row r="1" spans="2:52" ht="18" x14ac:dyDescent="0.25">
      <c r="C1" s="9" t="str">
        <f>'YTD Revenue'!$C$1</f>
        <v>BANQUET BEVERAGE REVENUE ANALYSIS</v>
      </c>
      <c r="AF1" s="9">
        <f>'YTD Revenue'!$AG$1</f>
        <v>2022</v>
      </c>
    </row>
    <row r="2" spans="2:52" x14ac:dyDescent="0.25">
      <c r="C2" s="16" t="str">
        <f>IF('YTD Revenue'!$AJ$5="Final","Final Beverage Statistics (Grouped by "&amp;IF('YTD Revenue'!$AJ$8="Monthly","Months","Accounting Periods")&amp;") for Year "&amp;'YTD Revenue'!AG1,"Year to Date Beverage Statistics (Grouped by "&amp;IF('YTD Revenue'!$AJ$8="Monthly","Months","Accounting Periods")&amp;") as of  "&amp;TEXT(LARGE(MainData[Date],1),"mm/dd/yyyy"))</f>
        <v>Year to Date Beverage Statistics (Grouped by Months) as of  02/28/2022</v>
      </c>
    </row>
    <row r="3" spans="2:52" x14ac:dyDescent="0.25">
      <c r="C3" s="199">
        <f>Transactions!$B$3</f>
        <v>44887.394606481481</v>
      </c>
      <c r="D3" s="199"/>
      <c r="E3" s="199"/>
      <c r="F3" s="199"/>
      <c r="G3" s="199"/>
      <c r="H3" s="199"/>
      <c r="I3" s="199"/>
      <c r="J3" s="199"/>
      <c r="K3" s="199"/>
    </row>
    <row r="5" spans="2:52" x14ac:dyDescent="0.25">
      <c r="E5" s="42" t="str">
        <f>IF(ISBLANK(Reconcile!F5),"",Reconcile!F5)</f>
        <v>Reconciled</v>
      </c>
      <c r="G5" s="42" t="str">
        <f>IF(ISBLANK(Reconcile!H5),"",Reconcile!H5)</f>
        <v>Preliminary</v>
      </c>
      <c r="I5" s="42" t="str">
        <f>IF(ISBLANK(Reconcile!J5),"",Reconcile!J5)</f>
        <v/>
      </c>
      <c r="K5" s="42" t="str">
        <f>IF(ISBLANK(Reconcile!L5),"",Reconcile!L5)</f>
        <v/>
      </c>
      <c r="M5" s="42" t="str">
        <f>IF(ISBLANK(Reconcile!N5),"",Reconcile!N5)</f>
        <v/>
      </c>
      <c r="O5" s="42" t="str">
        <f>IF(ISBLANK(Reconcile!P5),"",Reconcile!P5)</f>
        <v/>
      </c>
      <c r="Q5" s="42" t="str">
        <f>IF(ISBLANK(Reconcile!R5),"",Reconcile!R5)</f>
        <v/>
      </c>
      <c r="S5" s="42" t="str">
        <f>IF(ISBLANK(Reconcile!T5),"",Reconcile!T5)</f>
        <v/>
      </c>
      <c r="U5" s="42" t="str">
        <f>IF(ISBLANK(Reconcile!V5),"",Reconcile!V5)</f>
        <v/>
      </c>
      <c r="W5" s="42" t="str">
        <f>IF(ISBLANK(Reconcile!X5),"",Reconcile!X5)</f>
        <v/>
      </c>
      <c r="Y5" s="42" t="str">
        <f>IF(ISBLANK(Reconcile!Z5),"",Reconcile!Z5)</f>
        <v/>
      </c>
      <c r="AA5" s="42" t="str">
        <f>IF(ISBLANK(Reconcile!AB5),"",Reconcile!AB5)</f>
        <v/>
      </c>
      <c r="AC5" s="42" t="str">
        <f>IF(ISBLANK(Reconcile!AD5),"",Reconcile!AD5)</f>
        <v/>
      </c>
      <c r="AI5" s="203" t="s">
        <v>530</v>
      </c>
      <c r="AJ5" s="203"/>
    </row>
    <row r="6" spans="2:52" ht="15" customHeight="1" x14ac:dyDescent="0.25">
      <c r="C6" s="60" t="s">
        <v>62</v>
      </c>
      <c r="D6" s="2"/>
      <c r="E6" s="19">
        <f>'YTD Revenue'!F6</f>
        <v>1</v>
      </c>
      <c r="F6" s="20"/>
      <c r="G6" s="19">
        <f>'YTD Revenue'!H6</f>
        <v>2</v>
      </c>
      <c r="H6" s="20"/>
      <c r="I6" s="19">
        <f>'YTD Revenue'!J6</f>
        <v>3</v>
      </c>
      <c r="J6" s="20"/>
      <c r="K6" s="19">
        <f>'YTD Revenue'!L6</f>
        <v>4</v>
      </c>
      <c r="L6" s="20"/>
      <c r="M6" s="19">
        <f>'YTD Revenue'!N6</f>
        <v>5</v>
      </c>
      <c r="N6" s="20"/>
      <c r="O6" s="19">
        <f>'YTD Revenue'!P6</f>
        <v>6</v>
      </c>
      <c r="P6" s="20"/>
      <c r="Q6" s="19">
        <f>'YTD Revenue'!R6</f>
        <v>7</v>
      </c>
      <c r="R6" s="20"/>
      <c r="S6" s="19">
        <f>'YTD Revenue'!T6</f>
        <v>8</v>
      </c>
      <c r="T6" s="20"/>
      <c r="U6" s="19">
        <f>'YTD Revenue'!V6</f>
        <v>9</v>
      </c>
      <c r="V6" s="20"/>
      <c r="W6" s="19">
        <f>'YTD Revenue'!X6</f>
        <v>10</v>
      </c>
      <c r="X6" s="20"/>
      <c r="Y6" s="19">
        <f>'YTD Revenue'!Z6</f>
        <v>11</v>
      </c>
      <c r="Z6" s="20"/>
      <c r="AA6" s="19">
        <f>'YTD Revenue'!AB6</f>
        <v>12</v>
      </c>
      <c r="AB6" s="20"/>
      <c r="AC6" s="19" t="str">
        <f>'YTD Revenue'!AD6</f>
        <v/>
      </c>
      <c r="AD6" s="20"/>
      <c r="AF6" s="20" t="str">
        <f>'YTD Revenue'!AG6</f>
        <v>Year to Date</v>
      </c>
      <c r="AI6" s="10" t="s">
        <v>532</v>
      </c>
      <c r="AJ6" s="198" t="s">
        <v>513</v>
      </c>
    </row>
    <row r="7" spans="2:52" ht="15" customHeight="1" x14ac:dyDescent="0.25">
      <c r="B7" s="37"/>
      <c r="C7" s="21" t="s">
        <v>30</v>
      </c>
      <c r="E7" s="22">
        <f>IF(NOT(ISNUMBER('YTD Revenue'!F7)),"",'YTD Revenue'!F7)</f>
        <v>44562</v>
      </c>
      <c r="F7" s="23"/>
      <c r="G7" s="22">
        <f>IF(NOT(ISNUMBER('YTD Revenue'!H7)),"",'YTD Revenue'!H7)</f>
        <v>44593</v>
      </c>
      <c r="H7" s="23"/>
      <c r="I7" s="22">
        <f>IF(NOT(ISNUMBER('YTD Revenue'!J7)),"",'YTD Revenue'!J7)</f>
        <v>44621</v>
      </c>
      <c r="J7" s="23"/>
      <c r="K7" s="22">
        <f>IF(NOT(ISNUMBER('YTD Revenue'!L7)),"",'YTD Revenue'!L7)</f>
        <v>44652</v>
      </c>
      <c r="L7" s="23"/>
      <c r="M7" s="22">
        <f>IF(NOT(ISNUMBER('YTD Revenue'!N7)),"",'YTD Revenue'!N7)</f>
        <v>44682</v>
      </c>
      <c r="N7" s="23"/>
      <c r="O7" s="22">
        <f>IF(NOT(ISNUMBER('YTD Revenue'!P7)),"",'YTD Revenue'!P7)</f>
        <v>44713</v>
      </c>
      <c r="P7" s="23"/>
      <c r="Q7" s="22">
        <f>IF(NOT(ISNUMBER('YTD Revenue'!R7)),"",'YTD Revenue'!R7)</f>
        <v>44743</v>
      </c>
      <c r="R7" s="23"/>
      <c r="S7" s="22">
        <f>IF(NOT(ISNUMBER('YTD Revenue'!T7)),"",'YTD Revenue'!T7)</f>
        <v>44774</v>
      </c>
      <c r="T7" s="23"/>
      <c r="U7" s="22">
        <f>IF(NOT(ISNUMBER('YTD Revenue'!V7)),"",'YTD Revenue'!V7)</f>
        <v>44805</v>
      </c>
      <c r="V7" s="23"/>
      <c r="W7" s="22">
        <f>IF(NOT(ISNUMBER('YTD Revenue'!X7)),"",'YTD Revenue'!X7)</f>
        <v>44835</v>
      </c>
      <c r="X7" s="23"/>
      <c r="Y7" s="22">
        <f>IF(NOT(ISNUMBER('YTD Revenue'!Z7)),"",'YTD Revenue'!Z7)</f>
        <v>44866</v>
      </c>
      <c r="Z7" s="23"/>
      <c r="AA7" s="22">
        <f>IF(NOT(ISNUMBER('YTD Revenue'!AB7)),"",'YTD Revenue'!AB7)</f>
        <v>44896</v>
      </c>
      <c r="AB7" s="23"/>
      <c r="AC7" s="22" t="str">
        <f>IF(NOT(ISNUMBER('YTD Revenue'!AD7)),"",'YTD Revenue'!AD7)</f>
        <v/>
      </c>
      <c r="AD7" s="24"/>
      <c r="AE7" s="24"/>
      <c r="AF7" s="22" t="str">
        <f>'YTD Revenue'!AG7</f>
        <v>01/05/22</v>
      </c>
      <c r="AI7" s="10" t="s">
        <v>531</v>
      </c>
      <c r="AJ7" s="198" t="s">
        <v>513</v>
      </c>
    </row>
    <row r="8" spans="2:52" x14ac:dyDescent="0.25">
      <c r="B8" s="37"/>
      <c r="C8" s="21" t="s">
        <v>31</v>
      </c>
      <c r="E8" s="25">
        <f>IF(NOT(ISNUMBER('YTD Revenue'!F8)),"",'YTD Revenue'!F8)</f>
        <v>44592.999988425923</v>
      </c>
      <c r="F8" s="23"/>
      <c r="G8" s="25">
        <f>IF(NOT(ISNUMBER('YTD Revenue'!H8)),"",'YTD Revenue'!H8)</f>
        <v>44620.999988425923</v>
      </c>
      <c r="H8" s="23"/>
      <c r="I8" s="25">
        <f>IF(NOT(ISNUMBER('YTD Revenue'!J8)),"",'YTD Revenue'!J8)</f>
        <v>44651.999988425923</v>
      </c>
      <c r="J8" s="23"/>
      <c r="K8" s="25">
        <f>IF(NOT(ISNUMBER('YTD Revenue'!L8)),"",'YTD Revenue'!L8)</f>
        <v>44681.999988425923</v>
      </c>
      <c r="L8" s="23"/>
      <c r="M8" s="25">
        <f>IF(NOT(ISNUMBER('YTD Revenue'!N8)),"",'YTD Revenue'!N8)</f>
        <v>44712.999988425923</v>
      </c>
      <c r="N8" s="23"/>
      <c r="O8" s="25">
        <f>IF(NOT(ISNUMBER('YTD Revenue'!P8)),"",'YTD Revenue'!P8)</f>
        <v>44742.999988425923</v>
      </c>
      <c r="P8" s="23"/>
      <c r="Q8" s="25">
        <f>IF(NOT(ISNUMBER('YTD Revenue'!R8)),"",'YTD Revenue'!R8)</f>
        <v>44773.999988425923</v>
      </c>
      <c r="R8" s="23"/>
      <c r="S8" s="25">
        <f>IF(NOT(ISNUMBER('YTD Revenue'!T8)),"",'YTD Revenue'!T8)</f>
        <v>44804.999988425923</v>
      </c>
      <c r="T8" s="23"/>
      <c r="U8" s="25">
        <f>IF(NOT(ISNUMBER('YTD Revenue'!V8)),"",'YTD Revenue'!V8)</f>
        <v>44834.999988425923</v>
      </c>
      <c r="V8" s="23"/>
      <c r="W8" s="25">
        <f>IF(NOT(ISNUMBER('YTD Revenue'!X8)),"",'YTD Revenue'!X8)</f>
        <v>44865.999988425923</v>
      </c>
      <c r="X8" s="23"/>
      <c r="Y8" s="25">
        <f>IF(NOT(ISNUMBER('YTD Revenue'!Z8)),"",'YTD Revenue'!Z8)</f>
        <v>44895.999988425923</v>
      </c>
      <c r="Z8" s="23"/>
      <c r="AA8" s="25">
        <f>IF(NOT(ISNUMBER('YTD Revenue'!AB8)),"",'YTD Revenue'!AB8)</f>
        <v>44926.999988425923</v>
      </c>
      <c r="AB8" s="23"/>
      <c r="AC8" s="25" t="str">
        <f>IF(NOT(ISNUMBER('YTD Revenue'!AD8)),"",'YTD Revenue'!AD8)</f>
        <v/>
      </c>
      <c r="AD8" s="24"/>
      <c r="AE8" s="24"/>
      <c r="AF8" s="25" t="str">
        <f>'YTD Revenue'!AG8</f>
        <v>02/28/22</v>
      </c>
      <c r="AI8" s="10" t="s">
        <v>533</v>
      </c>
      <c r="AJ8" s="198" t="s">
        <v>513</v>
      </c>
    </row>
    <row r="9" spans="2:52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52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52" ht="15" customHeight="1" x14ac:dyDescent="0.25">
      <c r="B11" s="205" t="s">
        <v>197</v>
      </c>
      <c r="C11" s="40" t="s">
        <v>7</v>
      </c>
      <c r="E11" s="102" cm="1">
        <f t="array" ref="E11">SUM(
             IF(
                  COUNTIFS(MainData[Date],"&gt;="&amp;E$7,MainData[Date],"&lt;="&amp;E$8,MainData[Category],"Beverage",MainData[BillTo],"EPO",MainData[EventID],N(IF(MATCH(MainData[EventID],MainData[EventID],0)=ROW(MainData[EventID])-ROW(MainData[#Headers]),MainData[EventID],0)))&gt;0,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7</v>
      </c>
      <c r="F11" s="28"/>
      <c r="G11" s="102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02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02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02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02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02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02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02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02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02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02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02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102">
        <f>SUM(E11,G11,I11,K11,M11,O11,Q11,S11,U11,W11,Y11,AA11,AC11)</f>
        <v>41</v>
      </c>
    </row>
    <row r="12" spans="2:52" x14ac:dyDescent="0.25">
      <c r="B12" s="205"/>
      <c r="C12" s="40" t="s">
        <v>4</v>
      </c>
      <c r="E12" s="103" cm="1">
        <f t="array" ref="E12">SUM(
             IF(
                  COUNTIFS(MainData[Date],"&gt;="&amp;E$7,MainData[Date],"&lt;="&amp;E$8,MainData[Category],"Beverage",MainData[BillTo],"&lt;&gt;EPO",MainData[EventID],N(IF(MATCH(MainData[EventID],MainData[EventID],0)=ROW(MainData[EventID])-ROW(MainData[#Headers]),MainData[EventID],0)))&gt;0,
                  IF(
                       OR(
                             COUNTIFS(MainData[Date],"&gt;="&amp;G$7,MainData[Date],"&lt;="&amp;G$8,MainData[Category],"Beverage",MainData[Pricing],"Each",MainData[EventID],N(IF(MATCH(MainData[EventID],MainData[EventID],0)=ROW(MainData[EventID])-ROW(MainData[#Headers]),MainData[EventID],0)))&gt;0,
                             COUNTIFS(MainData[Date],"&gt;="&amp;G$7,MainData[Date],"&lt;="&amp;G$8,MainData[Category],"Beverage",MainData[Pricing],"perDrink",MainData[EventID],N(IF(MATCH(MainData[EventID],MainData[EventID],0)=ROW(MainData[EventID])-ROW(MainData[#Headers]),MainData[EventID],0)))&gt;0,
                             COUNTIFS(MainData[Date],"&gt;="&amp;G$7,MainData[Date],"&lt;="&amp;G$8,MainData[Category],"Beverage",MainData[Pricing],"perBottle",MainData[EventID],N(IF(MATCH(MainData[EventID],MainData[EventID],0)=ROW(MainData[EventID])-ROW(MainData[#Headers]),MainData[EventID],0)))&gt;0,
                             COUNTIFS(MainData[Date],"&gt;="&amp;G$7,MainData[Date],"&lt;="&amp;G$8,MainData[Category],"Beverage",MainData[Pricing],"perCase",MainData[EventID],N(IF(MATCH(MainData[EventID],MainData[EventID],0)=ROW(MainData[EventID])-ROW(MainData[#Headers]),MainData[EventID],0)))&gt;0,
                             COUNTIFS(MainData[Date],"&gt;="&amp;G$7,MainData[Date],"&lt;="&amp;G$8,MainData[Category],"Beverage",MainData[Pricing],"perBatch",MainData[EventID],N(IF(MATCH(MainData[EventID],MainData[EventID],0)=ROW(MainData[EventID])-ROW(MainData[#Headers]),MainData[EventID],0)))&gt;0
                            ),
                       IF(
     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      ) +
                       IF(
     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      )
                       )
                  )
            )</f>
        <v>129</v>
      </c>
      <c r="F12" s="28"/>
      <c r="G12" s="103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03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03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03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03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03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03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03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03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03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03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03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103">
        <f>SUM(E12,G12,I12,K12,M12,O12,Q12,S12,U12,W12,Y12,AA12,AC12)</f>
        <v>220</v>
      </c>
    </row>
    <row r="13" spans="2:52" x14ac:dyDescent="0.25">
      <c r="B13" s="205"/>
      <c r="C13" s="40" t="s">
        <v>5</v>
      </c>
      <c r="E13" s="104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04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04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04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04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04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04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04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04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04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04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04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04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104">
        <f>SUM(E13,G13,I13,K13,M13,O13,Q13,S13,U13,W13,Y13,AA13,AC13)</f>
        <v>24</v>
      </c>
    </row>
    <row r="14" spans="2:52" x14ac:dyDescent="0.25">
      <c r="B14" s="205"/>
      <c r="C14" s="40" t="s">
        <v>105</v>
      </c>
      <c r="E14" s="105" cm="1">
        <f t="array" ref="E14">SUM(
             IF(
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)
             )</f>
        <v>5</v>
      </c>
      <c r="F14" s="32"/>
      <c r="G14" s="105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05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05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05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05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05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05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05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05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05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05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05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105">
        <f>SUM(E14,G14,I14,K14,M14,O14,Q14,S14,U14,W14,Y14,AA14,AC14)</f>
        <v>5</v>
      </c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2:52" x14ac:dyDescent="0.25">
      <c r="B15" s="138"/>
      <c r="C15" s="21"/>
      <c r="E15" s="107"/>
      <c r="F15" s="4"/>
      <c r="G15" s="107"/>
      <c r="H15" s="4"/>
      <c r="I15" s="107"/>
      <c r="J15" s="4"/>
      <c r="K15" s="107"/>
      <c r="L15" s="4"/>
      <c r="M15" s="107"/>
      <c r="N15" s="4"/>
      <c r="O15" s="107"/>
      <c r="P15" s="4"/>
      <c r="Q15" s="107"/>
      <c r="R15" s="4"/>
      <c r="S15" s="107"/>
      <c r="T15" s="4"/>
      <c r="U15" s="107"/>
      <c r="V15" s="4"/>
      <c r="W15" s="107"/>
      <c r="X15" s="4"/>
      <c r="Y15" s="107"/>
      <c r="Z15" s="4"/>
      <c r="AA15" s="107"/>
      <c r="AB15" s="4"/>
      <c r="AC15" s="107"/>
      <c r="AD15" s="4"/>
      <c r="AF15" s="39"/>
    </row>
    <row r="16" spans="2:52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5" t="s">
        <v>537</v>
      </c>
      <c r="C17" s="40" t="s">
        <v>36</v>
      </c>
      <c r="E17" s="102" cm="1">
        <f t="array" ref="E17">SUM(
             IF(
                  COUNTIFS(MainData[Date],"&gt;="&amp;E$7,MainData[Date],"&lt;="&amp;E$8,MainData[Category],"Beverage",MainData[Product],"Liquor",MainData[EventID],N(IF(MATCH(MainData[EventID],MainData[EventID],0)=ROW(MainData[EventID])-ROW(MainData[#Headers]),MainData[EventID],0)))&gt;0,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105</v>
      </c>
      <c r="F17" s="28">
        <v>0.01</v>
      </c>
      <c r="G17" s="102" cm="1">
        <f t="array" ref="G17">SUM(
             IF(
                  COUNTIFS(MainData[Date],"&gt;="&amp;G$7,MainData[Date],"&lt;="&amp;G$8,MainData[Category],"Beverage",MainData[Product],"Liquor",MainData[EventID],N(IF(MATCH(MainData[EventID],MainData[EventID],0)=ROW(MainData[EventID])-ROW(MainData[#Headers]),MainData[EventID],0)))&gt;0,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98</v>
      </c>
      <c r="H17" s="28"/>
      <c r="I17" s="102" cm="1">
        <f t="array" ref="I17">SUM(
             IF(
                  COUNTIFS(MainData[Date],"&gt;="&amp;I$7,MainData[Date],"&lt;="&amp;I$8,MainData[Category],"Beverage",MainData[Product],"Liquor",MainData[EventID],N(IF(MATCH(MainData[EventID],MainData[EventID],0)=ROW(MainData[EventID])-ROW(MainData[#Headers]),MainData[EventID],0)))&gt;0,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J17" s="28"/>
      <c r="K17" s="102" cm="1">
        <f t="array" ref="K17">SUM(
             IF(
                  COUNTIFS(MainData[Date],"&gt;="&amp;K$7,MainData[Date],"&lt;="&amp;K$8,MainData[Category],"Beverage",MainData[Product],"Liquor",MainData[EventID],N(IF(MATCH(MainData[EventID],MainData[EventID],0)=ROW(MainData[EventID])-ROW(MainData[#Headers]),MainData[EventID],0)))&gt;0,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17" s="28"/>
      <c r="M17" s="102" cm="1">
        <f t="array" ref="M17">SUM(
             IF(
                  COUNTIFS(MainData[Date],"&gt;="&amp;M$7,MainData[Date],"&lt;="&amp;M$8,MainData[Category],"Beverage",MainData[Product],"Liquor",MainData[EventID],N(IF(MATCH(MainData[EventID],MainData[EventID],0)=ROW(MainData[EventID])-ROW(MainData[#Headers]),MainData[EventID],0)))&gt;0,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17" s="28"/>
      <c r="O17" s="102" cm="1">
        <f t="array" ref="O17">SUM(
             IF(
                  COUNTIFS(MainData[Date],"&gt;="&amp;O$7,MainData[Date],"&lt;="&amp;O$8,MainData[Category],"Beverage",MainData[Product],"Liquor",MainData[EventID],N(IF(MATCH(MainData[EventID],MainData[EventID],0)=ROW(MainData[EventID])-ROW(MainData[#Headers]),MainData[EventID],0)))&gt;0,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17" s="28"/>
      <c r="Q17" s="102" cm="1">
        <f t="array" ref="Q17">SUM(
             IF(
                  COUNTIFS(MainData[Date],"&gt;="&amp;Q$7,MainData[Date],"&lt;="&amp;Q$8,MainData[Category],"Beverage",MainData[Product],"Liquor",MainData[EventID],N(IF(MATCH(MainData[EventID],MainData[EventID],0)=ROW(MainData[EventID])-ROW(MainData[#Headers]),MainData[EventID],0)))&gt;0,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17" s="28"/>
      <c r="S17" s="102" cm="1">
        <f t="array" ref="S17">SUM(
             IF(
                  COUNTIFS(MainData[Date],"&gt;="&amp;S$7,MainData[Date],"&lt;="&amp;S$8,MainData[Category],"Beverage",MainData[Product],"Liquor",MainData[EventID],N(IF(MATCH(MainData[EventID],MainData[EventID],0)=ROW(MainData[EventID])-ROW(MainData[#Headers]),MainData[EventID],0)))&gt;0,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17" s="28"/>
      <c r="U17" s="102" cm="1">
        <f t="array" ref="U17">SUM(
             IF(
                  COUNTIFS(MainData[Date],"&gt;="&amp;U$7,MainData[Date],"&lt;="&amp;U$8,MainData[Category],"Beverage",MainData[Product],"Liquor",MainData[EventID],N(IF(MATCH(MainData[EventID],MainData[EventID],0)=ROW(MainData[EventID])-ROW(MainData[#Headers]),MainData[EventID],0)))&gt;0,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17" s="28"/>
      <c r="W17" s="102" cm="1">
        <f t="array" ref="W17">SUM(
             IF(
                  COUNTIFS(MainData[Date],"&gt;="&amp;W$7,MainData[Date],"&lt;="&amp;W$8,MainData[Category],"Beverage",MainData[Product],"Liquor",MainData[EventID],N(IF(MATCH(MainData[EventID],MainData[EventID],0)=ROW(MainData[EventID])-ROW(MainData[#Headers]),MainData[EventID],0)))&gt;0,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17" s="28"/>
      <c r="Y17" s="102" cm="1">
        <f t="array" ref="Y17">SUM(
             IF(
                  COUNTIFS(MainData[Date],"&gt;="&amp;Y$7,MainData[Date],"&lt;="&amp;Y$8,MainData[Category],"Beverage",MainData[Product],"Liquor",MainData[EventID],N(IF(MATCH(MainData[EventID],MainData[EventID],0)=ROW(MainData[EventID])-ROW(MainData[#Headers]),MainData[EventID],0)))&gt;0,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17" s="28"/>
      <c r="AA17" s="102" cm="1">
        <f t="array" ref="AA17">SUM(
             IF(
                  COUNTIFS(MainData[Date],"&gt;="&amp;AA$7,MainData[Date],"&lt;="&amp;AA$8,MainData[Category],"Beverage",MainData[Product],"Liquor",MainData[EventID],N(IF(MATCH(MainData[EventID],MainData[EventID],0)=ROW(MainData[EventID])-ROW(MainData[#Headers]),MainData[EventID],0)))&gt;0,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17" s="28"/>
      <c r="AC17" s="102" cm="1">
        <f t="array" ref="AC17">SUM(
             IF(
                  COUNTIFS(MainData[Date],"&gt;="&amp;AC$7,MainData[Date],"&lt;="&amp;AC$8,MainData[Category],"Beverage",MainData[Product],"Liquor",MainData[EventID],N(IF(MATCH(MainData[EventID],MainData[EventID],0)=ROW(MainData[EventID])-ROW(MainData[#Headers]),MainData[EventID],0)))&gt;0,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17" s="29"/>
      <c r="AE17" s="24"/>
      <c r="AF17" s="102">
        <f>SUM(E17,G17,I17,K17,M17,O17,Q17,S17,U17,W17,Y17,AA17,AC17)</f>
        <v>203</v>
      </c>
    </row>
    <row r="18" spans="2:32" x14ac:dyDescent="0.25">
      <c r="B18" s="205"/>
      <c r="C18" s="40" t="s">
        <v>25</v>
      </c>
      <c r="E18" s="103" cm="1">
        <f t="array" ref="E18">SUM(
             IF(
                  COUNTIFS(MainData[Date],"&gt;="&amp;E$7,MainData[Date],"&lt;="&amp;E$8,MainData[Category],"Beverage",MainData[Product],"Wine",MainData[EventID],N(IF(MATCH(MainData[EventID],MainData[EventID],0)=ROW(MainData[EventID])-ROW(MainData[#Headers]),MainData[EventID],0)))&gt;0,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125</v>
      </c>
      <c r="F18" s="28"/>
      <c r="G18" s="103" cm="1">
        <f t="array" ref="G18">SUM(
             IF(
                  COUNTIFS(MainData[Date],"&gt;="&amp;G$7,MainData[Date],"&lt;="&amp;G$8,MainData[Category],"Beverage",MainData[Product],"Wine",MainData[EventID],N(IF(MATCH(MainData[EventID],MainData[EventID],0)=ROW(MainData[EventID])-ROW(MainData[#Headers]),MainData[EventID],0)))&gt;0,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138</v>
      </c>
      <c r="H18" s="28"/>
      <c r="I18" s="103" cm="1">
        <f t="array" ref="I18">SUM(
             IF(
                  COUNTIFS(MainData[Date],"&gt;="&amp;I$7,MainData[Date],"&lt;="&amp;I$8,MainData[Category],"Beverage",MainData[Product],"Wine",MainData[EventID],N(IF(MATCH(MainData[EventID],MainData[EventID],0)=ROW(MainData[EventID])-ROW(MainData[#Headers]),MainData[EventID],0)))&gt;0,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J18" s="28"/>
      <c r="K18" s="103" cm="1">
        <f t="array" ref="K18">SUM(
             IF(
                  COUNTIFS(MainData[Date],"&gt;="&amp;K$7,MainData[Date],"&lt;="&amp;K$8,MainData[Category],"Beverage",MainData[Product],"Wine",MainData[EventID],N(IF(MATCH(MainData[EventID],MainData[EventID],0)=ROW(MainData[EventID])-ROW(MainData[#Headers]),MainData[EventID],0)))&gt;0,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18" s="28"/>
      <c r="M18" s="103" cm="1">
        <f t="array" ref="M18">SUM(
             IF(
                  COUNTIFS(MainData[Date],"&gt;="&amp;M$7,MainData[Date],"&lt;="&amp;M$8,MainData[Category],"Beverage",MainData[Product],"Wine",MainData[EventID],N(IF(MATCH(MainData[EventID],MainData[EventID],0)=ROW(MainData[EventID])-ROW(MainData[#Headers]),MainData[EventID],0)))&gt;0,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18" s="28"/>
      <c r="O18" s="103" cm="1">
        <f t="array" ref="O18">SUM(
             IF(
                  COUNTIFS(MainData[Date],"&gt;="&amp;O$7,MainData[Date],"&lt;="&amp;O$8,MainData[Category],"Beverage",MainData[Product],"Wine",MainData[EventID],N(IF(MATCH(MainData[EventID],MainData[EventID],0)=ROW(MainData[EventID])-ROW(MainData[#Headers]),MainData[EventID],0)))&gt;0,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18" s="28"/>
      <c r="Q18" s="103" cm="1">
        <f t="array" ref="Q18">SUM(
             IF(
                  COUNTIFS(MainData[Date],"&gt;="&amp;Q$7,MainData[Date],"&lt;="&amp;Q$8,MainData[Category],"Beverage",MainData[Product],"Wine",MainData[EventID],N(IF(MATCH(MainData[EventID],MainData[EventID],0)=ROW(MainData[EventID])-ROW(MainData[#Headers]),MainData[EventID],0)))&gt;0,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18" s="28"/>
      <c r="S18" s="103" cm="1">
        <f t="array" ref="S18">SUM(
             IF(
                  COUNTIFS(MainData[Date],"&gt;="&amp;S$7,MainData[Date],"&lt;="&amp;S$8,MainData[Category],"Beverage",MainData[Product],"Wine",MainData[EventID],N(IF(MATCH(MainData[EventID],MainData[EventID],0)=ROW(MainData[EventID])-ROW(MainData[#Headers]),MainData[EventID],0)))&gt;0,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18" s="28"/>
      <c r="U18" s="103" cm="1">
        <f t="array" ref="U18">SUM(
             IF(
                  COUNTIFS(MainData[Date],"&gt;="&amp;U$7,MainData[Date],"&lt;="&amp;U$8,MainData[Category],"Beverage",MainData[Product],"Wine",MainData[EventID],N(IF(MATCH(MainData[EventID],MainData[EventID],0)=ROW(MainData[EventID])-ROW(MainData[#Headers]),MainData[EventID],0)))&gt;0,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18" s="28"/>
      <c r="W18" s="103" cm="1">
        <f t="array" ref="W18">SUM(
             IF(
                  COUNTIFS(MainData[Date],"&gt;="&amp;W$7,MainData[Date],"&lt;="&amp;W$8,MainData[Category],"Beverage",MainData[Product],"Wine",MainData[EventID],N(IF(MATCH(MainData[EventID],MainData[EventID],0)=ROW(MainData[EventID])-ROW(MainData[#Headers]),MainData[EventID],0)))&gt;0,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18" s="28"/>
      <c r="Y18" s="103" cm="1">
        <f t="array" ref="Y18">SUM(
             IF(
                  COUNTIFS(MainData[Date],"&gt;="&amp;Y$7,MainData[Date],"&lt;="&amp;Y$8,MainData[Category],"Beverage",MainData[Product],"Wine",MainData[EventID],N(IF(MATCH(MainData[EventID],MainData[EventID],0)=ROW(MainData[EventID])-ROW(MainData[#Headers]),MainData[EventID],0)))&gt;0,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18" s="28"/>
      <c r="AA18" s="103" cm="1">
        <f t="array" ref="AA18">SUM(
             IF(
                  COUNTIFS(MainData[Date],"&gt;="&amp;AA$7,MainData[Date],"&lt;="&amp;AA$8,MainData[Category],"Beverage",MainData[Product],"Wine",MainData[EventID],N(IF(MATCH(MainData[EventID],MainData[EventID],0)=ROW(MainData[EventID])-ROW(MainData[#Headers]),MainData[EventID],0)))&gt;0,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18" s="28"/>
      <c r="AC18" s="103" cm="1">
        <f t="array" ref="AC18">SUM(
             IF(
                  COUNTIFS(MainData[Date],"&gt;="&amp;AC$7,MainData[Date],"&lt;="&amp;AC$8,MainData[Category],"Beverage",MainData[Product],"Wine",MainData[EventID],N(IF(MATCH(MainData[EventID],MainData[EventID],0)=ROW(MainData[EventID])-ROW(MainData[#Headers]),MainData[EventID],0)))&gt;0,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18" s="29"/>
      <c r="AE18" s="24"/>
      <c r="AF18" s="103">
        <f>SUM(E18,G18,I18,K18,M18,O18,Q18,S18,U18,W18,Y18,AA18,AC18)</f>
        <v>263</v>
      </c>
    </row>
    <row r="19" spans="2:32" x14ac:dyDescent="0.25">
      <c r="B19" s="205"/>
      <c r="C19" s="40" t="s">
        <v>35</v>
      </c>
      <c r="E19" s="104" cm="1">
        <f t="array" ref="E19">SUM(
             IF(
                  COUNTIFS(MainData[Date],"&gt;="&amp;E$7,MainData[Date],"&lt;="&amp;E$8,MainData[Category],"Beverage",MainData[Product],"Beer",MainData[EventID],N(IF(MATCH(MainData[EventID],MainData[EventID],0)=ROW(MainData[EventID])-ROW(MainData[#Headers]),MainData[EventID],0)))&gt;0,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118</v>
      </c>
      <c r="F19" s="28"/>
      <c r="G19" s="104" cm="1">
        <f t="array" ref="G19">SUM(
             IF(
                  COUNTIFS(MainData[Date],"&gt;="&amp;G$7,MainData[Date],"&lt;="&amp;G$8,MainData[Category],"Beverage",MainData[Product],"Beer",MainData[EventID],N(IF(MATCH(MainData[EventID],MainData[EventID],0)=ROW(MainData[EventID])-ROW(MainData[#Headers]),MainData[EventID],0)))&gt;0,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130</v>
      </c>
      <c r="H19" s="28"/>
      <c r="I19" s="104" cm="1">
        <f t="array" ref="I19">SUM(
             IF(
                  COUNTIFS(MainData[Date],"&gt;="&amp;I$7,MainData[Date],"&lt;="&amp;I$8,MainData[Category],"Beverage",MainData[Product],"Beer",MainData[EventID],N(IF(MATCH(MainData[EventID],MainData[EventID],0)=ROW(MainData[EventID])-ROW(MainData[#Headers]),MainData[EventID],0)))&gt;0,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J19" s="28"/>
      <c r="K19" s="104" cm="1">
        <f t="array" ref="K19">SUM(
             IF(
                  COUNTIFS(MainData[Date],"&gt;="&amp;K$7,MainData[Date],"&lt;="&amp;K$8,MainData[Category],"Beverage",MainData[Product],"Beer",MainData[EventID],N(IF(MATCH(MainData[EventID],MainData[EventID],0)=ROW(MainData[EventID])-ROW(MainData[#Headers]),MainData[EventID],0)))&gt;0,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19" s="28"/>
      <c r="M19" s="104" cm="1">
        <f t="array" ref="M19">SUM(
             IF(
                  COUNTIFS(MainData[Date],"&gt;="&amp;M$7,MainData[Date],"&lt;="&amp;M$8,MainData[Category],"Beverage",MainData[Product],"Beer",MainData[EventID],N(IF(MATCH(MainData[EventID],MainData[EventID],0)=ROW(MainData[EventID])-ROW(MainData[#Headers]),MainData[EventID],0)))&gt;0,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19" s="28"/>
      <c r="O19" s="104" cm="1">
        <f t="array" ref="O19">SUM(
             IF(
                  COUNTIFS(MainData[Date],"&gt;="&amp;O$7,MainData[Date],"&lt;="&amp;O$8,MainData[Category],"Beverage",MainData[Product],"Beer",MainData[EventID],N(IF(MATCH(MainData[EventID],MainData[EventID],0)=ROW(MainData[EventID])-ROW(MainData[#Headers]),MainData[EventID],0)))&gt;0,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19" s="28"/>
      <c r="Q19" s="104" cm="1">
        <f t="array" ref="Q19">SUM(
             IF(
                  COUNTIFS(MainData[Date],"&gt;="&amp;Q$7,MainData[Date],"&lt;="&amp;Q$8,MainData[Category],"Beverage",MainData[Product],"Beer",MainData[EventID],N(IF(MATCH(MainData[EventID],MainData[EventID],0)=ROW(MainData[EventID])-ROW(MainData[#Headers]),MainData[EventID],0)))&gt;0,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19" s="28"/>
      <c r="S19" s="104" cm="1">
        <f t="array" ref="S19">SUM(
             IF(
                  COUNTIFS(MainData[Date],"&gt;="&amp;S$7,MainData[Date],"&lt;="&amp;S$8,MainData[Category],"Beverage",MainData[Product],"Beer",MainData[EventID],N(IF(MATCH(MainData[EventID],MainData[EventID],0)=ROW(MainData[EventID])-ROW(MainData[#Headers]),MainData[EventID],0)))&gt;0,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19" s="28"/>
      <c r="U19" s="104" cm="1">
        <f t="array" ref="U19">SUM(
             IF(
                  COUNTIFS(MainData[Date],"&gt;="&amp;U$7,MainData[Date],"&lt;="&amp;U$8,MainData[Category],"Beverage",MainData[Product],"Beer",MainData[EventID],N(IF(MATCH(MainData[EventID],MainData[EventID],0)=ROW(MainData[EventID])-ROW(MainData[#Headers]),MainData[EventID],0)))&gt;0,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19" s="28"/>
      <c r="W19" s="104" cm="1">
        <f t="array" ref="W19">SUM(
             IF(
                  COUNTIFS(MainData[Date],"&gt;="&amp;W$7,MainData[Date],"&lt;="&amp;W$8,MainData[Category],"Beverage",MainData[Product],"Beer",MainData[EventID],N(IF(MATCH(MainData[EventID],MainData[EventID],0)=ROW(MainData[EventID])-ROW(MainData[#Headers]),MainData[EventID],0)))&gt;0,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19" s="28"/>
      <c r="Y19" s="104" cm="1">
        <f t="array" ref="Y19">SUM(
             IF(
                  COUNTIFS(MainData[Date],"&gt;="&amp;Y$7,MainData[Date],"&lt;="&amp;Y$8,MainData[Category],"Beverage",MainData[Product],"Beer",MainData[EventID],N(IF(MATCH(MainData[EventID],MainData[EventID],0)=ROW(MainData[EventID])-ROW(MainData[#Headers]),MainData[EventID],0)))&gt;0,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19" s="28"/>
      <c r="AA19" s="104" cm="1">
        <f t="array" ref="AA19">SUM(
             IF(
                  COUNTIFS(MainData[Date],"&gt;="&amp;AA$7,MainData[Date],"&lt;="&amp;AA$8,MainData[Category],"Beverage",MainData[Product],"Beer",MainData[EventID],N(IF(MATCH(MainData[EventID],MainData[EventID],0)=ROW(MainData[EventID])-ROW(MainData[#Headers]),MainData[EventID],0)))&gt;0,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19" s="28"/>
      <c r="AC19" s="104" cm="1">
        <f t="array" ref="AC19">SUM(
             IF(
                  COUNTIFS(MainData[Date],"&gt;="&amp;AC$7,MainData[Date],"&lt;="&amp;AC$8,MainData[Category],"Beverage",MainData[Product],"Beer",MainData[EventID],N(IF(MATCH(MainData[EventID],MainData[EventID],0)=ROW(MainData[EventID])-ROW(MainData[#Headers]),MainData[EventID],0)))&gt;0,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19" s="29"/>
      <c r="AE19" s="24"/>
      <c r="AF19" s="104">
        <f>SUM(E19,G19,I19,K19,M19,O19,Q19,S19,U19,W19,Y19,AA19,AC19)</f>
        <v>248</v>
      </c>
    </row>
    <row r="20" spans="2:32" x14ac:dyDescent="0.25">
      <c r="B20" s="205"/>
      <c r="C20" s="40" t="s">
        <v>65</v>
      </c>
      <c r="E20" s="103" cm="1">
        <f t="array" ref="E20">SUM(
             IF(
                  COUNTIFS(MainData[Date],"&gt;="&amp;E$7,MainData[Date],"&lt;="&amp;E$8,MainData[Category],"Beverage",MainData[Product],"SoftDrink",MainData[EventID],N(IF(MATCH(MainData[EventID],MainData[EventID],0)=ROW(MainData[EventID])-ROW(MainData[#Headers]),MainData[EventID],0)))&gt;0,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118</v>
      </c>
      <c r="F20" s="28"/>
      <c r="G20" s="103" cm="1">
        <f t="array" ref="G20">SUM(
             IF(
                  COUNTIFS(MainData[Date],"&gt;="&amp;G$7,MainData[Date],"&lt;="&amp;G$8,MainData[Category],"Beverage",MainData[Product],"SoftDrink",MainData[EventID],N(IF(MATCH(MainData[EventID],MainData[EventID],0)=ROW(MainData[EventID])-ROW(MainData[#Headers]),MainData[EventID],0)))&gt;0,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130</v>
      </c>
      <c r="H20" s="28"/>
      <c r="I20" s="103" cm="1">
        <f t="array" ref="I20">SUM(
             IF(
                  COUNTIFS(MainData[Date],"&gt;="&amp;I$7,MainData[Date],"&lt;="&amp;I$8,MainData[Category],"Beverage",MainData[Product],"SoftDrink",MainData[EventID],N(IF(MATCH(MainData[EventID],MainData[EventID],0)=ROW(MainData[EventID])-ROW(MainData[#Headers]),MainData[EventID],0)))&gt;0,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J20" s="28"/>
      <c r="K20" s="103" cm="1">
        <f t="array" ref="K20">SUM(
             IF(
                  COUNTIFS(MainData[Date],"&gt;="&amp;K$7,MainData[Date],"&lt;="&amp;K$8,MainData[Category],"Beverage",MainData[Product],"SoftDrink",MainData[EventID],N(IF(MATCH(MainData[EventID],MainData[EventID],0)=ROW(MainData[EventID])-ROW(MainData[#Headers]),MainData[EventID],0)))&gt;0,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20" s="28"/>
      <c r="M20" s="103" cm="1">
        <f t="array" ref="M20">SUM(
             IF(
                  COUNTIFS(MainData[Date],"&gt;="&amp;M$7,MainData[Date],"&lt;="&amp;M$8,MainData[Category],"Beverage",MainData[Product],"SoftDrink",MainData[EventID],N(IF(MATCH(MainData[EventID],MainData[EventID],0)=ROW(MainData[EventID])-ROW(MainData[#Headers]),MainData[EventID],0)))&gt;0,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20" s="28"/>
      <c r="O20" s="103" cm="1">
        <f t="array" ref="O20">SUM(
             IF(
                  COUNTIFS(MainData[Date],"&gt;="&amp;O$7,MainData[Date],"&lt;="&amp;O$8,MainData[Category],"Beverage",MainData[Product],"SoftDrink",MainData[EventID],N(IF(MATCH(MainData[EventID],MainData[EventID],0)=ROW(MainData[EventID])-ROW(MainData[#Headers]),MainData[EventID],0)))&gt;0,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20" s="28"/>
      <c r="Q20" s="103" cm="1">
        <f t="array" ref="Q20">SUM(
             IF(
                  COUNTIFS(MainData[Date],"&gt;="&amp;Q$7,MainData[Date],"&lt;="&amp;Q$8,MainData[Category],"Beverage",MainData[Product],"SoftDrink",MainData[EventID],N(IF(MATCH(MainData[EventID],MainData[EventID],0)=ROW(MainData[EventID])-ROW(MainData[#Headers]),MainData[EventID],0)))&gt;0,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20" s="28"/>
      <c r="S20" s="103" cm="1">
        <f t="array" ref="S20">SUM(
             IF(
                  COUNTIFS(MainData[Date],"&gt;="&amp;S$7,MainData[Date],"&lt;="&amp;S$8,MainData[Category],"Beverage",MainData[Product],"SoftDrink",MainData[EventID],N(IF(MATCH(MainData[EventID],MainData[EventID],0)=ROW(MainData[EventID])-ROW(MainData[#Headers]),MainData[EventID],0)))&gt;0,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20" s="28"/>
      <c r="U20" s="103" cm="1">
        <f t="array" ref="U20">SUM(
             IF(
                  COUNTIFS(MainData[Date],"&gt;="&amp;U$7,MainData[Date],"&lt;="&amp;U$8,MainData[Category],"Beverage",MainData[Product],"SoftDrink",MainData[EventID],N(IF(MATCH(MainData[EventID],MainData[EventID],0)=ROW(MainData[EventID])-ROW(MainData[#Headers]),MainData[EventID],0)))&gt;0,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20" s="28"/>
      <c r="W20" s="103" cm="1">
        <f t="array" ref="W20">SUM(
             IF(
                  COUNTIFS(MainData[Date],"&gt;="&amp;W$7,MainData[Date],"&lt;="&amp;W$8,MainData[Category],"Beverage",MainData[Product],"SoftDrink",MainData[EventID],N(IF(MATCH(MainData[EventID],MainData[EventID],0)=ROW(MainData[EventID])-ROW(MainData[#Headers]),MainData[EventID],0)))&gt;0,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20" s="28"/>
      <c r="Y20" s="103" cm="1">
        <f t="array" ref="Y20">SUM(
             IF(
                  COUNTIFS(MainData[Date],"&gt;="&amp;Y$7,MainData[Date],"&lt;="&amp;Y$8,MainData[Category],"Beverage",MainData[Product],"SoftDrink",MainData[EventID],N(IF(MATCH(MainData[EventID],MainData[EventID],0)=ROW(MainData[EventID])-ROW(MainData[#Headers]),MainData[EventID],0)))&gt;0,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20" s="28"/>
      <c r="AA20" s="103" cm="1">
        <f t="array" ref="AA20">SUM(
             IF(
                  COUNTIFS(MainData[Date],"&gt;="&amp;AA$7,MainData[Date],"&lt;="&amp;AA$8,MainData[Category],"Beverage",MainData[Product],"SoftDrink",MainData[EventID],N(IF(MATCH(MainData[EventID],MainData[EventID],0)=ROW(MainData[EventID])-ROW(MainData[#Headers]),MainData[EventID],0)))&gt;0,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20" s="28"/>
      <c r="AC20" s="103" cm="1">
        <f t="array" ref="AC20">SUM(
             IF(
                  COUNTIFS(MainData[Date],"&gt;="&amp;AC$7,MainData[Date],"&lt;="&amp;AC$8,MainData[Category],"Beverage",MainData[Product],"SoftDrink",MainData[EventID],N(IF(MATCH(MainData[EventID],MainData[EventID],0)=ROW(MainData[EventID])-ROW(MainData[#Headers]),MainData[EventID],0)))&gt;0,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20" s="29"/>
      <c r="AE20" s="24"/>
      <c r="AF20" s="103">
        <f>SUM(E20,G20,I20,K20,M20,O20,Q20,S20,U20,W20,Y20,AA20,AC20)</f>
        <v>248</v>
      </c>
    </row>
    <row r="21" spans="2:32" x14ac:dyDescent="0.25">
      <c r="B21" s="205"/>
      <c r="C21" s="40" t="s">
        <v>24</v>
      </c>
      <c r="E21" s="106" cm="1">
        <f t="array" ref="E21">SUM(
             IF(
                  COUNTIFS(MainData[Date],"&gt;="&amp;E$7,MainData[Date],"&lt;="&amp;E$8,MainData[Category],"Beverage",MainData[Product],"&lt;&gt;"&amp;"Liquor",MainData[Product],"&lt;&gt;"&amp;"Wine",MainData[Product],"&lt;&gt;"&amp;"Beer",MainData[Product],"&lt;&gt;"&amp;"SoftDrink",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4</v>
      </c>
      <c r="F21" s="32"/>
      <c r="G21" s="106" cm="1">
        <f t="array" ref="G21">SUM(
             IF(
                  COUNTIFS(MainData[Date],"&gt;="&amp;G$7,MainData[Date],"&lt;="&amp;G$8,MainData[Category],"Beverage",MainData[Product],"&lt;&gt;"&amp;"Liquor",MainData[Product],"&lt;&gt;"&amp;"Wine",MainData[Product],"&lt;&gt;"&amp;"Beer",MainData[Product],"&lt;&gt;"&amp;"SoftDrink",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H21" s="32"/>
      <c r="I21" s="106" cm="1">
        <f t="array" ref="I21">SUM(
             IF(
                  COUNTIFS(MainData[Date],"&gt;="&amp;I$7,MainData[Date],"&lt;="&amp;I$8,MainData[Category],"Beverage",MainData[Product],"&lt;&gt;"&amp;"Liquor",MainData[Product],"&lt;&gt;"&amp;"Wine",MainData[Product],"&lt;&gt;"&amp;"Beer",MainData[Product],"&lt;&gt;"&amp;"SoftDrink",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J21" s="32"/>
      <c r="K21" s="106" cm="1">
        <f t="array" ref="K21">SUM(
             IF(
                  COUNTIFS(MainData[Date],"&gt;="&amp;K$7,MainData[Date],"&lt;="&amp;K$8,MainData[Category],"Beverage",MainData[Product],"&lt;&gt;"&amp;"Liquor",MainData[Product],"&lt;&gt;"&amp;"Wine",MainData[Product],"&lt;&gt;"&amp;"Beer",MainData[Product],"&lt;&gt;"&amp;"SoftDrink",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21" s="32"/>
      <c r="M21" s="106" cm="1">
        <f t="array" ref="M21">SUM(
             IF(
                  COUNTIFS(MainData[Date],"&gt;="&amp;M$7,MainData[Date],"&lt;="&amp;M$8,MainData[Category],"Beverage",MainData[Product],"&lt;&gt;"&amp;"Liquor",MainData[Product],"&lt;&gt;"&amp;"Wine",MainData[Product],"&lt;&gt;"&amp;"Beer",MainData[Product],"&lt;&gt;"&amp;"SoftDrink",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21" s="32"/>
      <c r="O21" s="106" cm="1">
        <f t="array" ref="O21">SUM(
             IF(
                  COUNTIFS(MainData[Date],"&gt;="&amp;O$7,MainData[Date],"&lt;="&amp;O$8,MainData[Category],"Beverage",MainData[Product],"&lt;&gt;"&amp;"Liquor",MainData[Product],"&lt;&gt;"&amp;"Wine",MainData[Product],"&lt;&gt;"&amp;"Beer",MainData[Product],"&lt;&gt;"&amp;"SoftDrink",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21" s="32"/>
      <c r="Q21" s="106" cm="1">
        <f t="array" ref="Q21">SUM(
             IF(
                  COUNTIFS(MainData[Date],"&gt;="&amp;Q$7,MainData[Date],"&lt;="&amp;Q$8,MainData[Category],"Beverage",MainData[Product],"&lt;&gt;"&amp;"Liquor",MainData[Product],"&lt;&gt;"&amp;"Wine",MainData[Product],"&lt;&gt;"&amp;"Beer",MainData[Product],"&lt;&gt;"&amp;"SoftDrink",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21" s="32"/>
      <c r="S21" s="106" cm="1">
        <f t="array" ref="S21">SUM(
             IF(
                  COUNTIFS(MainData[Date],"&gt;="&amp;S$7,MainData[Date],"&lt;="&amp;S$8,MainData[Category],"Beverage",MainData[Product],"&lt;&gt;"&amp;"Liquor",MainData[Product],"&lt;&gt;"&amp;"Wine",MainData[Product],"&lt;&gt;"&amp;"Beer",MainData[Product],"&lt;&gt;"&amp;"SoftDrink",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21" s="32"/>
      <c r="U21" s="106" cm="1">
        <f t="array" ref="U21">SUM(
             IF(
                  COUNTIFS(MainData[Date],"&gt;="&amp;U$7,MainData[Date],"&lt;="&amp;U$8,MainData[Category],"Beverage",MainData[Product],"&lt;&gt;"&amp;"Liquor",MainData[Product],"&lt;&gt;"&amp;"Wine",MainData[Product],"&lt;&gt;"&amp;"Beer",MainData[Product],"&lt;&gt;"&amp;"SoftDrink",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21" s="32"/>
      <c r="W21" s="106" cm="1">
        <f t="array" ref="W21">SUM(
             IF(
                  COUNTIFS(MainData[Date],"&gt;="&amp;W$7,MainData[Date],"&lt;="&amp;W$8,MainData[Category],"Beverage",MainData[Product],"&lt;&gt;"&amp;"Liquor",MainData[Product],"&lt;&gt;"&amp;"Wine",MainData[Product],"&lt;&gt;"&amp;"Beer",MainData[Product],"&lt;&gt;"&amp;"SoftDrink",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21" s="32"/>
      <c r="Y21" s="106" cm="1">
        <f t="array" ref="Y21">SUM(
             IF(
                  COUNTIFS(MainData[Date],"&gt;="&amp;Y$7,MainData[Date],"&lt;="&amp;Y$8,MainData[Category],"Beverage",MainData[Product],"&lt;&gt;"&amp;"Liquor",MainData[Product],"&lt;&gt;"&amp;"Wine",MainData[Product],"&lt;&gt;"&amp;"Beer",MainData[Product],"&lt;&gt;"&amp;"SoftDrink",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21" s="32"/>
      <c r="AA21" s="106" cm="1">
        <f t="array" ref="AA21">SUM(
             IF(
                  COUNTIFS(MainData[Date],"&gt;="&amp;AA$7,MainData[Date],"&lt;="&amp;AA$8,MainData[Category],"Beverage",MainData[Product],"&lt;&gt;"&amp;"Liquor",MainData[Product],"&lt;&gt;"&amp;"Wine",MainData[Product],"&lt;&gt;"&amp;"Beer",MainData[Product],"&lt;&gt;"&amp;"SoftDrink",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21" s="32"/>
      <c r="AC21" s="106" cm="1">
        <f t="array" ref="AC21">SUM(
             IF(
                  COUNTIFS(MainData[Date],"&gt;="&amp;AC$7,MainData[Date],"&lt;="&amp;AC$8,MainData[Category],"Beverage",MainData[Product],"&lt;&gt;"&amp;"Liquor",MainData[Product],"&lt;&gt;"&amp;"Wine",MainData[Product],"&lt;&gt;"&amp;"Beer",MainData[Product],"&lt;&gt;"&amp;"SoftDrink",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21" s="32"/>
      <c r="AE21" s="33"/>
      <c r="AF21" s="106">
        <f>SUM(E21,G21,I21,K21,M21,O21,Q21,S21,U21,W21,Y21,AA21,AC21)</f>
        <v>4</v>
      </c>
    </row>
    <row r="22" spans="2:32" x14ac:dyDescent="0.25">
      <c r="E22" s="39"/>
      <c r="G22" s="39"/>
      <c r="I22" s="39"/>
      <c r="K22" s="39"/>
      <c r="M22" s="39"/>
      <c r="O22" s="39"/>
      <c r="Q22" s="39"/>
      <c r="S22" s="39"/>
      <c r="U22" s="39"/>
      <c r="W22" s="39"/>
      <c r="Y22" s="39"/>
      <c r="AA22" s="39"/>
      <c r="AC22" s="39"/>
      <c r="AF22" s="39"/>
    </row>
    <row r="23" spans="2:32" ht="15" customHeight="1" x14ac:dyDescent="0.25"/>
    <row r="24" spans="2:32" ht="15" customHeight="1" x14ac:dyDescent="0.25">
      <c r="B24" s="205" t="s">
        <v>238</v>
      </c>
      <c r="C24" s="40" t="s">
        <v>1</v>
      </c>
      <c r="E24" s="102" cm="1">
        <f t="array" ref="E24">SUM(
             IF(
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)
             )</f>
        <v>130</v>
      </c>
      <c r="F24" s="28">
        <v>0.01</v>
      </c>
      <c r="G24" s="102" cm="1">
        <f t="array" ref="G24">SUM(
             IF(
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)
             )</f>
        <v>139</v>
      </c>
      <c r="H24" s="28"/>
      <c r="I24" s="102" cm="1">
        <f t="array" ref="I24">SUM(
             IF(
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)
             )</f>
        <v>0</v>
      </c>
      <c r="J24" s="28"/>
      <c r="K24" s="102" cm="1">
        <f t="array" ref="K24">SUM(
             IF(
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)
             )</f>
        <v>0</v>
      </c>
      <c r="L24" s="28"/>
      <c r="M24" s="102" cm="1">
        <f t="array" ref="M24">SUM(
             IF(
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)
             )</f>
        <v>0</v>
      </c>
      <c r="N24" s="28"/>
      <c r="O24" s="102" cm="1">
        <f t="array" ref="O24">SUM(
             IF(
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)
             )</f>
        <v>0</v>
      </c>
      <c r="P24" s="28"/>
      <c r="Q24" s="102" cm="1">
        <f t="array" ref="Q24">SUM(
             IF(
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)
             )</f>
        <v>0</v>
      </c>
      <c r="R24" s="28"/>
      <c r="S24" s="102" cm="1">
        <f t="array" ref="S24">SUM(
             IF(
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)
             )</f>
        <v>0</v>
      </c>
      <c r="T24" s="28"/>
      <c r="U24" s="102" cm="1">
        <f t="array" ref="U24">SUM(
             IF(
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)
             )</f>
        <v>0</v>
      </c>
      <c r="V24" s="28"/>
      <c r="W24" s="102" cm="1">
        <f t="array" ref="W24">SUM(
             IF(
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)
             )</f>
        <v>0</v>
      </c>
      <c r="X24" s="28"/>
      <c r="Y24" s="102" cm="1">
        <f t="array" ref="Y24">SUM(
             IF(
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)
             )</f>
        <v>0</v>
      </c>
      <c r="Z24" s="28"/>
      <c r="AA24" s="102" cm="1">
        <f t="array" ref="AA24">SUM(
             IF(
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)
             )</f>
        <v>0</v>
      </c>
      <c r="AB24" s="28"/>
      <c r="AC24" s="102" cm="1">
        <f t="array" ref="AC24">SUM(
             IF(
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)
             )</f>
        <v>0</v>
      </c>
      <c r="AD24" s="29"/>
      <c r="AE24" s="24"/>
      <c r="AF24" s="102">
        <f>SUM(E24,G24,I24,K24,M24,O24,Q24,S24,U24,W24,Y24,AA24,AC24)</f>
        <v>269</v>
      </c>
    </row>
    <row r="25" spans="2:32" ht="15" customHeight="1" x14ac:dyDescent="0.25">
      <c r="B25" s="205"/>
      <c r="C25" s="40" t="s">
        <v>534</v>
      </c>
      <c r="E25" s="103">
        <f>SUMIFS(MainData[Quantity],MainData[Date],"&gt;="&amp;E$7,MainData[Date],"&lt;="&amp;E$8,MainData[Category],"Beverage",MainData[Billable?],"Y")</f>
        <v>458</v>
      </c>
      <c r="F25" s="28"/>
      <c r="G25" s="103">
        <f>SUMIFS(MainData[Quantity],MainData[Date],"&gt;="&amp;G$7,MainData[Date],"&lt;="&amp;G$8,MainData[Category],"Beverage",MainData[Billable?],"Y")</f>
        <v>496</v>
      </c>
      <c r="H25" s="28"/>
      <c r="I25" s="103">
        <f>SUMIFS(MainData[Quantity],MainData[Date],"&gt;="&amp;I$7,MainData[Date],"&lt;="&amp;I$8,MainData[Category],"Beverage",MainData[Billable?],"Y")</f>
        <v>0</v>
      </c>
      <c r="J25" s="28"/>
      <c r="K25" s="103">
        <f>SUMIFS(MainData[Quantity],MainData[Date],"&gt;="&amp;K$7,MainData[Date],"&lt;="&amp;K$8,MainData[Category],"Beverage",MainData[Billable?],"Y")</f>
        <v>0</v>
      </c>
      <c r="L25" s="28"/>
      <c r="M25" s="103">
        <f>SUMIFS(MainData[Quantity],MainData[Date],"&gt;="&amp;M$7,MainData[Date],"&lt;="&amp;M$8,MainData[Category],"Beverage",MainData[Billable?],"Y")</f>
        <v>0</v>
      </c>
      <c r="N25" s="28"/>
      <c r="O25" s="103">
        <f>SUMIFS(MainData[Quantity],MainData[Date],"&gt;="&amp;O$7,MainData[Date],"&lt;="&amp;O$8,MainData[Category],"Beverage",MainData[Billable?],"Y")</f>
        <v>0</v>
      </c>
      <c r="P25" s="28"/>
      <c r="Q25" s="103">
        <f>SUMIFS(MainData[Quantity],MainData[Date],"&gt;="&amp;Q$7,MainData[Date],"&lt;="&amp;Q$8,MainData[Category],"Beverage",MainData[Billable?],"Y")</f>
        <v>0</v>
      </c>
      <c r="R25" s="28"/>
      <c r="S25" s="103">
        <f>SUMIFS(MainData[Quantity],MainData[Date],"&gt;="&amp;S$7,MainData[Date],"&lt;="&amp;S$8,MainData[Category],"Beverage",MainData[Billable?],"Y")</f>
        <v>0</v>
      </c>
      <c r="T25" s="28"/>
      <c r="U25" s="103">
        <f>SUMIFS(MainData[Quantity],MainData[Date],"&gt;="&amp;U$7,MainData[Date],"&lt;="&amp;U$8,MainData[Category],"Beverage",MainData[Billable?],"Y")</f>
        <v>0</v>
      </c>
      <c r="V25" s="28"/>
      <c r="W25" s="103">
        <f>SUMIFS(MainData[Quantity],MainData[Date],"&gt;="&amp;W$7,MainData[Date],"&lt;="&amp;W$8,MainData[Category],"Beverage",MainData[Billable?],"Y")</f>
        <v>0</v>
      </c>
      <c r="X25" s="28"/>
      <c r="Y25" s="103">
        <f>SUMIFS(MainData[Quantity],MainData[Date],"&gt;="&amp;Y$7,MainData[Date],"&lt;="&amp;Y$8,MainData[Category],"Beverage",MainData[Billable?],"Y")</f>
        <v>0</v>
      </c>
      <c r="Z25" s="28"/>
      <c r="AA25" s="103">
        <f>SUMIFS(MainData[Quantity],MainData[Date],"&gt;="&amp;AA$7,MainData[Date],"&lt;="&amp;AA$8,MainData[Category],"Beverage",MainData[Billable?],"Y")</f>
        <v>0</v>
      </c>
      <c r="AB25" s="28"/>
      <c r="AC25" s="103">
        <f>SUMIFS(MainData[Quantity],MainData[Date],"&gt;="&amp;AC$7,MainData[Date],"&lt;="&amp;AC$8,MainData[Category],"Beverage",MainData[Billable?],"Y")</f>
        <v>0</v>
      </c>
      <c r="AD25" s="29"/>
      <c r="AE25" s="24"/>
      <c r="AF25" s="103">
        <f t="shared" ref="AF25:AF26" si="0">SUM(E25,G25,I25,K25,M25,O25,Q25,S25,U25,W25,Y25,AA25,AC25)</f>
        <v>954</v>
      </c>
    </row>
    <row r="26" spans="2:32" ht="15" customHeight="1" x14ac:dyDescent="0.25">
      <c r="B26" s="205"/>
      <c r="C26" s="40" t="s">
        <v>108</v>
      </c>
      <c r="E26" s="218" cm="1">
        <f t="array" ref="E26">SUM(
             IF(
                  _xlfn.MAXIFS(MainData[Item],MainData[Date],"&gt;="&amp;E$7,MainData[Date],"&lt;="&amp;E$8,MainData[Category],"Info",MainData[Product],"Guests",MainData[EventID],N(IF(MATCH(MainData[EventID],MainData[EventID],0)=ROW(MainData[EventID])-ROW(MainData[#Headers]),MainData[EventID],0)))&gt;0,
                  _xlfn.MAXIFS(MainData[Item],MainData[Date],"&gt;="&amp;E$7,MainData[Date],"&lt;="&amp;E$8,MainData[Category],"Info",MainData[Product],"Guests",MainData[EventID],N(IF(MATCH(MainData[EventID],MainData[EventID],0)=ROW(MainData[EventID])-ROW(MainData[#Headers]),MainData[EventID],0))),
                  _xlfn.MAXIFS(MainData[Item],MainData[Date],"&gt;="&amp;E$7,MainData[Date],"&lt;="&amp;E$8,MainData[Category],"Info",MainData[Product],"GTD",MainData[EventID],N(IF(MATCH(MainData[EventID],MainData[EventID],0)=ROW(MainData[EventID])-ROW(MainData[#Headers]),MainData[EventID],0)))
                  )
             )</f>
        <v>11982</v>
      </c>
      <c r="F26" s="28"/>
      <c r="G26" s="218" cm="1">
        <f t="array" ref="G26">SUM(
             IF(
                  _xlfn.MAXIFS(MainData[Item],MainData[Date],"&gt;="&amp;G$7,MainData[Date],"&lt;="&amp;G$8,MainData[Category],"Info",MainData[Product],"Guests",MainData[EventID],N(IF(MATCH(MainData[EventID],MainData[EventID],0)=ROW(MainData[EventID])-ROW(MainData[#Headers]),MainData[EventID],0)))&gt;0,
                  _xlfn.MAXIFS(MainData[Item],MainData[Date],"&gt;="&amp;G$7,MainData[Date],"&lt;="&amp;G$8,MainData[Category],"Info",MainData[Product],"Guests",MainData[EventID],N(IF(MATCH(MainData[EventID],MainData[EventID],0)=ROW(MainData[EventID])-ROW(MainData[#Headers]),MainData[EventID],0))),
                  _xlfn.MAXIFS(MainData[Item],MainData[Date],"&gt;="&amp;G$7,MainData[Date],"&lt;="&amp;G$8,MainData[Category],"Info",MainData[Product],"GTD",MainData[EventID],N(IF(MATCH(MainData[EventID],MainData[EventID],0)=ROW(MainData[EventID])-ROW(MainData[#Headers]),MainData[EventID],0)))
                  )
             )</f>
        <v>14431</v>
      </c>
      <c r="H26" s="28"/>
      <c r="I26" s="218" cm="1">
        <f t="array" ref="I26">SUM(
             IF(
                  _xlfn.MAXIFS(MainData[Item],MainData[Date],"&gt;="&amp;I$7,MainData[Date],"&lt;="&amp;I$8,MainData[Category],"Info",MainData[Product],"Guests",MainData[EventID],N(IF(MATCH(MainData[EventID],MainData[EventID],0)=ROW(MainData[EventID])-ROW(MainData[#Headers]),MainData[EventID],0)))&gt;0,
                  _xlfn.MAXIFS(MainData[Item],MainData[Date],"&gt;="&amp;I$7,MainData[Date],"&lt;="&amp;I$8,MainData[Category],"Info",MainData[Product],"Guests",MainData[EventID],N(IF(MATCH(MainData[EventID],MainData[EventID],0)=ROW(MainData[EventID])-ROW(MainData[#Headers]),MainData[EventID],0))),
                  _xlfn.MAXIFS(MainData[Item],MainData[Date],"&gt;="&amp;I$7,MainData[Date],"&lt;="&amp;I$8,MainData[Category],"Info",MainData[Product],"GTD",MainData[EventID],N(IF(MATCH(MainData[EventID],MainData[EventID],0)=ROW(MainData[EventID])-ROW(MainData[#Headers]),MainData[EventID],0)))
                  )
             )</f>
        <v>0</v>
      </c>
      <c r="J26" s="28"/>
      <c r="K26" s="218" cm="1">
        <f t="array" ref="K26">SUM(
             IF(
                  _xlfn.MAXIFS(MainData[Item],MainData[Date],"&gt;="&amp;K$7,MainData[Date],"&lt;="&amp;K$8,MainData[Category],"Info",MainData[Product],"Guests",MainData[EventID],N(IF(MATCH(MainData[EventID],MainData[EventID],0)=ROW(MainData[EventID])-ROW(MainData[#Headers]),MainData[EventID],0)))&gt;0,
                  _xlfn.MAXIFS(MainData[Item],MainData[Date],"&gt;="&amp;K$7,MainData[Date],"&lt;="&amp;K$8,MainData[Category],"Info",MainData[Product],"Guests",MainData[EventID],N(IF(MATCH(MainData[EventID],MainData[EventID],0)=ROW(MainData[EventID])-ROW(MainData[#Headers]),MainData[EventID],0))),
                  _xlfn.MAXIFS(MainData[Item],MainData[Date],"&gt;="&amp;K$7,MainData[Date],"&lt;="&amp;K$8,MainData[Category],"Info",MainData[Product],"GTD",MainData[EventID],N(IF(MATCH(MainData[EventID],MainData[EventID],0)=ROW(MainData[EventID])-ROW(MainData[#Headers]),MainData[EventID],0)))
                  )
             )</f>
        <v>0</v>
      </c>
      <c r="L26" s="28"/>
      <c r="M26" s="218" cm="1">
        <f t="array" ref="M26">SUM(
             IF(
                  _xlfn.MAXIFS(MainData[Item],MainData[Date],"&gt;="&amp;M$7,MainData[Date],"&lt;="&amp;M$8,MainData[Category],"Info",MainData[Product],"Guests",MainData[EventID],N(IF(MATCH(MainData[EventID],MainData[EventID],0)=ROW(MainData[EventID])-ROW(MainData[#Headers]),MainData[EventID],0)))&gt;0,
                  _xlfn.MAXIFS(MainData[Item],MainData[Date],"&gt;="&amp;M$7,MainData[Date],"&lt;="&amp;M$8,MainData[Category],"Info",MainData[Product],"Guests",MainData[EventID],N(IF(MATCH(MainData[EventID],MainData[EventID],0)=ROW(MainData[EventID])-ROW(MainData[#Headers]),MainData[EventID],0))),
                  _xlfn.MAXIFS(MainData[Item],MainData[Date],"&gt;="&amp;M$7,MainData[Date],"&lt;="&amp;M$8,MainData[Category],"Info",MainData[Product],"GTD",MainData[EventID],N(IF(MATCH(MainData[EventID],MainData[EventID],0)=ROW(MainData[EventID])-ROW(MainData[#Headers]),MainData[EventID],0)))
                  )
             )</f>
        <v>0</v>
      </c>
      <c r="N26" s="28"/>
      <c r="O26" s="218" cm="1">
        <f t="array" ref="O26">SUM(
             IF(
                  _xlfn.MAXIFS(MainData[Item],MainData[Date],"&gt;="&amp;O$7,MainData[Date],"&lt;="&amp;O$8,MainData[Category],"Info",MainData[Product],"Guests",MainData[EventID],N(IF(MATCH(MainData[EventID],MainData[EventID],0)=ROW(MainData[EventID])-ROW(MainData[#Headers]),MainData[EventID],0)))&gt;0,
                  _xlfn.MAXIFS(MainData[Item],MainData[Date],"&gt;="&amp;O$7,MainData[Date],"&lt;="&amp;O$8,MainData[Category],"Info",MainData[Product],"Guests",MainData[EventID],N(IF(MATCH(MainData[EventID],MainData[EventID],0)=ROW(MainData[EventID])-ROW(MainData[#Headers]),MainData[EventID],0))),
                  _xlfn.MAXIFS(MainData[Item],MainData[Date],"&gt;="&amp;O$7,MainData[Date],"&lt;="&amp;O$8,MainData[Category],"Info",MainData[Product],"GTD",MainData[EventID],N(IF(MATCH(MainData[EventID],MainData[EventID],0)=ROW(MainData[EventID])-ROW(MainData[#Headers]),MainData[EventID],0)))
                  )
             )</f>
        <v>0</v>
      </c>
      <c r="P26" s="28"/>
      <c r="Q26" s="218" cm="1">
        <f t="array" ref="Q26">SUM(
             IF(
                  _xlfn.MAXIFS(MainData[Item],MainData[Date],"&gt;="&amp;Q$7,MainData[Date],"&lt;="&amp;Q$8,MainData[Category],"Info",MainData[Product],"Guests",MainData[EventID],N(IF(MATCH(MainData[EventID],MainData[EventID],0)=ROW(MainData[EventID])-ROW(MainData[#Headers]),MainData[EventID],0)))&gt;0,
                  _xlfn.MAXIFS(MainData[Item],MainData[Date],"&gt;="&amp;Q$7,MainData[Date],"&lt;="&amp;Q$8,MainData[Category],"Info",MainData[Product],"Guests",MainData[EventID],N(IF(MATCH(MainData[EventID],MainData[EventID],0)=ROW(MainData[EventID])-ROW(MainData[#Headers]),MainData[EventID],0))),
                  _xlfn.MAXIFS(MainData[Item],MainData[Date],"&gt;="&amp;Q$7,MainData[Date],"&lt;="&amp;Q$8,MainData[Category],"Info",MainData[Product],"GTD",MainData[EventID],N(IF(MATCH(MainData[EventID],MainData[EventID],0)=ROW(MainData[EventID])-ROW(MainData[#Headers]),MainData[EventID],0)))
                  )
             )</f>
        <v>0</v>
      </c>
      <c r="R26" s="28"/>
      <c r="S26" s="218" cm="1">
        <f t="array" ref="S26">SUM(
             IF(
                  _xlfn.MAXIFS(MainData[Item],MainData[Date],"&gt;="&amp;S$7,MainData[Date],"&lt;="&amp;S$8,MainData[Category],"Info",MainData[Product],"Guests",MainData[EventID],N(IF(MATCH(MainData[EventID],MainData[EventID],0)=ROW(MainData[EventID])-ROW(MainData[#Headers]),MainData[EventID],0)))&gt;0,
                  _xlfn.MAXIFS(MainData[Item],MainData[Date],"&gt;="&amp;S$7,MainData[Date],"&lt;="&amp;S$8,MainData[Category],"Info",MainData[Product],"Guests",MainData[EventID],N(IF(MATCH(MainData[EventID],MainData[EventID],0)=ROW(MainData[EventID])-ROW(MainData[#Headers]),MainData[EventID],0))),
                  _xlfn.MAXIFS(MainData[Item],MainData[Date],"&gt;="&amp;S$7,MainData[Date],"&lt;="&amp;S$8,MainData[Category],"Info",MainData[Product],"GTD",MainData[EventID],N(IF(MATCH(MainData[EventID],MainData[EventID],0)=ROW(MainData[EventID])-ROW(MainData[#Headers]),MainData[EventID],0)))
                  )
             )</f>
        <v>0</v>
      </c>
      <c r="T26" s="28"/>
      <c r="U26" s="218" cm="1">
        <f t="array" ref="U26">SUM(
             IF(
                  _xlfn.MAXIFS(MainData[Item],MainData[Date],"&gt;="&amp;U$7,MainData[Date],"&lt;="&amp;U$8,MainData[Category],"Info",MainData[Product],"Guests",MainData[EventID],N(IF(MATCH(MainData[EventID],MainData[EventID],0)=ROW(MainData[EventID])-ROW(MainData[#Headers]),MainData[EventID],0)))&gt;0,
                  _xlfn.MAXIFS(MainData[Item],MainData[Date],"&gt;="&amp;U$7,MainData[Date],"&lt;="&amp;U$8,MainData[Category],"Info",MainData[Product],"Guests",MainData[EventID],N(IF(MATCH(MainData[EventID],MainData[EventID],0)=ROW(MainData[EventID])-ROW(MainData[#Headers]),MainData[EventID],0))),
                  _xlfn.MAXIFS(MainData[Item],MainData[Date],"&gt;="&amp;U$7,MainData[Date],"&lt;="&amp;U$8,MainData[Category],"Info",MainData[Product],"GTD",MainData[EventID],N(IF(MATCH(MainData[EventID],MainData[EventID],0)=ROW(MainData[EventID])-ROW(MainData[#Headers]),MainData[EventID],0)))
                  )
             )</f>
        <v>0</v>
      </c>
      <c r="V26" s="28"/>
      <c r="W26" s="218" cm="1">
        <f t="array" ref="W26">SUM(
             IF(
                  _xlfn.MAXIFS(MainData[Item],MainData[Date],"&gt;="&amp;W$7,MainData[Date],"&lt;="&amp;W$8,MainData[Category],"Info",MainData[Product],"Guests",MainData[EventID],N(IF(MATCH(MainData[EventID],MainData[EventID],0)=ROW(MainData[EventID])-ROW(MainData[#Headers]),MainData[EventID],0)))&gt;0,
                  _xlfn.MAXIFS(MainData[Item],MainData[Date],"&gt;="&amp;W$7,MainData[Date],"&lt;="&amp;W$8,MainData[Category],"Info",MainData[Product],"Guests",MainData[EventID],N(IF(MATCH(MainData[EventID],MainData[EventID],0)=ROW(MainData[EventID])-ROW(MainData[#Headers]),MainData[EventID],0))),
                  _xlfn.MAXIFS(MainData[Item],MainData[Date],"&gt;="&amp;W$7,MainData[Date],"&lt;="&amp;W$8,MainData[Category],"Info",MainData[Product],"GTD",MainData[EventID],N(IF(MATCH(MainData[EventID],MainData[EventID],0)=ROW(MainData[EventID])-ROW(MainData[#Headers]),MainData[EventID],0)))
                  )
             )</f>
        <v>0</v>
      </c>
      <c r="X26" s="28"/>
      <c r="Y26" s="218" cm="1">
        <f t="array" ref="Y26">SUM(
             IF(
                  _xlfn.MAXIFS(MainData[Item],MainData[Date],"&gt;="&amp;Y$7,MainData[Date],"&lt;="&amp;Y$8,MainData[Category],"Info",MainData[Product],"Guests",MainData[EventID],N(IF(MATCH(MainData[EventID],MainData[EventID],0)=ROW(MainData[EventID])-ROW(MainData[#Headers]),MainData[EventID],0)))&gt;0,
                  _xlfn.MAXIFS(MainData[Item],MainData[Date],"&gt;="&amp;Y$7,MainData[Date],"&lt;="&amp;Y$8,MainData[Category],"Info",MainData[Product],"Guests",MainData[EventID],N(IF(MATCH(MainData[EventID],MainData[EventID],0)=ROW(MainData[EventID])-ROW(MainData[#Headers]),MainData[EventID],0))),
                  _xlfn.MAXIFS(MainData[Item],MainData[Date],"&gt;="&amp;Y$7,MainData[Date],"&lt;="&amp;Y$8,MainData[Category],"Info",MainData[Product],"GTD",MainData[EventID],N(IF(MATCH(MainData[EventID],MainData[EventID],0)=ROW(MainData[EventID])-ROW(MainData[#Headers]),MainData[EventID],0)))
                  )
             )</f>
        <v>0</v>
      </c>
      <c r="Z26" s="28"/>
      <c r="AA26" s="218" cm="1">
        <f t="array" ref="AA26">SUM(
             IF(
                  _xlfn.MAXIFS(MainData[Item],MainData[Date],"&gt;="&amp;AA$7,MainData[Date],"&lt;="&amp;AA$8,MainData[Category],"Info",MainData[Product],"Guests",MainData[EventID],N(IF(MATCH(MainData[EventID],MainData[EventID],0)=ROW(MainData[EventID])-ROW(MainData[#Headers]),MainData[EventID],0)))&gt;0,
                  _xlfn.MAXIFS(MainData[Item],MainData[Date],"&gt;="&amp;AA$7,MainData[Date],"&lt;="&amp;AA$8,MainData[Category],"Info",MainData[Product],"Guests",MainData[EventID],N(IF(MATCH(MainData[EventID],MainData[EventID],0)=ROW(MainData[EventID])-ROW(MainData[#Headers]),MainData[EventID],0))),
                  _xlfn.MAXIFS(MainData[Item],MainData[Date],"&gt;="&amp;AA$7,MainData[Date],"&lt;="&amp;AA$8,MainData[Category],"Info",MainData[Product],"GTD",MainData[EventID],N(IF(MATCH(MainData[EventID],MainData[EventID],0)=ROW(MainData[EventID])-ROW(MainData[#Headers]),MainData[EventID],0)))
                  )
             )</f>
        <v>0</v>
      </c>
      <c r="AB26" s="28"/>
      <c r="AC26" s="218" cm="1">
        <f t="array" ref="AC26">SUM(
             IF(
                  _xlfn.MAXIFS(MainData[Item],MainData[Date],"&gt;="&amp;AC$7,MainData[Date],"&lt;="&amp;AC$8,MainData[Category],"Info",MainData[Product],"Guests",MainData[EventID],N(IF(MATCH(MainData[EventID],MainData[EventID],0)=ROW(MainData[EventID])-ROW(MainData[#Headers]),MainData[EventID],0)))&gt;0,
                  _xlfn.MAXIFS(MainData[Item],MainData[Date],"&gt;="&amp;AC$7,MainData[Date],"&lt;="&amp;AC$8,MainData[Category],"Info",MainData[Product],"Guests",MainData[EventID],N(IF(MATCH(MainData[EventID],MainData[EventID],0)=ROW(MainData[EventID])-ROW(MainData[#Headers]),MainData[EventID],0))),
                  _xlfn.MAXIFS(MainData[Item],MainData[Date],"&gt;="&amp;AC$7,MainData[Date],"&lt;="&amp;AC$8,MainData[Category],"Info",MainData[Product],"GTD",MainData[EventID],N(IF(MATCH(MainData[EventID],MainData[EventID],0)=ROW(MainData[EventID])-ROW(MainData[#Headers]),MainData[EventID],0)))
                  )
             )</f>
        <v>0</v>
      </c>
      <c r="AD26" s="29"/>
      <c r="AE26" s="24"/>
      <c r="AF26" s="218">
        <f t="shared" si="0"/>
        <v>26413</v>
      </c>
    </row>
    <row r="27" spans="2:32" ht="15" customHeight="1" x14ac:dyDescent="0.25">
      <c r="B27" s="205"/>
      <c r="C27" s="40" t="s">
        <v>86</v>
      </c>
      <c r="E27" s="103">
        <f>SUMIFS(MainData[Item],MainData[Date],"&gt;="&amp;E$7,MainData[Date],"&lt;="&amp;E$8,MainData[Product],"Hours")</f>
        <v>135.5</v>
      </c>
      <c r="F27" s="28"/>
      <c r="G27" s="103">
        <f>SUMIFS(MainData[Item],MainData[Date],"&gt;="&amp;G$7,MainData[Date],"&lt;="&amp;G$8,MainData[Product],"Hours")</f>
        <v>160.5</v>
      </c>
      <c r="H27" s="28"/>
      <c r="I27" s="103">
        <f>SUMIFS(MainData[Item],MainData[Date],"&gt;="&amp;I$7,MainData[Date],"&lt;="&amp;I$8,MainData[Product],"Hours")</f>
        <v>0</v>
      </c>
      <c r="J27" s="28"/>
      <c r="K27" s="103">
        <f>SUMIFS(MainData[Item],MainData[Date],"&gt;="&amp;K$7,MainData[Date],"&lt;="&amp;K$8,MainData[Product],"Hours")</f>
        <v>0</v>
      </c>
      <c r="L27" s="28"/>
      <c r="M27" s="103">
        <f>SUMIFS(MainData[Item],MainData[Date],"&gt;="&amp;M$7,MainData[Date],"&lt;="&amp;M$8,MainData[Product],"Hours")</f>
        <v>0</v>
      </c>
      <c r="N27" s="28"/>
      <c r="O27" s="103">
        <f>SUMIFS(MainData[Item],MainData[Date],"&gt;="&amp;O$7,MainData[Date],"&lt;="&amp;O$8,MainData[Product],"Hours")</f>
        <v>0</v>
      </c>
      <c r="P27" s="28"/>
      <c r="Q27" s="103">
        <f>SUMIFS(MainData[Item],MainData[Date],"&gt;="&amp;Q$7,MainData[Date],"&lt;="&amp;Q$8,MainData[Product],"Hours")</f>
        <v>0</v>
      </c>
      <c r="R27" s="28"/>
      <c r="S27" s="103">
        <f>SUMIFS(MainData[Item],MainData[Date],"&gt;="&amp;S$7,MainData[Date],"&lt;="&amp;S$8,MainData[Product],"Hours")</f>
        <v>0</v>
      </c>
      <c r="T27" s="28"/>
      <c r="U27" s="103">
        <f>SUMIFS(MainData[Item],MainData[Date],"&gt;="&amp;U$7,MainData[Date],"&lt;="&amp;U$8,MainData[Product],"Hours")</f>
        <v>0</v>
      </c>
      <c r="V27" s="28"/>
      <c r="W27" s="103">
        <f>SUMIFS(MainData[Item],MainData[Date],"&gt;="&amp;W$7,MainData[Date],"&lt;="&amp;W$8,MainData[Product],"Hours")</f>
        <v>0</v>
      </c>
      <c r="X27" s="28"/>
      <c r="Y27" s="103">
        <f>SUMIFS(MainData[Item],MainData[Date],"&gt;="&amp;Y$7,MainData[Date],"&lt;="&amp;Y$8,MainData[Product],"Hours")</f>
        <v>0</v>
      </c>
      <c r="Z27" s="28"/>
      <c r="AA27" s="103">
        <f>SUMIFS(MainData[Item],MainData[Date],"&gt;="&amp;AA$7,MainData[Date],"&lt;="&amp;AA$8,MainData[Product],"Hours")</f>
        <v>0</v>
      </c>
      <c r="AB27" s="28"/>
      <c r="AC27" s="103">
        <f>SUMIFS(MainData[Item],MainData[Date],"&gt;="&amp;AC$7,MainData[Date],"&lt;="&amp;AC$8,MainData[Product],"Hours")</f>
        <v>0</v>
      </c>
      <c r="AD27" s="29"/>
      <c r="AE27" s="24"/>
      <c r="AF27" s="103">
        <f>SUM(E27,G27,I27,K27,M27,O27,Q27,S27,U27,W27,Y27,AA27,AC27)</f>
        <v>296</v>
      </c>
    </row>
    <row r="28" spans="2:32" ht="15" customHeight="1" x14ac:dyDescent="0.25">
      <c r="B28" s="205"/>
      <c r="C28" s="40" t="s">
        <v>10</v>
      </c>
      <c r="E28" s="104" cm="1">
        <f t="array" ref="E28">SUM(--(FREQUENCY(MainData[Date]*ISNUMBER(MainData[GroupID])*(MainData[Date]&gt;=E$7)*(MainData[Date]&lt;=E$8),MainData[Date]*ISNUMBER(MainData[GroupID])*(MainData[Date]&gt;=E$7)*(MainData[Date]&lt;=E$8))&gt;0))-1</f>
        <v>20</v>
      </c>
      <c r="F28" s="28"/>
      <c r="G28" s="104" cm="1">
        <f t="array" ref="G28">SUM(--(FREQUENCY(MainData[Date]*ISNUMBER(MainData[GroupID])*(MainData[Date]&gt;=G$7)*(MainData[Date]&lt;=G$8),MainData[Date]*ISNUMBER(MainData[GroupID])*(MainData[Date]&gt;=G$7)*(MainData[Date]&lt;=G$8))&gt;0))-1</f>
        <v>24</v>
      </c>
      <c r="H28" s="28"/>
      <c r="I28" s="104" cm="1">
        <f t="array" ref="I28">SUM(--(FREQUENCY(MainData[Date]*ISNUMBER(MainData[GroupID])*(MainData[Date]&gt;=I$7)*(MainData[Date]&lt;=I$8),MainData[Date]*ISNUMBER(MainData[GroupID])*(MainData[Date]&gt;=I$7)*(MainData[Date]&lt;=I$8))&gt;0))-1</f>
        <v>0</v>
      </c>
      <c r="J28" s="28"/>
      <c r="K28" s="104" cm="1">
        <f t="array" ref="K28">SUM(--(FREQUENCY(MainData[Date]*ISNUMBER(MainData[GroupID])*(MainData[Date]&gt;=K$7)*(MainData[Date]&lt;=K$8),MainData[Date]*ISNUMBER(MainData[GroupID])*(MainData[Date]&gt;=K$7)*(MainData[Date]&lt;=K$8))&gt;0))-1</f>
        <v>0</v>
      </c>
      <c r="L28" s="28"/>
      <c r="M28" s="104" cm="1">
        <f t="array" ref="M28">SUM(--(FREQUENCY(MainData[Date]*ISNUMBER(MainData[GroupID])*(MainData[Date]&gt;=M$7)*(MainData[Date]&lt;=M$8),MainData[Date]*ISNUMBER(MainData[GroupID])*(MainData[Date]&gt;=M$7)*(MainData[Date]&lt;=M$8))&gt;0))-1</f>
        <v>0</v>
      </c>
      <c r="N28" s="28"/>
      <c r="O28" s="104" cm="1">
        <f t="array" ref="O28">SUM(--(FREQUENCY(MainData[Date]*ISNUMBER(MainData[GroupID])*(MainData[Date]&gt;=O$7)*(MainData[Date]&lt;=O$8),MainData[Date]*ISNUMBER(MainData[GroupID])*(MainData[Date]&gt;=O$7)*(MainData[Date]&lt;=O$8))&gt;0))-1</f>
        <v>0</v>
      </c>
      <c r="P28" s="28"/>
      <c r="Q28" s="104" cm="1">
        <f t="array" ref="Q28">SUM(--(FREQUENCY(MainData[Date]*ISNUMBER(MainData[GroupID])*(MainData[Date]&gt;=Q$7)*(MainData[Date]&lt;=Q$8),MainData[Date]*ISNUMBER(MainData[GroupID])*(MainData[Date]&gt;=Q$7)*(MainData[Date]&lt;=Q$8))&gt;0))-1</f>
        <v>0</v>
      </c>
      <c r="R28" s="28"/>
      <c r="S28" s="104" cm="1">
        <f t="array" ref="S28">SUM(--(FREQUENCY(MainData[Date]*ISNUMBER(MainData[GroupID])*(MainData[Date]&gt;=S$7)*(MainData[Date]&lt;=S$8),MainData[Date]*ISNUMBER(MainData[GroupID])*(MainData[Date]&gt;=S$7)*(MainData[Date]&lt;=S$8))&gt;0))-1</f>
        <v>0</v>
      </c>
      <c r="T28" s="28"/>
      <c r="U28" s="104" cm="1">
        <f t="array" ref="U28">SUM(--(FREQUENCY(MainData[Date]*ISNUMBER(MainData[GroupID])*(MainData[Date]&gt;=U$7)*(MainData[Date]&lt;=U$8),MainData[Date]*ISNUMBER(MainData[GroupID])*(MainData[Date]&gt;=U$7)*(MainData[Date]&lt;=U$8))&gt;0))-1</f>
        <v>0</v>
      </c>
      <c r="V28" s="28"/>
      <c r="W28" s="104" cm="1">
        <f t="array" ref="W28">SUM(--(FREQUENCY(MainData[Date]*ISNUMBER(MainData[GroupID])*(MainData[Date]&gt;=W$7)*(MainData[Date]&lt;=W$8),MainData[Date]*ISNUMBER(MainData[GroupID])*(MainData[Date]&gt;=W$7)*(MainData[Date]&lt;=W$8))&gt;0))-1</f>
        <v>0</v>
      </c>
      <c r="X28" s="28"/>
      <c r="Y28" s="104" cm="1">
        <f t="array" ref="Y28">SUM(--(FREQUENCY(MainData[Date]*ISNUMBER(MainData[GroupID])*(MainData[Date]&gt;=Y$7)*(MainData[Date]&lt;=Y$8),MainData[Date]*ISNUMBER(MainData[GroupID])*(MainData[Date]&gt;=Y$7)*(MainData[Date]&lt;=Y$8))&gt;0))-1</f>
        <v>0</v>
      </c>
      <c r="Z28" s="28"/>
      <c r="AA28" s="104" cm="1">
        <f t="array" ref="AA28">SUM(--(FREQUENCY(MainData[Date]*ISNUMBER(MainData[GroupID])*(MainData[Date]&gt;=AA$7)*(MainData[Date]&lt;=AA$8),MainData[Date]*ISNUMBER(MainData[GroupID])*(MainData[Date]&gt;=AA$7)*(MainData[Date]&lt;=AA$8))&gt;0))-1</f>
        <v>0</v>
      </c>
      <c r="AB28" s="28"/>
      <c r="AC28" s="104" cm="1">
        <f t="array" ref="AC28">SUM(--(FREQUENCY(MainData[Date]*ISNUMBER(MainData[GroupID])*(MainData[Date]&gt;=AC$7)*(MainData[Date]&lt;=AC$8),MainData[Date]*ISNUMBER(MainData[GroupID])*(MainData[Date]&gt;=AC$7)*(MainData[Date]&lt;=AC$8))&gt;0))-1</f>
        <v>0</v>
      </c>
      <c r="AD28" s="29"/>
      <c r="AE28" s="24"/>
      <c r="AF28" s="104">
        <f>SUM(E28,G28,I28,K28,M28,O28,Q28,S28,U28,W28,Y28,AA28,AC28)</f>
        <v>44</v>
      </c>
    </row>
    <row r="29" spans="2:32" x14ac:dyDescent="0.25">
      <c r="B29" s="205"/>
      <c r="C29" s="40" t="s">
        <v>28</v>
      </c>
      <c r="E29" s="103" cm="1">
        <f t="array" ref="E29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9" s="28"/>
      <c r="G29" s="103" cm="1">
        <f t="array" ref="G29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9" s="28"/>
      <c r="I29" s="103" cm="1">
        <f t="array" ref="I29">SUM(--(FREQUENCY(IF(ISNUMBER(MainData[EventID]),MainData[EventID],0)*(MainData[Date]&gt;=I$7)*(MainData[Date]&lt;=I$8),IF(ISNUMBER(MainData[EventID]),MainData[EventID],0)*(MainData[Date]&gt;=I$7)*(MainData[Date]&lt;=I$8))&gt;0))-1</f>
        <v>0</v>
      </c>
      <c r="J29" s="28"/>
      <c r="K29" s="103" cm="1">
        <f t="array" ref="K29">SUM(--(FREQUENCY(IF(ISNUMBER(MainData[EventID]),MainData[EventID],0)*(MainData[Date]&gt;=K$7)*(MainData[Date]&lt;=K$8),IF(ISNUMBER(MainData[EventID]),MainData[EventID],0)*(MainData[Date]&gt;=K$7)*(MainData[Date]&lt;=K$8))&gt;0))-1</f>
        <v>0</v>
      </c>
      <c r="L29" s="28"/>
      <c r="M29" s="103" cm="1">
        <f t="array" ref="M29">SUM(--(FREQUENCY(IF(ISNUMBER(MainData[EventID]),MainData[EventID],0)*(MainData[Date]&gt;=M$7)*(MainData[Date]&lt;=M$8),IF(ISNUMBER(MainData[EventID]),MainData[EventID],0)*(MainData[Date]&gt;=M$7)*(MainData[Date]&lt;=M$8))&gt;0))-1</f>
        <v>0</v>
      </c>
      <c r="N29" s="28"/>
      <c r="O29" s="103" cm="1">
        <f t="array" ref="O29">SUM(--(FREQUENCY(IF(ISNUMBER(MainData[EventID]),MainData[EventID],0)*(MainData[Date]&gt;=O$7)*(MainData[Date]&lt;=O$8),IF(ISNUMBER(MainData[EventID]),MainData[EventID],0)*(MainData[Date]&gt;=O$7)*(MainData[Date]&lt;=O$8))&gt;0))-1</f>
        <v>0</v>
      </c>
      <c r="P29" s="28"/>
      <c r="Q29" s="103" cm="1">
        <f t="array" ref="Q29">SUM(--(FREQUENCY(IF(ISNUMBER(MainData[EventID]),MainData[EventID],0)*(MainData[Date]&gt;=Q$7)*(MainData[Date]&lt;=Q$8),IF(ISNUMBER(MainData[EventID]),MainData[EventID],0)*(MainData[Date]&gt;=Q$7)*(MainData[Date]&lt;=Q$8))&gt;0))-1</f>
        <v>0</v>
      </c>
      <c r="R29" s="28"/>
      <c r="S29" s="103" cm="1">
        <f t="array" ref="S29">SUM(--(FREQUENCY(IF(ISNUMBER(MainData[EventID]),MainData[EventID],0)*(MainData[Date]&gt;=S$7)*(MainData[Date]&lt;=S$8),IF(ISNUMBER(MainData[EventID]),MainData[EventID],0)*(MainData[Date]&gt;=S$7)*(MainData[Date]&lt;=S$8))&gt;0))-1</f>
        <v>0</v>
      </c>
      <c r="T29" s="28"/>
      <c r="U29" s="103" cm="1">
        <f t="array" ref="U29">SUM(--(FREQUENCY(IF(ISNUMBER(MainData[EventID]),MainData[EventID],0)*(MainData[Date]&gt;=U$7)*(MainData[Date]&lt;=U$8),IF(ISNUMBER(MainData[EventID]),MainData[EventID],0)*(MainData[Date]&gt;=U$7)*(MainData[Date]&lt;=U$8))&gt;0))-1</f>
        <v>0</v>
      </c>
      <c r="V29" s="28"/>
      <c r="W29" s="103" cm="1">
        <f t="array" ref="W29">SUM(--(FREQUENCY(IF(ISNUMBER(MainData[EventID]),MainData[EventID],0)*(MainData[Date]&gt;=W$7)*(MainData[Date]&lt;=W$8),IF(ISNUMBER(MainData[EventID]),MainData[EventID],0)*(MainData[Date]&gt;=W$7)*(MainData[Date]&lt;=W$8))&gt;0))-1</f>
        <v>0</v>
      </c>
      <c r="X29" s="28"/>
      <c r="Y29" s="103" cm="1">
        <f t="array" ref="Y29">SUM(--(FREQUENCY(IF(ISNUMBER(MainData[EventID]),MainData[EventID],0)*(MainData[Date]&gt;=Y$7)*(MainData[Date]&lt;=Y$8),IF(ISNUMBER(MainData[EventID]),MainData[EventID],0)*(MainData[Date]&gt;=Y$7)*(MainData[Date]&lt;=Y$8))&gt;0))-1</f>
        <v>0</v>
      </c>
      <c r="Z29" s="28"/>
      <c r="AA29" s="103" cm="1">
        <f t="array" ref="AA29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9" s="28"/>
      <c r="AC29" s="103" cm="1">
        <f t="array" ref="AC29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9" s="29"/>
      <c r="AE29" s="24"/>
      <c r="AF29" s="103">
        <f>SUM(E29,G29,I29,K29,M29,O29,Q29,S29,U29,W29,Y29,AA29,AC29)</f>
        <v>107</v>
      </c>
    </row>
    <row r="30" spans="2:32" x14ac:dyDescent="0.25">
      <c r="B30" s="205"/>
      <c r="C30" s="40" t="s">
        <v>11</v>
      </c>
      <c r="E30" s="106" cm="1">
        <f t="array" ref="E30">SUM(--(FREQUENCY(IF(ISNUMBER(MainData[GroupID]),MainData[GroupID],0)*(MainData[Date]&gt;=E$7)*(MainData[Date]&lt;=E$8),IF(ISNUMBER(MainData[GroupID]),MainData[GroupID],0)*(MainData[Date]&gt;=E$7)*(MainData[Date]&lt;=E$8))&gt;0))-1</f>
        <v>15</v>
      </c>
      <c r="F30" s="32"/>
      <c r="G30" s="106" cm="1">
        <f t="array" ref="G30">SUM(--(FREQUENCY(IF(ISNUMBER(MainData[GroupID]),MainData[GroupID],0)*(MainData[Date]&gt;=G$7)*(MainData[Date]&lt;=G$8),IF(ISNUMBER(MainData[GroupID]),MainData[GroupID],0)*(MainData[Date]&gt;=G$7)*(MainData[Date]&lt;=G$8))&gt;0))-1</f>
        <v>28</v>
      </c>
      <c r="H30" s="32"/>
      <c r="I30" s="106" cm="1">
        <f t="array" ref="I30">SUM(--(FREQUENCY(IF(ISNUMBER(MainData[GroupID]),MainData[GroupID],0)*(MainData[Date]&gt;=I$7)*(MainData[Date]&lt;=I$8),IF(ISNUMBER(MainData[GroupID]),MainData[GroupID],0)*(MainData[Date]&gt;=I$7)*(MainData[Date]&lt;=I$8))&gt;0))-1</f>
        <v>0</v>
      </c>
      <c r="J30" s="32"/>
      <c r="K30" s="106" cm="1">
        <f t="array" ref="K30">SUM(--(FREQUENCY(IF(ISNUMBER(MainData[GroupID]),MainData[GroupID],0)*(MainData[Date]&gt;=K$7)*(MainData[Date]&lt;=K$8),IF(ISNUMBER(MainData[GroupID]),MainData[GroupID],0)*(MainData[Date]&gt;=K$7)*(MainData[Date]&lt;=K$8))&gt;0))-1</f>
        <v>0</v>
      </c>
      <c r="L30" s="32"/>
      <c r="M30" s="106" cm="1">
        <f t="array" ref="M30">SUM(--(FREQUENCY(IF(ISNUMBER(MainData[GroupID]),MainData[GroupID],0)*(MainData[Date]&gt;=M$7)*(MainData[Date]&lt;=M$8),IF(ISNUMBER(MainData[GroupID]),MainData[GroupID],0)*(MainData[Date]&gt;=M$7)*(MainData[Date]&lt;=M$8))&gt;0))-1</f>
        <v>0</v>
      </c>
      <c r="N30" s="32"/>
      <c r="O30" s="106" cm="1">
        <f t="array" ref="O30">SUM(--(FREQUENCY(IF(ISNUMBER(MainData[GroupID]),MainData[GroupID],0)*(MainData[Date]&gt;=O$7)*(MainData[Date]&lt;=O$8),IF(ISNUMBER(MainData[GroupID]),MainData[GroupID],0)*(MainData[Date]&gt;=O$7)*(MainData[Date]&lt;=O$8))&gt;0))-1</f>
        <v>0</v>
      </c>
      <c r="P30" s="32"/>
      <c r="Q30" s="106" cm="1">
        <f t="array" ref="Q30">SUM(--(FREQUENCY(IF(ISNUMBER(MainData[GroupID]),MainData[GroupID],0)*(MainData[Date]&gt;=Q$7)*(MainData[Date]&lt;=Q$8),IF(ISNUMBER(MainData[GroupID]),MainData[GroupID],0)*(MainData[Date]&gt;=Q$7)*(MainData[Date]&lt;=Q$8))&gt;0))-1</f>
        <v>0</v>
      </c>
      <c r="R30" s="32"/>
      <c r="S30" s="106" cm="1">
        <f t="array" ref="S30">SUM(--(FREQUENCY(IF(ISNUMBER(MainData[GroupID]),MainData[GroupID],0)*(MainData[Date]&gt;=S$7)*(MainData[Date]&lt;=S$8),IF(ISNUMBER(MainData[GroupID]),MainData[GroupID],0)*(MainData[Date]&gt;=S$7)*(MainData[Date]&lt;=S$8))&gt;0))-1</f>
        <v>0</v>
      </c>
      <c r="T30" s="32"/>
      <c r="U30" s="106" cm="1">
        <f t="array" ref="U30">SUM(--(FREQUENCY(IF(ISNUMBER(MainData[GroupID]),MainData[GroupID],0)*(MainData[Date]&gt;=U$7)*(MainData[Date]&lt;=U$8),IF(ISNUMBER(MainData[GroupID]),MainData[GroupID],0)*(MainData[Date]&gt;=U$7)*(MainData[Date]&lt;=U$8))&gt;0))-1</f>
        <v>0</v>
      </c>
      <c r="V30" s="32"/>
      <c r="W30" s="106" cm="1">
        <f t="array" ref="W30">SUM(--(FREQUENCY(IF(ISNUMBER(MainData[GroupID]),MainData[GroupID],0)*(MainData[Date]&gt;=W$7)*(MainData[Date]&lt;=W$8),IF(ISNUMBER(MainData[GroupID]),MainData[GroupID],0)*(MainData[Date]&gt;=W$7)*(MainData[Date]&lt;=W$8))&gt;0))-1</f>
        <v>0</v>
      </c>
      <c r="X30" s="32"/>
      <c r="Y30" s="106" cm="1">
        <f t="array" ref="Y30">SUM(--(FREQUENCY(IF(ISNUMBER(MainData[GroupID]),MainData[GroupID],0)*(MainData[Date]&gt;=Y$7)*(MainData[Date]&lt;=Y$8),IF(ISNUMBER(MainData[GroupID]),MainData[GroupID],0)*(MainData[Date]&gt;=Y$7)*(MainData[Date]&lt;=Y$8))&gt;0))-1</f>
        <v>0</v>
      </c>
      <c r="Z30" s="32"/>
      <c r="AA30" s="106" cm="1">
        <f t="array" ref="AA30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30" s="32"/>
      <c r="AC30" s="106" cm="1">
        <f t="array" ref="AC30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30" s="32"/>
      <c r="AE30" s="33"/>
      <c r="AF30" s="106">
        <f>SUM(E30,G30,I30,K30,M30,O30,Q30,S30,U30,W30,Y30,AA30,AC30)</f>
        <v>43</v>
      </c>
    </row>
    <row r="31" spans="2:32" x14ac:dyDescent="0.25">
      <c r="E31" s="39"/>
      <c r="G31" s="39"/>
      <c r="I31" s="39"/>
      <c r="K31" s="39"/>
      <c r="M31" s="39"/>
      <c r="O31" s="39"/>
      <c r="Q31" s="39"/>
      <c r="S31" s="39"/>
      <c r="U31" s="39"/>
      <c r="W31" s="39"/>
      <c r="Y31" s="39"/>
      <c r="AA31" s="39"/>
      <c r="AC31" s="39"/>
      <c r="AF31" s="39"/>
    </row>
    <row r="32" spans="2:32" x14ac:dyDescent="0.25">
      <c r="E32" s="39"/>
      <c r="G32" s="39"/>
      <c r="I32" s="39"/>
      <c r="K32" s="39"/>
      <c r="M32" s="39"/>
      <c r="O32" s="39"/>
      <c r="Q32" s="39"/>
      <c r="S32" s="39"/>
      <c r="U32" s="39"/>
      <c r="W32" s="39"/>
      <c r="Y32" s="39"/>
      <c r="AA32" s="39"/>
      <c r="AC32" s="39"/>
      <c r="AF32" s="39"/>
    </row>
    <row r="33" spans="2:32" ht="15" customHeight="1" x14ac:dyDescent="0.25">
      <c r="B33" s="204" t="s">
        <v>68</v>
      </c>
      <c r="C33" s="40" t="s">
        <v>44</v>
      </c>
      <c r="E33" s="115">
        <f>IFERROR(('YTD Revenue'!F$65+'YTD Revenue'!F$27)/E24,0)</f>
        <v>2192.4810192307691</v>
      </c>
      <c r="F33" s="28"/>
      <c r="G33" s="115">
        <f>IFERROR(('YTD Revenue'!H$65+'YTD Revenue'!H$27)/G24,0)</f>
        <v>1933.7509352517982</v>
      </c>
      <c r="H33" s="28"/>
      <c r="I33" s="115">
        <f>IFERROR(('YTD Revenue'!J$65+'YTD Revenue'!J$27)/I24,0)</f>
        <v>0</v>
      </c>
      <c r="J33" s="28"/>
      <c r="K33" s="115">
        <f>IFERROR(('YTD Revenue'!L$65+'YTD Revenue'!L$27)/K24,0)</f>
        <v>0</v>
      </c>
      <c r="L33" s="28"/>
      <c r="M33" s="115">
        <f>IFERROR(('YTD Revenue'!N$65+'YTD Revenue'!N$27)/M24,0)</f>
        <v>0</v>
      </c>
      <c r="N33" s="28"/>
      <c r="O33" s="115">
        <f>IFERROR(('YTD Revenue'!P$65+'YTD Revenue'!P$27)/O24,0)</f>
        <v>0</v>
      </c>
      <c r="P33" s="28"/>
      <c r="Q33" s="115">
        <f>IFERROR(('YTD Revenue'!R$65+'YTD Revenue'!R$27)/Q24,0)</f>
        <v>0</v>
      </c>
      <c r="R33" s="28"/>
      <c r="S33" s="115">
        <f>IFERROR(('YTD Revenue'!T$65+'YTD Revenue'!T$27)/S24,0)</f>
        <v>0</v>
      </c>
      <c r="T33" s="28"/>
      <c r="U33" s="115">
        <f>IFERROR(('YTD Revenue'!V$65+'YTD Revenue'!V$27)/U24,0)</f>
        <v>0</v>
      </c>
      <c r="V33" s="28"/>
      <c r="W33" s="115">
        <f>IFERROR(('YTD Revenue'!X$65+'YTD Revenue'!X$27)/W24,0)</f>
        <v>0</v>
      </c>
      <c r="X33" s="28"/>
      <c r="Y33" s="115">
        <f>IFERROR(('YTD Revenue'!Z$65+'YTD Revenue'!Z$27)/Y24,0)</f>
        <v>0</v>
      </c>
      <c r="Z33" s="28"/>
      <c r="AA33" s="115">
        <f>IFERROR(('YTD Revenue'!AB$65+'YTD Revenue'!AB$27)/AA24,0)</f>
        <v>0</v>
      </c>
      <c r="AB33" s="28"/>
      <c r="AC33" s="115">
        <f>IFERROR(('YTD Revenue'!AD$65+'YTD Revenue'!AD$27)/AC24,0)</f>
        <v>0</v>
      </c>
      <c r="AD33" s="29"/>
      <c r="AE33" s="24"/>
      <c r="AF33" s="115">
        <f>IFERROR(('YTD Revenue'!AG$65+'YTD Revenue'!AG$27)/AF24,0)</f>
        <v>2058.7877788104083</v>
      </c>
    </row>
    <row r="34" spans="2:32" ht="15" customHeight="1" x14ac:dyDescent="0.25">
      <c r="B34" s="204"/>
      <c r="C34" s="40" t="s">
        <v>535</v>
      </c>
      <c r="E34" s="103">
        <f>IFERROR(('YTD Revenue'!F$65+'YTD Revenue'!F$27)/E25,0)</f>
        <v>622.31993995633184</v>
      </c>
      <c r="F34" s="28"/>
      <c r="G34" s="103">
        <f>IFERROR(('YTD Revenue'!H$65+'YTD Revenue'!H$27)/G25,0)</f>
        <v>541.91810483870961</v>
      </c>
      <c r="H34" s="28"/>
      <c r="I34" s="103">
        <f>IFERROR(('YTD Revenue'!J$65+'YTD Revenue'!J$27)/I25,0)</f>
        <v>0</v>
      </c>
      <c r="J34" s="28"/>
      <c r="K34" s="103">
        <f>IFERROR(('YTD Revenue'!L$65+'YTD Revenue'!L$27)/K25,0)</f>
        <v>0</v>
      </c>
      <c r="L34" s="28"/>
      <c r="M34" s="103">
        <f>IFERROR(('YTD Revenue'!N$65+'YTD Revenue'!N$27)/M25,0)</f>
        <v>0</v>
      </c>
      <c r="N34" s="28"/>
      <c r="O34" s="103">
        <f>IFERROR(('YTD Revenue'!P$65+'YTD Revenue'!P$27)/O25,0)</f>
        <v>0</v>
      </c>
      <c r="P34" s="28"/>
      <c r="Q34" s="103">
        <f>IFERROR(('YTD Revenue'!R$65+'YTD Revenue'!R$27)/Q25,0)</f>
        <v>0</v>
      </c>
      <c r="R34" s="28"/>
      <c r="S34" s="103">
        <f>IFERROR(('YTD Revenue'!T$65+'YTD Revenue'!T$27)/S25,0)</f>
        <v>0</v>
      </c>
      <c r="T34" s="28"/>
      <c r="U34" s="103">
        <f>IFERROR(('YTD Revenue'!V$65+'YTD Revenue'!V$27)/U25,0)</f>
        <v>0</v>
      </c>
      <c r="V34" s="28"/>
      <c r="W34" s="103">
        <f>IFERROR(('YTD Revenue'!X$65+'YTD Revenue'!X$27)/W25,0)</f>
        <v>0</v>
      </c>
      <c r="X34" s="28"/>
      <c r="Y34" s="103">
        <f>IFERROR(('YTD Revenue'!Z$65+'YTD Revenue'!Z$27)/Y25,0)</f>
        <v>0</v>
      </c>
      <c r="Z34" s="28"/>
      <c r="AA34" s="103">
        <f>IFERROR(('YTD Revenue'!AB$65+'YTD Revenue'!AB$27)/AA25,0)</f>
        <v>0</v>
      </c>
      <c r="AB34" s="28"/>
      <c r="AC34" s="103">
        <f>IFERROR(('YTD Revenue'!AD$65+'YTD Revenue'!AD$27)/AC25,0)</f>
        <v>0</v>
      </c>
      <c r="AD34" s="29"/>
      <c r="AE34" s="24"/>
      <c r="AF34" s="116">
        <f>IFERROR(('YTD Revenue'!AG$65+'YTD Revenue'!AG$27)/AF25,0)</f>
        <v>580.51772798742127</v>
      </c>
    </row>
    <row r="35" spans="2:32" ht="15" customHeight="1" x14ac:dyDescent="0.25">
      <c r="B35" s="204"/>
      <c r="C35" s="40" t="s">
        <v>536</v>
      </c>
      <c r="E35" s="219">
        <f>IFERROR(('YTD Revenue'!F$65+'YTD Revenue'!F$27)/E26,0)</f>
        <v>23.787559046903688</v>
      </c>
      <c r="F35" s="28"/>
      <c r="G35" s="219">
        <f>IFERROR(('YTD Revenue'!H$65+'YTD Revenue'!H$27)/G26,0)</f>
        <v>18.625970480216196</v>
      </c>
      <c r="H35" s="28"/>
      <c r="I35" s="219">
        <f>IFERROR(('YTD Revenue'!J$65+'YTD Revenue'!J$27)/I26,0)</f>
        <v>0</v>
      </c>
      <c r="J35" s="28"/>
      <c r="K35" s="219">
        <f>IFERROR(('YTD Revenue'!L$65+'YTD Revenue'!L$27)/K26,0)</f>
        <v>0</v>
      </c>
      <c r="L35" s="28"/>
      <c r="M35" s="219">
        <f>IFERROR(('YTD Revenue'!N$65+'YTD Revenue'!N$27)/M26,0)</f>
        <v>0</v>
      </c>
      <c r="N35" s="28"/>
      <c r="O35" s="219">
        <f>IFERROR(('YTD Revenue'!P$65+'YTD Revenue'!P$27)/O26,0)</f>
        <v>0</v>
      </c>
      <c r="P35" s="28"/>
      <c r="Q35" s="219">
        <f>IFERROR(('YTD Revenue'!R$65+'YTD Revenue'!R$27)/Q26,0)</f>
        <v>0</v>
      </c>
      <c r="R35" s="28"/>
      <c r="S35" s="219">
        <f>IFERROR(('YTD Revenue'!T$65+'YTD Revenue'!T$27)/S26,0)</f>
        <v>0</v>
      </c>
      <c r="T35" s="28"/>
      <c r="U35" s="219">
        <f>IFERROR(('YTD Revenue'!V$65+'YTD Revenue'!V$27)/U26,0)</f>
        <v>0</v>
      </c>
      <c r="V35" s="28"/>
      <c r="W35" s="219">
        <f>IFERROR(('YTD Revenue'!X$65+'YTD Revenue'!X$27)/W26,0)</f>
        <v>0</v>
      </c>
      <c r="X35" s="28"/>
      <c r="Y35" s="219">
        <f>IFERROR(('YTD Revenue'!Z$65+'YTD Revenue'!Z$27)/Y26,0)</f>
        <v>0</v>
      </c>
      <c r="Z35" s="28"/>
      <c r="AA35" s="219">
        <f>IFERROR(('YTD Revenue'!AB$65+'YTD Revenue'!AB$27)/AA26,0)</f>
        <v>0</v>
      </c>
      <c r="AB35" s="28"/>
      <c r="AC35" s="219">
        <f>IFERROR(('YTD Revenue'!AD$65+'YTD Revenue'!AD$27)/AC26,0)</f>
        <v>0</v>
      </c>
      <c r="AD35" s="29"/>
      <c r="AE35" s="24"/>
      <c r="AF35" s="219">
        <f>IFERROR(('YTD Revenue'!AG$65+'YTD Revenue'!AG$27)/AF26,0)</f>
        <v>20.967474823003819</v>
      </c>
    </row>
    <row r="36" spans="2:32" ht="15" customHeight="1" x14ac:dyDescent="0.25">
      <c r="B36" s="204"/>
      <c r="C36" s="40" t="s">
        <v>109</v>
      </c>
      <c r="E36" s="116">
        <f>IFERROR(('YTD Revenue'!F$65+'YTD Revenue'!F$27)/E27,0)</f>
        <v>2103.4873247232472</v>
      </c>
      <c r="F36" s="28"/>
      <c r="G36" s="116">
        <f>IFERROR(('YTD Revenue'!H$65+'YTD Revenue'!H$27)/G27,0)</f>
        <v>1674.7126479750775</v>
      </c>
      <c r="H36" s="28"/>
      <c r="I36" s="116">
        <f>IFERROR(('YTD Revenue'!J$65+'YTD Revenue'!J$27)/I27,0)</f>
        <v>0</v>
      </c>
      <c r="J36" s="28"/>
      <c r="K36" s="116">
        <f>IFERROR(('YTD Revenue'!L$65+'YTD Revenue'!L$27)/K27,0)</f>
        <v>0</v>
      </c>
      <c r="L36" s="28"/>
      <c r="M36" s="116">
        <f>IFERROR(('YTD Revenue'!N$65+'YTD Revenue'!N$27)/M27,0)</f>
        <v>0</v>
      </c>
      <c r="N36" s="28"/>
      <c r="O36" s="116">
        <f>IFERROR(('YTD Revenue'!P$65+'YTD Revenue'!P$27)/O27,0)</f>
        <v>0</v>
      </c>
      <c r="P36" s="28"/>
      <c r="Q36" s="116">
        <f>IFERROR(('YTD Revenue'!R$65+'YTD Revenue'!R$27)/Q27,0)</f>
        <v>0</v>
      </c>
      <c r="R36" s="28"/>
      <c r="S36" s="116">
        <f>IFERROR(('YTD Revenue'!T$65+'YTD Revenue'!T$27)/S27,0)</f>
        <v>0</v>
      </c>
      <c r="T36" s="28"/>
      <c r="U36" s="116">
        <f>IFERROR(('YTD Revenue'!V$65+'YTD Revenue'!V$27)/U27,0)</f>
        <v>0</v>
      </c>
      <c r="V36" s="28"/>
      <c r="W36" s="116">
        <f>IFERROR(('YTD Revenue'!X$65+'YTD Revenue'!X$27)/W27,0)</f>
        <v>0</v>
      </c>
      <c r="X36" s="28"/>
      <c r="Y36" s="116">
        <f>IFERROR(('YTD Revenue'!Z$65+'YTD Revenue'!Z$27)/Y27,0)</f>
        <v>0</v>
      </c>
      <c r="Z36" s="28"/>
      <c r="AA36" s="116">
        <f>IFERROR(('YTD Revenue'!AB$65+'YTD Revenue'!AB$27)/AA27,0)</f>
        <v>0</v>
      </c>
      <c r="AB36" s="28"/>
      <c r="AC36" s="116">
        <f>IFERROR(('YTD Revenue'!AD$65+'YTD Revenue'!AD$27)/AC27,0)</f>
        <v>0</v>
      </c>
      <c r="AD36" s="29"/>
      <c r="AE36" s="24"/>
      <c r="AF36" s="116">
        <f>IFERROR(('YTD Revenue'!AG$65+'YTD Revenue'!AG$27)/AF27,0)</f>
        <v>1870.9929476351347</v>
      </c>
    </row>
    <row r="37" spans="2:32" ht="15" customHeight="1" x14ac:dyDescent="0.25">
      <c r="B37" s="204"/>
      <c r="C37" s="40" t="s">
        <v>14</v>
      </c>
      <c r="E37" s="117">
        <f>IFERROR(('YTD Revenue'!F$65+'YTD Revenue'!F$27)/E28,0)</f>
        <v>14251.126624999999</v>
      </c>
      <c r="F37" s="28">
        <v>0.01</v>
      </c>
      <c r="G37" s="117">
        <f>IFERROR(('YTD Revenue'!H$65+'YTD Revenue'!H$27)/G28,0)</f>
        <v>11199.640833333331</v>
      </c>
      <c r="H37" s="28"/>
      <c r="I37" s="117">
        <f>IFERROR(('YTD Revenue'!J$65+'YTD Revenue'!J$27)/I28,0)</f>
        <v>0</v>
      </c>
      <c r="J37" s="28"/>
      <c r="K37" s="117">
        <f>IFERROR(('YTD Revenue'!L$65+'YTD Revenue'!L$27)/K28,0)</f>
        <v>0</v>
      </c>
      <c r="L37" s="28"/>
      <c r="M37" s="117">
        <f>IFERROR(('YTD Revenue'!N$65+'YTD Revenue'!N$27)/M28,0)</f>
        <v>0</v>
      </c>
      <c r="N37" s="28"/>
      <c r="O37" s="117">
        <f>IFERROR(('YTD Revenue'!P$65+'YTD Revenue'!P$27)/O28,0)</f>
        <v>0</v>
      </c>
      <c r="P37" s="28"/>
      <c r="Q37" s="117">
        <f>IFERROR(('YTD Revenue'!R$65+'YTD Revenue'!R$27)/Q28,0)</f>
        <v>0</v>
      </c>
      <c r="R37" s="28"/>
      <c r="S37" s="117">
        <f>IFERROR(('YTD Revenue'!T$65+'YTD Revenue'!T$27)/S28,0)</f>
        <v>0</v>
      </c>
      <c r="T37" s="28"/>
      <c r="U37" s="117">
        <f>IFERROR(('YTD Revenue'!V$65+'YTD Revenue'!V$27)/U28,0)</f>
        <v>0</v>
      </c>
      <c r="V37" s="28"/>
      <c r="W37" s="117">
        <f>IFERROR(('YTD Revenue'!X$65+'YTD Revenue'!X$27)/W28,0)</f>
        <v>0</v>
      </c>
      <c r="X37" s="28"/>
      <c r="Y37" s="117">
        <f>IFERROR(('YTD Revenue'!Z$65+'YTD Revenue'!Z$27)/Y28,0)</f>
        <v>0</v>
      </c>
      <c r="Z37" s="28"/>
      <c r="AA37" s="117">
        <f>IFERROR(('YTD Revenue'!AB$65+'YTD Revenue'!AB$27)/AA28,0)</f>
        <v>0</v>
      </c>
      <c r="AB37" s="28"/>
      <c r="AC37" s="117">
        <f>IFERROR(('YTD Revenue'!AD$65+'YTD Revenue'!AD$27)/AC28,0)</f>
        <v>0</v>
      </c>
      <c r="AD37" s="29"/>
      <c r="AE37" s="24"/>
      <c r="AF37" s="117">
        <f>IFERROR(('YTD Revenue'!AG$65+'YTD Revenue'!AG$27)/AF28,0)</f>
        <v>12586.679829545452</v>
      </c>
    </row>
    <row r="38" spans="2:32" x14ac:dyDescent="0.25">
      <c r="B38" s="204"/>
      <c r="C38" s="40" t="s">
        <v>37</v>
      </c>
      <c r="E38" s="116">
        <f>IFERROR(('YTD Revenue'!F$65+'YTD Revenue'!F$27)/E29,0)</f>
        <v>6196.1420108695647</v>
      </c>
      <c r="F38" s="28"/>
      <c r="G38" s="116">
        <f>IFERROR(('YTD Revenue'!H$65+'YTD Revenue'!H$27)/G29,0)</f>
        <v>4406.4160655737696</v>
      </c>
      <c r="H38" s="28"/>
      <c r="I38" s="116">
        <f>IFERROR(('YTD Revenue'!J$65+'YTD Revenue'!J$27)/I29,0)</f>
        <v>0</v>
      </c>
      <c r="J38" s="28"/>
      <c r="K38" s="116">
        <f>IFERROR(('YTD Revenue'!L$65+'YTD Revenue'!L$27)/K29,0)</f>
        <v>0</v>
      </c>
      <c r="L38" s="28"/>
      <c r="M38" s="116">
        <f>IFERROR(('YTD Revenue'!N$65+'YTD Revenue'!N$27)/M29,0)</f>
        <v>0</v>
      </c>
      <c r="N38" s="28"/>
      <c r="O38" s="116">
        <f>IFERROR(('YTD Revenue'!P$65+'YTD Revenue'!P$27)/O29,0)</f>
        <v>0</v>
      </c>
      <c r="P38" s="28"/>
      <c r="Q38" s="116">
        <f>IFERROR(('YTD Revenue'!R$65+'YTD Revenue'!R$27)/Q29,0)</f>
        <v>0</v>
      </c>
      <c r="R38" s="28"/>
      <c r="S38" s="116">
        <f>IFERROR(('YTD Revenue'!T$65+'YTD Revenue'!T$27)/S29,0)</f>
        <v>0</v>
      </c>
      <c r="T38" s="28"/>
      <c r="U38" s="116">
        <f>IFERROR(('YTD Revenue'!V$65+'YTD Revenue'!V$27)/U29,0)</f>
        <v>0</v>
      </c>
      <c r="V38" s="28"/>
      <c r="W38" s="116">
        <f>IFERROR(('YTD Revenue'!X$65+'YTD Revenue'!X$27)/W29,0)</f>
        <v>0</v>
      </c>
      <c r="X38" s="28"/>
      <c r="Y38" s="116">
        <f>IFERROR(('YTD Revenue'!Z$65+'YTD Revenue'!Z$27)/Y29,0)</f>
        <v>0</v>
      </c>
      <c r="Z38" s="28"/>
      <c r="AA38" s="116">
        <f>IFERROR(('YTD Revenue'!AB$65+'YTD Revenue'!AB$27)/AA29,0)</f>
        <v>0</v>
      </c>
      <c r="AB38" s="28"/>
      <c r="AC38" s="116">
        <f>IFERROR(('YTD Revenue'!AD$65+'YTD Revenue'!AD$27)/AC29,0)</f>
        <v>0</v>
      </c>
      <c r="AD38" s="29"/>
      <c r="AE38" s="24"/>
      <c r="AF38" s="116">
        <f>IFERROR(('YTD Revenue'!AG$65+'YTD Revenue'!AG$27)/AF29,0)</f>
        <v>5175.8309579439237</v>
      </c>
    </row>
    <row r="39" spans="2:32" x14ac:dyDescent="0.25">
      <c r="B39" s="204"/>
      <c r="C39" s="40" t="s">
        <v>15</v>
      </c>
      <c r="E39" s="118">
        <f>IFERROR(('YTD Revenue'!F$65+'YTD Revenue'!F$27)/E30,0)</f>
        <v>19001.502166666665</v>
      </c>
      <c r="F39" s="32"/>
      <c r="G39" s="118">
        <f>IFERROR(('YTD Revenue'!H$65+'YTD Revenue'!H$27)/G30,0)</f>
        <v>9599.6921428571404</v>
      </c>
      <c r="H39" s="32"/>
      <c r="I39" s="118">
        <f>IFERROR(('YTD Revenue'!J$65+'YTD Revenue'!J$27)/I30,0)</f>
        <v>0</v>
      </c>
      <c r="J39" s="32"/>
      <c r="K39" s="118">
        <f>IFERROR(('YTD Revenue'!L$65+'YTD Revenue'!L$27)/K30,0)</f>
        <v>0</v>
      </c>
      <c r="L39" s="32"/>
      <c r="M39" s="118">
        <f>IFERROR(('YTD Revenue'!N$65+'YTD Revenue'!N$27)/M30,0)</f>
        <v>0</v>
      </c>
      <c r="N39" s="32"/>
      <c r="O39" s="118">
        <f>IFERROR(('YTD Revenue'!P$65+'YTD Revenue'!P$27)/O30,0)</f>
        <v>0</v>
      </c>
      <c r="P39" s="32"/>
      <c r="Q39" s="118">
        <f>IFERROR(('YTD Revenue'!R$65+'YTD Revenue'!R$27)/Q30,0)</f>
        <v>0</v>
      </c>
      <c r="R39" s="32"/>
      <c r="S39" s="118">
        <f>IFERROR(('YTD Revenue'!T$65+'YTD Revenue'!T$27)/S30,0)</f>
        <v>0</v>
      </c>
      <c r="T39" s="32"/>
      <c r="U39" s="118">
        <f>IFERROR(('YTD Revenue'!V$65+'YTD Revenue'!V$27)/U30,0)</f>
        <v>0</v>
      </c>
      <c r="V39" s="32"/>
      <c r="W39" s="118">
        <f>IFERROR(('YTD Revenue'!X$65+'YTD Revenue'!X$27)/W30,0)</f>
        <v>0</v>
      </c>
      <c r="X39" s="32"/>
      <c r="Y39" s="118">
        <f>IFERROR(('YTD Revenue'!Z$65+'YTD Revenue'!Z$27)/Y30,0)</f>
        <v>0</v>
      </c>
      <c r="Z39" s="32"/>
      <c r="AA39" s="118">
        <f>IFERROR(('YTD Revenue'!AB$65+'YTD Revenue'!AB$27)/AA30,0)</f>
        <v>0</v>
      </c>
      <c r="AB39" s="32"/>
      <c r="AC39" s="118">
        <f>IFERROR(('YTD Revenue'!AD$65+'YTD Revenue'!AD$27)/AC30,0)</f>
        <v>0</v>
      </c>
      <c r="AD39" s="32"/>
      <c r="AE39" s="33"/>
      <c r="AF39" s="118">
        <f>IFERROR(('YTD Revenue'!AG$65+'YTD Revenue'!AG$27)/AF30,0)</f>
        <v>12879.393313953486</v>
      </c>
    </row>
    <row r="40" spans="2:32" x14ac:dyDescent="0.25">
      <c r="E40" s="39"/>
      <c r="G40" s="39"/>
      <c r="I40" s="39"/>
      <c r="K40" s="39"/>
      <c r="M40" s="39"/>
      <c r="O40" s="39"/>
      <c r="Q40" s="39"/>
      <c r="S40" s="39"/>
      <c r="U40" s="39"/>
      <c r="W40" s="39"/>
      <c r="Y40" s="39"/>
      <c r="AA40" s="39"/>
      <c r="AC40" s="39"/>
      <c r="AF40" s="39"/>
    </row>
    <row r="42" spans="2:32" x14ac:dyDescent="0.25">
      <c r="B42" s="204" t="s">
        <v>240</v>
      </c>
      <c r="C42" s="40" t="s">
        <v>44</v>
      </c>
      <c r="E42" s="115">
        <f>IFERROR(('YTD Revenue'!F$59+'YTD Revenue'!F$21)/E24,0)</f>
        <v>212.86076923076922</v>
      </c>
      <c r="F42" s="28"/>
      <c r="G42" s="115">
        <f>IFERROR(('YTD Revenue'!H$59+'YTD Revenue'!H$21)/G24,0)</f>
        <v>175.2287769784173</v>
      </c>
      <c r="H42" s="28"/>
      <c r="I42" s="115">
        <f>IFERROR(('YTD Revenue'!J$59+'YTD Revenue'!J$21)/I24,0)</f>
        <v>0</v>
      </c>
      <c r="J42" s="28"/>
      <c r="K42" s="115">
        <f>IFERROR(('YTD Revenue'!L$59+'YTD Revenue'!L$21)/K24,0)</f>
        <v>0</v>
      </c>
      <c r="L42" s="28"/>
      <c r="M42" s="115">
        <f>IFERROR(('YTD Revenue'!N$59+'YTD Revenue'!N$21)/M24,0)</f>
        <v>0</v>
      </c>
      <c r="N42" s="28"/>
      <c r="O42" s="115">
        <f>IFERROR(('YTD Revenue'!P$59+'YTD Revenue'!P$21)/O24,0)</f>
        <v>0</v>
      </c>
      <c r="P42" s="28"/>
      <c r="Q42" s="115">
        <f>IFERROR(('YTD Revenue'!R$59+'YTD Revenue'!R$21)/Q24,0)</f>
        <v>0</v>
      </c>
      <c r="R42" s="28"/>
      <c r="S42" s="115">
        <f>IFERROR(('YTD Revenue'!T$59+'YTD Revenue'!T$21)/S24,0)</f>
        <v>0</v>
      </c>
      <c r="T42" s="28"/>
      <c r="U42" s="115">
        <f>IFERROR(('YTD Revenue'!V$59+'YTD Revenue'!V$21)/U24,0)</f>
        <v>0</v>
      </c>
      <c r="V42" s="28"/>
      <c r="W42" s="115">
        <f>IFERROR(('YTD Revenue'!X$59+'YTD Revenue'!X$21)/W24,0)</f>
        <v>0</v>
      </c>
      <c r="X42" s="28"/>
      <c r="Y42" s="115">
        <f>IFERROR(('YTD Revenue'!Z$59+'YTD Revenue'!Z$21)/Y24,0)</f>
        <v>0</v>
      </c>
      <c r="Z42" s="28"/>
      <c r="AA42" s="115">
        <f>IFERROR(('YTD Revenue'!AB$59+'YTD Revenue'!AB$21)/AA24,0)</f>
        <v>0</v>
      </c>
      <c r="AB42" s="28"/>
      <c r="AC42" s="115">
        <f>IFERROR(('YTD Revenue'!AD$59+'YTD Revenue'!AD$21)/AC24,0)</f>
        <v>0</v>
      </c>
      <c r="AD42" s="29"/>
      <c r="AE42" s="24"/>
      <c r="AF42" s="115">
        <f>IFERROR(('YTD Revenue'!AG$59+'YTD Revenue'!AG$21)/AF24,0)</f>
        <v>193.41524163568778</v>
      </c>
    </row>
    <row r="43" spans="2:32" x14ac:dyDescent="0.25">
      <c r="B43" s="204"/>
      <c r="C43" s="40" t="s">
        <v>535</v>
      </c>
      <c r="E43" s="103">
        <f>IFERROR(('YTD Revenue'!F$59+'YTD Revenue'!F$21)/E25,0)</f>
        <v>60.41899563318777</v>
      </c>
      <c r="F43" s="28"/>
      <c r="G43" s="103">
        <f>IFERROR(('YTD Revenue'!H$59+'YTD Revenue'!H$21)/G25,0)</f>
        <v>49.106451612903236</v>
      </c>
      <c r="H43" s="28"/>
      <c r="I43" s="103">
        <f>IFERROR(('YTD Revenue'!J$59+'YTD Revenue'!J$21)/I25,0)</f>
        <v>0</v>
      </c>
      <c r="J43" s="28"/>
      <c r="K43" s="103">
        <f>IFERROR(('YTD Revenue'!L$59+'YTD Revenue'!L$21)/K25,0)</f>
        <v>0</v>
      </c>
      <c r="L43" s="28"/>
      <c r="M43" s="103">
        <f>IFERROR(('YTD Revenue'!N$59+'YTD Revenue'!N$21)/M25,0)</f>
        <v>0</v>
      </c>
      <c r="N43" s="28"/>
      <c r="O43" s="103">
        <f>IFERROR(('YTD Revenue'!P$59+'YTD Revenue'!P$21)/O25,0)</f>
        <v>0</v>
      </c>
      <c r="P43" s="28"/>
      <c r="Q43" s="103">
        <f>IFERROR(('YTD Revenue'!R$59+'YTD Revenue'!R$21)/Q25,0)</f>
        <v>0</v>
      </c>
      <c r="R43" s="28"/>
      <c r="S43" s="103">
        <f>IFERROR(('YTD Revenue'!T$59+'YTD Revenue'!T$21)/S25,0)</f>
        <v>0</v>
      </c>
      <c r="T43" s="28"/>
      <c r="U43" s="103">
        <f>IFERROR(('YTD Revenue'!V$59+'YTD Revenue'!V$21)/U25,0)</f>
        <v>0</v>
      </c>
      <c r="V43" s="28"/>
      <c r="W43" s="103">
        <f>IFERROR(('YTD Revenue'!X$59+'YTD Revenue'!X$21)/W25,0)</f>
        <v>0</v>
      </c>
      <c r="X43" s="28"/>
      <c r="Y43" s="103">
        <f>IFERROR(('YTD Revenue'!Z$59+'YTD Revenue'!Z$21)/Y25,0)</f>
        <v>0</v>
      </c>
      <c r="Z43" s="28"/>
      <c r="AA43" s="103">
        <f>IFERROR(('YTD Revenue'!AB$59+'YTD Revenue'!AB$21)/AA25,0)</f>
        <v>0</v>
      </c>
      <c r="AB43" s="28"/>
      <c r="AC43" s="103">
        <f>IFERROR(('YTD Revenue'!AD$59+'YTD Revenue'!AD$21)/AC25,0)</f>
        <v>0</v>
      </c>
      <c r="AD43" s="29"/>
      <c r="AE43" s="24"/>
      <c r="AF43" s="116">
        <f>IFERROR(('YTD Revenue'!AG$59+'YTD Revenue'!AG$21)/AF25,0)</f>
        <v>54.537421383647811</v>
      </c>
    </row>
    <row r="44" spans="2:32" x14ac:dyDescent="0.25">
      <c r="B44" s="204"/>
      <c r="C44" s="40" t="s">
        <v>536</v>
      </c>
      <c r="E44" s="219">
        <f>IFERROR(('YTD Revenue'!F$59+'YTD Revenue'!F$21)/E26,0)</f>
        <v>2.3094558504423301</v>
      </c>
      <c r="F44" s="28"/>
      <c r="G44" s="219">
        <f>IFERROR(('YTD Revenue'!H$59+'YTD Revenue'!H$21)/G26,0)</f>
        <v>1.6878109625112609</v>
      </c>
      <c r="H44" s="28"/>
      <c r="I44" s="219">
        <f>IFERROR(('YTD Revenue'!J$59+'YTD Revenue'!J$21)/I26,0)</f>
        <v>0</v>
      </c>
      <c r="J44" s="28"/>
      <c r="K44" s="219">
        <f>IFERROR(('YTD Revenue'!L$59+'YTD Revenue'!L$21)/K26,0)</f>
        <v>0</v>
      </c>
      <c r="L44" s="28"/>
      <c r="M44" s="219">
        <f>IFERROR(('YTD Revenue'!N$59+'YTD Revenue'!N$21)/M26,0)</f>
        <v>0</v>
      </c>
      <c r="N44" s="28"/>
      <c r="O44" s="219">
        <f>IFERROR(('YTD Revenue'!P$59+'YTD Revenue'!P$21)/O26,0)</f>
        <v>0</v>
      </c>
      <c r="P44" s="28"/>
      <c r="Q44" s="219">
        <f>IFERROR(('YTD Revenue'!R$59+'YTD Revenue'!R$21)/Q26,0)</f>
        <v>0</v>
      </c>
      <c r="R44" s="28"/>
      <c r="S44" s="219">
        <f>IFERROR(('YTD Revenue'!T$59+'YTD Revenue'!T$21)/S26,0)</f>
        <v>0</v>
      </c>
      <c r="T44" s="28"/>
      <c r="U44" s="219">
        <f>IFERROR(('YTD Revenue'!V$59+'YTD Revenue'!V$21)/U26,0)</f>
        <v>0</v>
      </c>
      <c r="V44" s="28"/>
      <c r="W44" s="219">
        <f>IFERROR(('YTD Revenue'!X$59+'YTD Revenue'!X$21)/W26,0)</f>
        <v>0</v>
      </c>
      <c r="X44" s="28"/>
      <c r="Y44" s="219">
        <f>IFERROR(('YTD Revenue'!Z$59+'YTD Revenue'!Z$21)/Y26,0)</f>
        <v>0</v>
      </c>
      <c r="Z44" s="28"/>
      <c r="AA44" s="219">
        <f>IFERROR(('YTD Revenue'!AB$59+'YTD Revenue'!AB$21)/AA26,0)</f>
        <v>0</v>
      </c>
      <c r="AB44" s="28"/>
      <c r="AC44" s="219">
        <f>IFERROR(('YTD Revenue'!AD$59+'YTD Revenue'!AD$21)/AC26,0)</f>
        <v>0</v>
      </c>
      <c r="AD44" s="29"/>
      <c r="AE44" s="24"/>
      <c r="AF44" s="219">
        <f>IFERROR(('YTD Revenue'!AG$59+'YTD Revenue'!AG$21)/AF26,0)</f>
        <v>1.969814106689888</v>
      </c>
    </row>
    <row r="45" spans="2:32" x14ac:dyDescent="0.25">
      <c r="B45" s="204"/>
      <c r="C45" s="40" t="s">
        <v>109</v>
      </c>
      <c r="E45" s="116">
        <f>IFERROR(('YTD Revenue'!F$59+'YTD Revenue'!F$21)/E27,0)</f>
        <v>204.22066420664206</v>
      </c>
      <c r="F45" s="28"/>
      <c r="G45" s="116">
        <f>IFERROR(('YTD Revenue'!H$59+'YTD Revenue'!H$21)/G27,0)</f>
        <v>151.75576323987542</v>
      </c>
      <c r="H45" s="28"/>
      <c r="I45" s="116">
        <f>IFERROR(('YTD Revenue'!J$59+'YTD Revenue'!J$21)/I27,0)</f>
        <v>0</v>
      </c>
      <c r="J45" s="28"/>
      <c r="K45" s="116">
        <f>IFERROR(('YTD Revenue'!L$59+'YTD Revenue'!L$21)/K27,0)</f>
        <v>0</v>
      </c>
      <c r="L45" s="28"/>
      <c r="M45" s="116">
        <f>IFERROR(('YTD Revenue'!N$59+'YTD Revenue'!N$21)/M27,0)</f>
        <v>0</v>
      </c>
      <c r="N45" s="28"/>
      <c r="O45" s="116">
        <f>IFERROR(('YTD Revenue'!P$59+'YTD Revenue'!P$21)/O27,0)</f>
        <v>0</v>
      </c>
      <c r="P45" s="28"/>
      <c r="Q45" s="116">
        <f>IFERROR(('YTD Revenue'!R$59+'YTD Revenue'!R$21)/Q27,0)</f>
        <v>0</v>
      </c>
      <c r="R45" s="28"/>
      <c r="S45" s="116">
        <f>IFERROR(('YTD Revenue'!T$59+'YTD Revenue'!T$21)/S27,0)</f>
        <v>0</v>
      </c>
      <c r="T45" s="28"/>
      <c r="U45" s="116">
        <f>IFERROR(('YTD Revenue'!V$59+'YTD Revenue'!V$21)/U27,0)</f>
        <v>0</v>
      </c>
      <c r="V45" s="28"/>
      <c r="W45" s="116">
        <f>IFERROR(('YTD Revenue'!X$59+'YTD Revenue'!X$21)/W27,0)</f>
        <v>0</v>
      </c>
      <c r="X45" s="28"/>
      <c r="Y45" s="116">
        <f>IFERROR(('YTD Revenue'!Z$59+'YTD Revenue'!Z$21)/Y27,0)</f>
        <v>0</v>
      </c>
      <c r="Z45" s="28"/>
      <c r="AA45" s="116">
        <f>IFERROR(('YTD Revenue'!AB$59+'YTD Revenue'!AB$21)/AA27,0)</f>
        <v>0</v>
      </c>
      <c r="AB45" s="28"/>
      <c r="AC45" s="116">
        <f>IFERROR(('YTD Revenue'!AD$59+'YTD Revenue'!AD$21)/AC27,0)</f>
        <v>0</v>
      </c>
      <c r="AD45" s="29"/>
      <c r="AE45" s="24"/>
      <c r="AF45" s="116">
        <f>IFERROR(('YTD Revenue'!AG$59+'YTD Revenue'!AG$21)/AF27,0)</f>
        <v>175.77263513513518</v>
      </c>
    </row>
    <row r="46" spans="2:32" x14ac:dyDescent="0.25">
      <c r="B46" s="204"/>
      <c r="C46" s="40" t="s">
        <v>14</v>
      </c>
      <c r="E46" s="117">
        <f>IFERROR(('YTD Revenue'!F$59+'YTD Revenue'!F$21)/E28,0)</f>
        <v>1383.5949999999998</v>
      </c>
      <c r="F46" s="28">
        <v>0.01</v>
      </c>
      <c r="G46" s="117">
        <f>IFERROR(('YTD Revenue'!H$59+'YTD Revenue'!H$21)/G28,0)</f>
        <v>1014.8666666666669</v>
      </c>
      <c r="H46" s="28"/>
      <c r="I46" s="117">
        <f>IFERROR(('YTD Revenue'!J$59+'YTD Revenue'!J$21)/I28,0)</f>
        <v>0</v>
      </c>
      <c r="J46" s="28"/>
      <c r="K46" s="117">
        <f>IFERROR(('YTD Revenue'!L$59+'YTD Revenue'!L$21)/K28,0)</f>
        <v>0</v>
      </c>
      <c r="L46" s="28"/>
      <c r="M46" s="117">
        <f>IFERROR(('YTD Revenue'!N$59+'YTD Revenue'!N$21)/M28,0)</f>
        <v>0</v>
      </c>
      <c r="N46" s="28"/>
      <c r="O46" s="117">
        <f>IFERROR(('YTD Revenue'!P$59+'YTD Revenue'!P$21)/O28,0)</f>
        <v>0</v>
      </c>
      <c r="P46" s="28"/>
      <c r="Q46" s="117">
        <f>IFERROR(('YTD Revenue'!R$59+'YTD Revenue'!R$21)/Q28,0)</f>
        <v>0</v>
      </c>
      <c r="R46" s="28"/>
      <c r="S46" s="117">
        <f>IFERROR(('YTD Revenue'!T$59+'YTD Revenue'!T$21)/S28,0)</f>
        <v>0</v>
      </c>
      <c r="T46" s="28"/>
      <c r="U46" s="117">
        <f>IFERROR(('YTD Revenue'!V$59+'YTD Revenue'!V$21)/U28,0)</f>
        <v>0</v>
      </c>
      <c r="V46" s="28"/>
      <c r="W46" s="117">
        <f>IFERROR(('YTD Revenue'!X$59+'YTD Revenue'!X$21)/W28,0)</f>
        <v>0</v>
      </c>
      <c r="X46" s="28"/>
      <c r="Y46" s="117">
        <f>IFERROR(('YTD Revenue'!Z$59+'YTD Revenue'!Z$21)/Y28,0)</f>
        <v>0</v>
      </c>
      <c r="Z46" s="28"/>
      <c r="AA46" s="117">
        <f>IFERROR(('YTD Revenue'!AB$59+'YTD Revenue'!AB$21)/AA28,0)</f>
        <v>0</v>
      </c>
      <c r="AB46" s="28"/>
      <c r="AC46" s="117">
        <f>IFERROR(('YTD Revenue'!AD$59+'YTD Revenue'!AD$21)/AC28,0)</f>
        <v>0</v>
      </c>
      <c r="AD46" s="29"/>
      <c r="AE46" s="24"/>
      <c r="AF46" s="117">
        <f>IFERROR(('YTD Revenue'!AG$59+'YTD Revenue'!AG$21)/AF28,0)</f>
        <v>1182.4704545454549</v>
      </c>
    </row>
    <row r="47" spans="2:32" x14ac:dyDescent="0.25">
      <c r="B47" s="204"/>
      <c r="C47" s="40" t="s">
        <v>37</v>
      </c>
      <c r="E47" s="116">
        <f>IFERROR(('YTD Revenue'!F$59+'YTD Revenue'!F$21)/E29,0)</f>
        <v>601.56304347826085</v>
      </c>
      <c r="F47" s="28"/>
      <c r="G47" s="116">
        <f>IFERROR(('YTD Revenue'!H$59+'YTD Revenue'!H$21)/G29,0)</f>
        <v>399.29180327868863</v>
      </c>
      <c r="H47" s="28"/>
      <c r="I47" s="116">
        <f>IFERROR(('YTD Revenue'!J$59+'YTD Revenue'!J$21)/I29,0)</f>
        <v>0</v>
      </c>
      <c r="J47" s="28"/>
      <c r="K47" s="116">
        <f>IFERROR(('YTD Revenue'!L$59+'YTD Revenue'!L$21)/K29,0)</f>
        <v>0</v>
      </c>
      <c r="L47" s="28"/>
      <c r="M47" s="116">
        <f>IFERROR(('YTD Revenue'!N$59+'YTD Revenue'!N$21)/M29,0)</f>
        <v>0</v>
      </c>
      <c r="N47" s="28"/>
      <c r="O47" s="116">
        <f>IFERROR(('YTD Revenue'!P$59+'YTD Revenue'!P$21)/O29,0)</f>
        <v>0</v>
      </c>
      <c r="P47" s="28"/>
      <c r="Q47" s="116">
        <f>IFERROR(('YTD Revenue'!R$59+'YTD Revenue'!R$21)/Q29,0)</f>
        <v>0</v>
      </c>
      <c r="R47" s="28"/>
      <c r="S47" s="116">
        <f>IFERROR(('YTD Revenue'!T$59+'YTD Revenue'!T$21)/S29,0)</f>
        <v>0</v>
      </c>
      <c r="T47" s="28"/>
      <c r="U47" s="116">
        <f>IFERROR(('YTD Revenue'!V$59+'YTD Revenue'!V$21)/U29,0)</f>
        <v>0</v>
      </c>
      <c r="V47" s="28"/>
      <c r="W47" s="116">
        <f>IFERROR(('YTD Revenue'!X$59+'YTD Revenue'!X$21)/W29,0)</f>
        <v>0</v>
      </c>
      <c r="X47" s="28"/>
      <c r="Y47" s="116">
        <f>IFERROR(('YTD Revenue'!Z$59+'YTD Revenue'!Z$21)/Y29,0)</f>
        <v>0</v>
      </c>
      <c r="Z47" s="28"/>
      <c r="AA47" s="116">
        <f>IFERROR(('YTD Revenue'!AB$59+'YTD Revenue'!AB$21)/AA29,0)</f>
        <v>0</v>
      </c>
      <c r="AB47" s="28"/>
      <c r="AC47" s="116">
        <f>IFERROR(('YTD Revenue'!AD$59+'YTD Revenue'!AD$21)/AC29,0)</f>
        <v>0</v>
      </c>
      <c r="AD47" s="29"/>
      <c r="AE47" s="24"/>
      <c r="AF47" s="116">
        <f>IFERROR(('YTD Revenue'!AG$59+'YTD Revenue'!AG$21)/AF29,0)</f>
        <v>486.2495327102805</v>
      </c>
    </row>
    <row r="48" spans="2:32" x14ac:dyDescent="0.25">
      <c r="B48" s="204"/>
      <c r="C48" s="40" t="s">
        <v>15</v>
      </c>
      <c r="E48" s="118">
        <f>IFERROR(('YTD Revenue'!F$59+'YTD Revenue'!F$21)/E30,0)</f>
        <v>1844.7933333333333</v>
      </c>
      <c r="F48" s="32"/>
      <c r="G48" s="118">
        <f>IFERROR(('YTD Revenue'!H$59+'YTD Revenue'!H$21)/G30,0)</f>
        <v>869.88571428571447</v>
      </c>
      <c r="H48" s="32"/>
      <c r="I48" s="118">
        <f>IFERROR(('YTD Revenue'!J$59+'YTD Revenue'!J$21)/I30,0)</f>
        <v>0</v>
      </c>
      <c r="J48" s="32"/>
      <c r="K48" s="118">
        <f>IFERROR(('YTD Revenue'!L$59+'YTD Revenue'!L$21)/K30,0)</f>
        <v>0</v>
      </c>
      <c r="L48" s="32"/>
      <c r="M48" s="118">
        <f>IFERROR(('YTD Revenue'!N$59+'YTD Revenue'!N$21)/M30,0)</f>
        <v>0</v>
      </c>
      <c r="N48" s="32"/>
      <c r="O48" s="118">
        <f>IFERROR(('YTD Revenue'!P$59+'YTD Revenue'!P$21)/O30,0)</f>
        <v>0</v>
      </c>
      <c r="P48" s="32"/>
      <c r="Q48" s="118">
        <f>IFERROR(('YTD Revenue'!R$59+'YTD Revenue'!R$21)/Q30,0)</f>
        <v>0</v>
      </c>
      <c r="R48" s="32"/>
      <c r="S48" s="118">
        <f>IFERROR(('YTD Revenue'!T$59+'YTD Revenue'!T$21)/S30,0)</f>
        <v>0</v>
      </c>
      <c r="T48" s="32"/>
      <c r="U48" s="118">
        <f>IFERROR(('YTD Revenue'!V$59+'YTD Revenue'!V$21)/U30,0)</f>
        <v>0</v>
      </c>
      <c r="V48" s="32"/>
      <c r="W48" s="118">
        <f>IFERROR(('YTD Revenue'!X$59+'YTD Revenue'!X$21)/W30,0)</f>
        <v>0</v>
      </c>
      <c r="X48" s="32"/>
      <c r="Y48" s="118">
        <f>IFERROR(('YTD Revenue'!Z$59+'YTD Revenue'!Z$21)/Y30,0)</f>
        <v>0</v>
      </c>
      <c r="Z48" s="32"/>
      <c r="AA48" s="118">
        <f>IFERROR(('YTD Revenue'!AB$59+'YTD Revenue'!AB$21)/AA30,0)</f>
        <v>0</v>
      </c>
      <c r="AB48" s="32"/>
      <c r="AC48" s="118">
        <f>IFERROR(('YTD Revenue'!AD$59+'YTD Revenue'!AD$21)/AC30,0)</f>
        <v>0</v>
      </c>
      <c r="AD48" s="32"/>
      <c r="AE48" s="33"/>
      <c r="AF48" s="118">
        <f>IFERROR(('YTD Revenue'!AG$59+'YTD Revenue'!AG$21)/AF30,0)</f>
        <v>1209.9697674418608</v>
      </c>
    </row>
    <row r="50" spans="5:5" x14ac:dyDescent="0.25">
      <c r="E50" s="10"/>
    </row>
    <row r="51" spans="5:5" x14ac:dyDescent="0.25">
      <c r="E51" s="10"/>
    </row>
    <row r="52" spans="5:5" x14ac:dyDescent="0.25">
      <c r="E52" s="10"/>
    </row>
    <row r="53" spans="5:5" x14ac:dyDescent="0.25">
      <c r="E53" s="10"/>
    </row>
    <row r="54" spans="5:5" x14ac:dyDescent="0.25">
      <c r="E54" s="10"/>
    </row>
    <row r="55" spans="5:5" x14ac:dyDescent="0.25">
      <c r="E55" s="10"/>
    </row>
  </sheetData>
  <sheetProtection selectLockedCells="1"/>
  <mergeCells count="7">
    <mergeCell ref="AI5:AJ5"/>
    <mergeCell ref="B42:B48"/>
    <mergeCell ref="C3:K3"/>
    <mergeCell ref="B24:B30"/>
    <mergeCell ref="B11:B14"/>
    <mergeCell ref="B33:B39"/>
    <mergeCell ref="B17:B21"/>
  </mergeCells>
  <phoneticPr fontId="4" type="noConversion"/>
  <conditionalFormatting sqref="AC5">
    <cfRule type="cellIs" dxfId="147" priority="3" operator="equal">
      <formula>"Preliminary"</formula>
    </cfRule>
  </conditionalFormatting>
  <conditionalFormatting sqref="E5">
    <cfRule type="cellIs" dxfId="146" priority="15" operator="equal">
      <formula>"Preliminary"</formula>
    </cfRule>
  </conditionalFormatting>
  <conditionalFormatting sqref="G5">
    <cfRule type="cellIs" dxfId="145" priority="14" operator="equal">
      <formula>"Preliminary"</formula>
    </cfRule>
  </conditionalFormatting>
  <conditionalFormatting sqref="I5">
    <cfRule type="cellIs" dxfId="144" priority="13" operator="equal">
      <formula>"Preliminary"</formula>
    </cfRule>
  </conditionalFormatting>
  <conditionalFormatting sqref="K5">
    <cfRule type="cellIs" dxfId="143" priority="12" operator="equal">
      <formula>"Preliminary"</formula>
    </cfRule>
  </conditionalFormatting>
  <conditionalFormatting sqref="M5">
    <cfRule type="cellIs" dxfId="142" priority="11" operator="equal">
      <formula>"Preliminary"</formula>
    </cfRule>
  </conditionalFormatting>
  <conditionalFormatting sqref="O5">
    <cfRule type="cellIs" dxfId="141" priority="10" operator="equal">
      <formula>"Preliminary"</formula>
    </cfRule>
  </conditionalFormatting>
  <conditionalFormatting sqref="Q5">
    <cfRule type="cellIs" dxfId="140" priority="9" operator="equal">
      <formula>"Preliminary"</formula>
    </cfRule>
  </conditionalFormatting>
  <conditionalFormatting sqref="S5">
    <cfRule type="cellIs" dxfId="139" priority="8" operator="equal">
      <formula>"Preliminary"</formula>
    </cfRule>
  </conditionalFormatting>
  <conditionalFormatting sqref="U5">
    <cfRule type="cellIs" dxfId="138" priority="7" operator="equal">
      <formula>"Preliminary"</formula>
    </cfRule>
  </conditionalFormatting>
  <conditionalFormatting sqref="W5">
    <cfRule type="cellIs" dxfId="137" priority="6" operator="equal">
      <formula>"Preliminary"</formula>
    </cfRule>
  </conditionalFormatting>
  <conditionalFormatting sqref="Y5">
    <cfRule type="cellIs" dxfId="136" priority="5" operator="equal">
      <formula>"Preliminary"</formula>
    </cfRule>
  </conditionalFormatting>
  <conditionalFormatting sqref="AA5">
    <cfRule type="cellIs" dxfId="135" priority="4" operator="equal">
      <formula>"Preliminary"</formula>
    </cfRule>
  </conditionalFormatting>
  <dataValidations count="1">
    <dataValidation type="list" allowBlank="1" showErrorMessage="1" errorTitle="Revenue Source:" error="Select &quot;Yes&quot; or &quot;No&quot; only." sqref="AJ6:AJ8" xr:uid="{061CF8C8-2658-4372-8545-C28CEB8CEF46}">
      <formula1>"Yes, No"</formula1>
    </dataValidation>
  </dataValidations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9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zoomScaleNormal="100" workbookViewId="0">
      <pane ySplit="4" topLeftCell="A20" activePane="bottomLeft" state="frozen"/>
      <selection pane="bottomLeft" activeCell="F39" sqref="F39"/>
    </sheetView>
  </sheetViews>
  <sheetFormatPr defaultRowHeight="15" outlineLevelCol="1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0" max="45" width="9.140625" hidden="1" customWidth="1" outlineLevel="1"/>
    <col min="46" max="46" width="9.140625" customWidth="1" collapsed="1"/>
  </cols>
  <sheetData>
    <row r="1" spans="2:46" ht="18" x14ac:dyDescent="0.25">
      <c r="C1" s="9" t="str">
        <f>'YTD Revenue'!$C$1</f>
        <v>BANQUET BEVERAGE REVENUE ANALYSIS</v>
      </c>
      <c r="AF1" s="9">
        <f>'YTD Revenue'!$AG$1</f>
        <v>2022</v>
      </c>
      <c r="AG1" s="62">
        <f>'YTD Revenue'!AG1</f>
        <v>2022</v>
      </c>
      <c r="AH1" s="62"/>
      <c r="AI1" s="62"/>
    </row>
    <row r="2" spans="2:46" x14ac:dyDescent="0.25">
      <c r="C2" s="16" t="s">
        <v>260</v>
      </c>
    </row>
    <row r="3" spans="2:46" x14ac:dyDescent="0.25">
      <c r="C3" s="199">
        <f>Transactions!$B$3</f>
        <v>44887.394606481481</v>
      </c>
      <c r="D3" s="199"/>
      <c r="E3" s="199"/>
      <c r="F3" s="199"/>
      <c r="G3" s="199"/>
      <c r="H3" s="199"/>
      <c r="I3" s="199"/>
      <c r="J3" s="199"/>
      <c r="K3" s="199"/>
    </row>
    <row r="4" spans="2:46" x14ac:dyDescent="0.25">
      <c r="C4" s="64"/>
      <c r="D4" s="64"/>
      <c r="E4" s="64"/>
      <c r="F4" s="64"/>
      <c r="G4" s="64"/>
      <c r="H4" s="64"/>
      <c r="I4" s="64"/>
      <c r="J4" s="64"/>
      <c r="K4" s="64"/>
    </row>
    <row r="6" spans="2:46" ht="15" customHeight="1" x14ac:dyDescent="0.25">
      <c r="C6" s="49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241</v>
      </c>
      <c r="AE6" s="20"/>
      <c r="AG6" s="20" t="s">
        <v>93</v>
      </c>
    </row>
    <row r="7" spans="2:46" ht="15" customHeight="1" x14ac:dyDescent="0.25">
      <c r="B7" s="201" t="s">
        <v>294</v>
      </c>
      <c r="C7" s="206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Revenue'!$AJ$8="28 Days",AB8+(1/86400),"")</f>
        <v/>
      </c>
      <c r="AE7" s="24"/>
      <c r="AF7" s="24"/>
      <c r="AG7" s="22">
        <f>F7</f>
        <v>44197</v>
      </c>
      <c r="AH7" s="167"/>
    </row>
    <row r="8" spans="2:46" x14ac:dyDescent="0.25">
      <c r="B8" s="201"/>
      <c r="C8" s="206"/>
      <c r="D8" s="21" t="s">
        <v>31</v>
      </c>
      <c r="F8" s="25">
        <f>IF('YTD Revenue'!$AJ$8="Monthly",EOMONTH(F7,0)+1-(1/86400),F7+28-(1/86400))</f>
        <v>44227.999988425923</v>
      </c>
      <c r="G8" s="23"/>
      <c r="H8" s="25">
        <f>IF('YTD Revenue'!$AJ$8="Monthly",EOMONTH(H7,0)+1-(1/86400),H7+28-(1/86400))</f>
        <v>44255.999988425923</v>
      </c>
      <c r="I8" s="23"/>
      <c r="J8" s="25">
        <f>IF('YTD Revenue'!$AJ$8="Monthly",EOMONTH(J7,0)+1-(1/86400),J7+28-(1/86400))</f>
        <v>44286.999988425923</v>
      </c>
      <c r="K8" s="23"/>
      <c r="L8" s="25">
        <f>IF('YTD Revenue'!$AJ$8="Monthly",EOMONTH(L7,0)+1-(1/86400),L7+28-(1/86400))</f>
        <v>44316.999988425923</v>
      </c>
      <c r="M8" s="23"/>
      <c r="N8" s="25">
        <f>IF('YTD Revenue'!$AJ$8="Monthly",EOMONTH(N7,0)+1-(1/86400),N7+28-(1/86400))</f>
        <v>44347.999988425923</v>
      </c>
      <c r="O8" s="23"/>
      <c r="P8" s="25">
        <f>IF('YTD Revenue'!$AJ$8="Monthly",EOMONTH(P7,0)+1-(1/86400),P7+28-(1/86400))</f>
        <v>44377.999988425923</v>
      </c>
      <c r="Q8" s="23"/>
      <c r="R8" s="25">
        <f>IF('YTD Revenue'!$AJ$8="Monthly",EOMONTH(R7,0)+1-(1/86400),R7+28-(1/86400))</f>
        <v>44408.999988425923</v>
      </c>
      <c r="S8" s="23"/>
      <c r="T8" s="25">
        <f>IF('YTD Revenue'!$AJ$8="Monthly",EOMONTH(T7,0)+1-(1/86400),T7+28-(1/86400))</f>
        <v>44439.999988425923</v>
      </c>
      <c r="U8" s="23"/>
      <c r="V8" s="25">
        <f>IF('YTD Revenue'!$AJ$8="Monthly",EOMONTH(V7,0)+1-(1/86400),V7+28-(1/86400))</f>
        <v>44469.999988425923</v>
      </c>
      <c r="W8" s="23"/>
      <c r="X8" s="25">
        <f>IF('YTD Revenue'!$AJ$8="Monthly",EOMONTH(X7,0)+1-(1/86400),X7+28-(1/86400))</f>
        <v>44500.999988425923</v>
      </c>
      <c r="Y8" s="23"/>
      <c r="Z8" s="25">
        <f>IF('YTD Revenue'!$AJ$8="Monthly",EOMONTH(Z7,0)+1-(1/86400),Z7+28-(1/86400))</f>
        <v>44530.999988425923</v>
      </c>
      <c r="AA8" s="23"/>
      <c r="AB8" s="25">
        <f>IF('YTD Revenue'!$AJ$8="Monthly",EOMONTH(AB7,0)+1-(1/86400),AB7+28-(1/86400))</f>
        <v>44561.999988425923</v>
      </c>
      <c r="AC8" s="23"/>
      <c r="AD8" s="25" t="str">
        <f>IF('YTD Revenue'!$AJ$8="28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67"/>
    </row>
    <row r="9" spans="2:46" ht="15" customHeight="1" x14ac:dyDescent="0.25">
      <c r="B9" s="201"/>
      <c r="C9" s="30"/>
      <c r="F9" s="59" t="str">
        <f>IF(F14&gt;LARGE($F14:$AD14,2),"Highest",IF(AND(F14=_xlfn.MINIFS($F14:$AD14,$F14:$AD14,"&lt;&gt;0"),COUNTIF($F14:$AD14,F14)=1),"Lowest",""))</f>
        <v/>
      </c>
      <c r="G9" s="59"/>
      <c r="H9" s="59" t="str">
        <f>IF(H14&gt;LARGE($F14:$AD14,2),"Highest",IF(AND(H14=_xlfn.MINIFS($F14:$AD14,$F14:$AD14,"&lt;&gt;0"),COUNTIF($F14:$AD14,H14)=1),"Lowest",""))</f>
        <v/>
      </c>
      <c r="I9" s="59"/>
      <c r="J9" s="59" t="str">
        <f>IF(J14&gt;LARGE($F14:$AD14,2),"Highest",IF(AND(J14=_xlfn.MINIFS($F14:$AD14,$F14:$AD14,"&lt;&gt;0"),COUNTIF($F14:$AD14,J14)=1),"Lowest",""))</f>
        <v/>
      </c>
      <c r="K9" s="59"/>
      <c r="L9" s="59" t="str">
        <f>IF(L14&gt;LARGE($F14:$AD14,2),"Highest",IF(AND(L14=_xlfn.MINIFS($F14:$AD14,$F14:$AD14,"&lt;&gt;0"),COUNTIF($F14:$AD14,L14)=1),"Lowest",""))</f>
        <v/>
      </c>
      <c r="M9" s="59"/>
      <c r="N9" s="59" t="str">
        <f>IF(N14&gt;LARGE($F14:$AD14,2),"Highest",IF(AND(N14=_xlfn.MINIFS($F14:$AD14,$F14:$AD14,"&lt;&gt;0"),COUNTIF($F14:$AD14,N14)=1),"Lowest",""))</f>
        <v>Lowest</v>
      </c>
      <c r="O9" s="59"/>
      <c r="P9" s="59" t="str">
        <f>IF(P14&gt;LARGE($F14:$AD14,2),"Highest",IF(AND(P14=_xlfn.MINIFS($F14:$AD14,$F14:$AD14,"&lt;&gt;0"),COUNTIF($F14:$AD14,P14)=1),"Lowest",""))</f>
        <v/>
      </c>
      <c r="Q9" s="59"/>
      <c r="R9" s="59" t="str">
        <f>IF(R14&gt;LARGE($F14:$AD14,2),"Highest",IF(AND(R14=_xlfn.MINIFS($F14:$AD14,$F14:$AD14,"&lt;&gt;0"),COUNTIF($F14:$AD14,R14)=1),"Lowest",""))</f>
        <v>Highest</v>
      </c>
      <c r="S9" s="59"/>
      <c r="T9" s="59" t="str">
        <f>IF(T14&gt;LARGE($F14:$AD14,2),"Highest",IF(AND(T14=_xlfn.MINIFS($F14:$AD14,$F14:$AD14,"&lt;&gt;0"),COUNTIF($F14:$AD14,T14)=1),"Lowest",""))</f>
        <v/>
      </c>
      <c r="U9" s="59"/>
      <c r="V9" s="59" t="str">
        <f>IF(V14&gt;LARGE($F14:$AD14,2),"Highest",IF(AND(V14=_xlfn.MINIFS($F14:$AD14,$F14:$AD14,"&lt;&gt;0"),COUNTIF($F14:$AD14,V14)=1),"Lowest",""))</f>
        <v/>
      </c>
      <c r="W9" s="59"/>
      <c r="X9" s="59" t="str">
        <f>IF(X14&gt;LARGE($F14:$AD14,2),"Highest",IF(AND(X14=_xlfn.MINIFS($F14:$AD14,$F14:$AD14,"&lt;&gt;0"),COUNTIF($F14:$AD14,X14)=1),"Lowest",""))</f>
        <v/>
      </c>
      <c r="Y9" s="59"/>
      <c r="Z9" s="59" t="str">
        <f>IF(Z14&gt;LARGE($F14:$AD14,2),"Highest",IF(AND(Z14=_xlfn.MINIFS($F14:$AD14,$F14:$AD14,"&lt;&gt;0"),COUNTIF($F14:$AD14,Z14)=1),"Lowest",""))</f>
        <v/>
      </c>
      <c r="AA9" s="59"/>
      <c r="AB9" s="59" t="str">
        <f>IF(AB14&gt;LARGE($F14:$AD14,2),"Highest",IF(AND(AB14=_xlfn.MINIFS($F14:$AD14,$F14:$AD14,"&lt;&gt;0"),COUNTIF($F14:$AD14,AB14)=1),"Lowest",""))</f>
        <v/>
      </c>
      <c r="AC9" s="59"/>
      <c r="AD9" s="59" t="str">
        <f>IF(AD14&gt;LARGE($F14:$AD14,2),"Highest",IF(AND(AD14=_xlfn.MINIFS($F14:$AD14,$F14:$AD14,"&lt;&gt;0"),COUNTIF($F14:$AD14,AD14)=1),"Lowest",""))</f>
        <v/>
      </c>
      <c r="AE9" s="27"/>
      <c r="AH9" s="167"/>
      <c r="AI9" s="55"/>
      <c r="AO9" s="13"/>
      <c r="AP9" s="4"/>
      <c r="AQ9" s="4"/>
      <c r="AR9" s="4"/>
      <c r="AS9" s="4"/>
      <c r="AT9" s="4"/>
    </row>
    <row r="10" spans="2:46" ht="15" customHeight="1" x14ac:dyDescent="0.25">
      <c r="B10" s="201"/>
      <c r="C10" s="202" t="s">
        <v>40</v>
      </c>
      <c r="D10" s="21" t="s">
        <v>36</v>
      </c>
      <c r="F10" s="88">
        <f>IFERROR(F16/F$26,0)</f>
        <v>3.7407848900567947E-2</v>
      </c>
      <c r="G10" s="32"/>
      <c r="H10" s="88">
        <f>IFERROR(H16/H$26,0)</f>
        <v>4.2521274174643776E-2</v>
      </c>
      <c r="I10" s="32"/>
      <c r="J10" s="88">
        <f>IFERROR(J16/J$26,0)</f>
        <v>3.8909850774880086E-2</v>
      </c>
      <c r="K10" s="32"/>
      <c r="L10" s="88">
        <f>IFERROR(L16/L$26,0)</f>
        <v>3.6148838954281191E-2</v>
      </c>
      <c r="M10" s="32"/>
      <c r="N10" s="88">
        <f>IFERROR(N16/N$26,0)</f>
        <v>3.607073092103423E-2</v>
      </c>
      <c r="O10" s="32"/>
      <c r="P10" s="88">
        <f>IFERROR(P16/P$26,0)</f>
        <v>4.5079417505371436E-2</v>
      </c>
      <c r="Q10" s="32"/>
      <c r="R10" s="88">
        <f>IFERROR(R16/R$26,0)</f>
        <v>5.421008687220711E-2</v>
      </c>
      <c r="S10" s="32"/>
      <c r="T10" s="88">
        <f>IFERROR(T16/T$26,0)</f>
        <v>3.333611662084833E-2</v>
      </c>
      <c r="U10" s="32"/>
      <c r="V10" s="88">
        <f>IFERROR(V16/V$26,0)</f>
        <v>4.0641015188374249E-2</v>
      </c>
      <c r="W10" s="32"/>
      <c r="X10" s="88">
        <f>IFERROR(X16/X$26,0)</f>
        <v>3.656768404178367E-2</v>
      </c>
      <c r="Y10" s="32"/>
      <c r="Z10" s="88">
        <f>IFERROR(Z16/Z$26,0)</f>
        <v>4.632990381623845E-2</v>
      </c>
      <c r="AA10" s="32"/>
      <c r="AB10" s="88">
        <f>IFERROR(AB16/AB$26,0)</f>
        <v>4.6059294271242036E-2</v>
      </c>
      <c r="AC10" s="32"/>
      <c r="AD10" s="88">
        <f>IFERROR(AD16/AD$26,0)</f>
        <v>0</v>
      </c>
      <c r="AE10" s="32"/>
      <c r="AF10" s="33"/>
      <c r="AG10" s="88">
        <f>IFERROR(AG16/AG$26,0)</f>
        <v>4.0574722605965348E-2</v>
      </c>
      <c r="AH10" s="167"/>
      <c r="AI10" s="55"/>
      <c r="AO10" s="13"/>
      <c r="AP10" s="4"/>
      <c r="AQ10" s="4"/>
      <c r="AR10" s="4"/>
      <c r="AS10" s="4"/>
      <c r="AT10" s="4"/>
    </row>
    <row r="11" spans="2:46" x14ac:dyDescent="0.25">
      <c r="B11" s="201"/>
      <c r="C11" s="202"/>
      <c r="D11" s="21" t="s">
        <v>25</v>
      </c>
      <c r="F11" s="89">
        <f>IFERROR(F17/F$26,0)</f>
        <v>3.3659957229898105E-2</v>
      </c>
      <c r="G11" s="32"/>
      <c r="H11" s="89">
        <f>IFERROR(H17/H$26,0)</f>
        <v>3.4326285770418907E-2</v>
      </c>
      <c r="I11" s="32"/>
      <c r="J11" s="89">
        <f>IFERROR(J17/J$26,0)</f>
        <v>3.4653309342501694E-2</v>
      </c>
      <c r="K11" s="32"/>
      <c r="L11" s="89">
        <f>IFERROR(L17/L$26,0)</f>
        <v>3.7500195841173846E-2</v>
      </c>
      <c r="M11" s="32"/>
      <c r="N11" s="89">
        <f>IFERROR(N17/N$26,0)</f>
        <v>3.125879054952771E-2</v>
      </c>
      <c r="O11" s="32"/>
      <c r="P11" s="89">
        <f>IFERROR(P17/P$26,0)</f>
        <v>4.0315533105079814E-2</v>
      </c>
      <c r="Q11" s="32"/>
      <c r="R11" s="89">
        <f>IFERROR(R17/R$26,0)</f>
        <v>4.8509446787128874E-2</v>
      </c>
      <c r="S11" s="32"/>
      <c r="T11" s="89">
        <f>IFERROR(T17/T$26,0)</f>
        <v>3.4564660577240273E-2</v>
      </c>
      <c r="U11" s="32"/>
      <c r="V11" s="89">
        <f>IFERROR(V17/V$26,0)</f>
        <v>3.4428771096365045E-2</v>
      </c>
      <c r="W11" s="32"/>
      <c r="X11" s="89">
        <f>IFERROR(X17/X$26,0)</f>
        <v>3.3967592192476644E-2</v>
      </c>
      <c r="Y11" s="32"/>
      <c r="Z11" s="89">
        <f>IFERROR(Z17/Z$26,0)</f>
        <v>4.219047921363922E-2</v>
      </c>
      <c r="AA11" s="32"/>
      <c r="AB11" s="89">
        <f>IFERROR(AB17/AB$26,0)</f>
        <v>4.1150669351509468E-2</v>
      </c>
      <c r="AC11" s="32"/>
      <c r="AD11" s="89">
        <f>IFERROR(AD17/AD$26,0)</f>
        <v>0</v>
      </c>
      <c r="AE11" s="32"/>
      <c r="AF11" s="33"/>
      <c r="AG11" s="89">
        <f>IFERROR(AG17/AG$26,0)</f>
        <v>3.6671429872866687E-2</v>
      </c>
      <c r="AH11" s="167"/>
      <c r="AI11" s="55"/>
      <c r="AO11" s="13"/>
      <c r="AP11" s="4"/>
      <c r="AQ11" s="4"/>
      <c r="AR11" s="4"/>
      <c r="AS11" s="4"/>
      <c r="AT11" s="4"/>
    </row>
    <row r="12" spans="2:46" x14ac:dyDescent="0.25">
      <c r="B12" s="201"/>
      <c r="C12" s="202"/>
      <c r="D12" s="21" t="s">
        <v>35</v>
      </c>
      <c r="F12" s="90">
        <f>IFERROR(F18/F$26,0)</f>
        <v>2.8049340956440259E-2</v>
      </c>
      <c r="G12" s="32"/>
      <c r="H12" s="90">
        <f>IFERROR(H18/H$26,0)</f>
        <v>2.8981811015406731E-2</v>
      </c>
      <c r="I12" s="32"/>
      <c r="J12" s="90">
        <f>IFERROR(J18/J$26,0)</f>
        <v>2.9086173833469186E-2</v>
      </c>
      <c r="K12" s="32"/>
      <c r="L12" s="90">
        <f>IFERROR(L18/L$26,0)</f>
        <v>2.9603204033394902E-2</v>
      </c>
      <c r="M12" s="32"/>
      <c r="N12" s="90">
        <f>IFERROR(N18/N$26,0)</f>
        <v>2.6412503708560037E-2</v>
      </c>
      <c r="O12" s="32"/>
      <c r="P12" s="90">
        <f>IFERROR(P18/P$26,0)</f>
        <v>3.3930288430883956E-2</v>
      </c>
      <c r="Q12" s="32"/>
      <c r="R12" s="90">
        <f>IFERROR(R18/R$26,0)</f>
        <v>4.188040057101506E-2</v>
      </c>
      <c r="S12" s="32"/>
      <c r="T12" s="90">
        <f>IFERROR(T18/T$26,0)</f>
        <v>3.1048483046877125E-2</v>
      </c>
      <c r="U12" s="32"/>
      <c r="V12" s="90">
        <f>IFERROR(V18/V$26,0)</f>
        <v>3.0844475022579664E-2</v>
      </c>
      <c r="W12" s="32"/>
      <c r="X12" s="90">
        <f>IFERROR(X18/X$26,0)</f>
        <v>2.8315386582467478E-2</v>
      </c>
      <c r="Y12" s="32"/>
      <c r="Z12" s="90">
        <f>IFERROR(Z18/Z$26,0)</f>
        <v>3.4410190540687523E-2</v>
      </c>
      <c r="AA12" s="32"/>
      <c r="AB12" s="90">
        <f>IFERROR(AB18/AB$26,0)</f>
        <v>3.4835666315239572E-2</v>
      </c>
      <c r="AC12" s="32"/>
      <c r="AD12" s="90">
        <f>IFERROR(AD18/AD$26,0)</f>
        <v>0</v>
      </c>
      <c r="AE12" s="32"/>
      <c r="AF12" s="33"/>
      <c r="AG12" s="90">
        <f>IFERROR(AG18/AG$26,0)</f>
        <v>3.0981878677879385E-2</v>
      </c>
      <c r="AH12" s="167"/>
      <c r="AI12" s="55"/>
      <c r="AO12" s="13"/>
      <c r="AP12" s="4"/>
      <c r="AQ12" s="4"/>
      <c r="AR12" s="4"/>
      <c r="AS12" s="4"/>
      <c r="AT12" s="4"/>
    </row>
    <row r="13" spans="2:46" x14ac:dyDescent="0.25">
      <c r="B13" s="201"/>
      <c r="C13" s="202"/>
      <c r="D13" s="21" t="s">
        <v>24</v>
      </c>
      <c r="F13" s="91">
        <f>IFERROR(F19/F$26,0)</f>
        <v>7.462119643698935E-3</v>
      </c>
      <c r="G13" s="32"/>
      <c r="H13" s="91">
        <f>IFERROR(H19/H$26,0)</f>
        <v>7.7038229754374738E-3</v>
      </c>
      <c r="I13" s="32"/>
      <c r="J13" s="91">
        <f>IFERROR(J19/J$26,0)</f>
        <v>7.3003788395070747E-3</v>
      </c>
      <c r="K13" s="32"/>
      <c r="L13" s="91">
        <f>IFERROR(L19/L$26,0)</f>
        <v>6.5245621994313146E-3</v>
      </c>
      <c r="M13" s="32"/>
      <c r="N13" s="91">
        <f>IFERROR(N19/N$26,0)</f>
        <v>5.1520391121107892E-3</v>
      </c>
      <c r="O13" s="32"/>
      <c r="P13" s="91">
        <f>IFERROR(P19/P$26,0)</f>
        <v>4.5772913373088699E-3</v>
      </c>
      <c r="Q13" s="32"/>
      <c r="R13" s="91">
        <f>IFERROR(R19/R$26,0)</f>
        <v>3.3685291720208003E-3</v>
      </c>
      <c r="S13" s="32"/>
      <c r="T13" s="91">
        <f>IFERROR(T19/T$26,0)</f>
        <v>2.4954269569402625E-3</v>
      </c>
      <c r="U13" s="32"/>
      <c r="V13" s="91">
        <f>IFERROR(V19/V$26,0)</f>
        <v>3.0099246827686994E-3</v>
      </c>
      <c r="W13" s="32"/>
      <c r="X13" s="91">
        <f>IFERROR(X19/X$26,0)</f>
        <v>2.3183315245373934E-3</v>
      </c>
      <c r="Y13" s="32"/>
      <c r="Z13" s="91">
        <f>IFERROR(Z19/Z$26,0)</f>
        <v>2.9734333101190252E-3</v>
      </c>
      <c r="AA13" s="32"/>
      <c r="AB13" s="91">
        <f>IFERROR(AB19/AB$26,0)</f>
        <v>3.6533411274686798E-3</v>
      </c>
      <c r="AC13" s="32"/>
      <c r="AD13" s="91">
        <f>IFERROR(AD19/AD$26,0)</f>
        <v>0</v>
      </c>
      <c r="AE13" s="32"/>
      <c r="AF13" s="33"/>
      <c r="AG13" s="91">
        <f>IFERROR(AG19/AG$26,0)</f>
        <v>4.8169456098203049E-3</v>
      </c>
      <c r="AH13" s="167"/>
      <c r="AI13" s="55"/>
      <c r="AO13" s="13"/>
      <c r="AP13" s="4"/>
      <c r="AQ13" s="4"/>
      <c r="AR13" s="4"/>
      <c r="AS13" s="4"/>
      <c r="AT13" s="4"/>
    </row>
    <row r="14" spans="2:46" ht="15" customHeight="1" x14ac:dyDescent="0.25">
      <c r="B14" s="201"/>
      <c r="C14" s="49"/>
      <c r="D14" s="10"/>
      <c r="F14" s="92">
        <f>SUM(F10:F13)</f>
        <v>0.10657926673060523</v>
      </c>
      <c r="G14" s="4"/>
      <c r="H14" s="92">
        <f>SUM(H10:H13)</f>
        <v>0.11353319393590688</v>
      </c>
      <c r="I14" s="4"/>
      <c r="J14" s="92">
        <f>SUM(J10:J13)</f>
        <v>0.10994971279035805</v>
      </c>
      <c r="K14" s="4"/>
      <c r="L14" s="92">
        <f>SUM(L10:L13)</f>
        <v>0.10977680102828126</v>
      </c>
      <c r="M14" s="4"/>
      <c r="N14" s="92">
        <f>SUM(N10:N13)</f>
        <v>9.8894064291232764E-2</v>
      </c>
      <c r="O14" s="4"/>
      <c r="P14" s="92">
        <f>SUM(P10:P13)</f>
        <v>0.12390253037864407</v>
      </c>
      <c r="Q14" s="4"/>
      <c r="R14" s="92">
        <f>SUM(R10:R13)</f>
        <v>0.14796846340237182</v>
      </c>
      <c r="S14" s="4"/>
      <c r="T14" s="92">
        <f>SUM(T10:T13)</f>
        <v>0.10144468720190598</v>
      </c>
      <c r="U14" s="4"/>
      <c r="V14" s="92">
        <f>SUM(V10:V13)</f>
        <v>0.10892418599008766</v>
      </c>
      <c r="W14" s="4"/>
      <c r="X14" s="92">
        <f>SUM(X10:X13)</f>
        <v>0.10116899434126518</v>
      </c>
      <c r="Y14" s="4"/>
      <c r="Z14" s="92">
        <f>SUM(Z10:Z13)</f>
        <v>0.1259040068806842</v>
      </c>
      <c r="AA14" s="4"/>
      <c r="AB14" s="92">
        <f>SUM(AB10:AB13)</f>
        <v>0.12569897106545977</v>
      </c>
      <c r="AC14" s="4"/>
      <c r="AD14" s="92">
        <f>SUM(AD10:AD13)</f>
        <v>0</v>
      </c>
      <c r="AE14" s="4"/>
      <c r="AG14" s="92">
        <f>SUM(AG10:AG13)</f>
        <v>0.11304497676653173</v>
      </c>
      <c r="AH14" s="167"/>
      <c r="AI14" s="55"/>
      <c r="AO14" s="13"/>
      <c r="AP14" s="4"/>
      <c r="AQ14" s="4"/>
      <c r="AR14" s="4"/>
      <c r="AS14" s="4"/>
      <c r="AT14" s="4"/>
    </row>
    <row r="15" spans="2:46" ht="15" customHeight="1" x14ac:dyDescent="0.25">
      <c r="B15" s="201"/>
      <c r="C15" s="49"/>
      <c r="F15" s="59" t="str">
        <f>IF(F20&gt;LARGE($F20:$AD20,2),"Highest",IF(AND(F20=_xlfn.MINIFS($F20:$AD20,$F20:$AD20,"&lt;&gt;0"),COUNTIF($F20:$AD20,F20)=1),"Lowest",""))</f>
        <v/>
      </c>
      <c r="G15" s="59"/>
      <c r="H15" s="59" t="str">
        <f>IF(H20&gt;LARGE($F20:$AD20,2),"Highest",IF(AND(H20=_xlfn.MINIFS($F20:$AD20,$F20:$AD20,"&lt;&gt;0"),COUNTIF($F20:$AD20,H20)=1),"Lowest",""))</f>
        <v>Highest</v>
      </c>
      <c r="I15" s="59"/>
      <c r="J15" s="59" t="str">
        <f>IF(J20&gt;LARGE($F20:$AD20,2),"Highest",IF(AND(J20=_xlfn.MINIFS($F20:$AD20,$F20:$AD20,"&lt;&gt;0"),COUNTIF($F20:$AD20,J20)=1),"Lowest",""))</f>
        <v/>
      </c>
      <c r="K15" s="59"/>
      <c r="L15" s="59" t="str">
        <f>IF(L20&gt;LARGE($F20:$AD20,2),"Highest",IF(AND(L20=_xlfn.MINIFS($F20:$AD20,$F20:$AD20,"&lt;&gt;0"),COUNTIF($F20:$AD20,L20)=1),"Lowest",""))</f>
        <v/>
      </c>
      <c r="M15" s="59"/>
      <c r="N15" s="59" t="str">
        <f>IF(N20&gt;LARGE($F20:$AD20,2),"Highest",IF(AND(N20=_xlfn.MINIFS($F20:$AD20,$F20:$AD20,"&lt;&gt;0"),COUNTIF($F20:$AD20,N20)=1),"Lowest",""))</f>
        <v/>
      </c>
      <c r="O15" s="59"/>
      <c r="P15" s="59" t="str">
        <f>IF(P20&gt;LARGE($F20:$AD20,2),"Highest",IF(AND(P20=_xlfn.MINIFS($F20:$AD20,$F20:$AD20,"&lt;&gt;0"),COUNTIF($F20:$AD20,P20)=1),"Lowest",""))</f>
        <v/>
      </c>
      <c r="Q15" s="59"/>
      <c r="R15" s="59" t="str">
        <f>IF(R20&gt;LARGE($F20:$AD20,2),"Highest",IF(AND(R20=_xlfn.MINIFS($F20:$AD20,$F20:$AD20,"&lt;&gt;0"),COUNTIF($F20:$AD20,R20)=1),"Lowest",""))</f>
        <v/>
      </c>
      <c r="S15" s="59"/>
      <c r="T15" s="59" t="str">
        <f>IF(T20&gt;LARGE($F20:$AD20,2),"Highest",IF(AND(T20=_xlfn.MINIFS($F20:$AD20,$F20:$AD20,"&lt;&gt;0"),COUNTIF($F20:$AD20,T20)=1),"Lowest",""))</f>
        <v>Lowest</v>
      </c>
      <c r="U15" s="59"/>
      <c r="V15" s="59" t="str">
        <f>IF(V20&gt;LARGE($F20:$AD20,2),"Highest",IF(AND(V20=_xlfn.MINIFS($F20:$AD20,$F20:$AD20,"&lt;&gt;0"),COUNTIF($F20:$AD20,V20)=1),"Lowest",""))</f>
        <v/>
      </c>
      <c r="W15" s="59"/>
      <c r="X15" s="59" t="str">
        <f>IF(X20&gt;LARGE($F20:$AD20,2),"Highest",IF(AND(X20=_xlfn.MINIFS($F20:$AD20,$F20:$AD20,"&lt;&gt;0"),COUNTIF($F20:$AD20,X20)=1),"Lowest",""))</f>
        <v/>
      </c>
      <c r="Y15" s="59"/>
      <c r="Z15" s="59" t="str">
        <f>IF(Z20&gt;LARGE($F20:$AD20,2),"Highest",IF(AND(Z20=_xlfn.MINIFS($F20:$AD20,$F20:$AD20,"&lt;&gt;0"),COUNTIF($F20:$AD20,Z20)=1),"Lowest",""))</f>
        <v/>
      </c>
      <c r="AA15" s="59"/>
      <c r="AB15" s="59" t="str">
        <f>IF(AB20&gt;LARGE($F20:$AD20,2),"Highest",IF(AND(AB20=_xlfn.MINIFS($F20:$AD20,$F20:$AD20,"&lt;&gt;0"),COUNTIF($F20:$AD20,AB20)=1),"Lowest",""))</f>
        <v/>
      </c>
      <c r="AC15" s="59"/>
      <c r="AD15" s="59" t="str">
        <f>IF(AD20&gt;LARGE($F20:$AD20,2),"Highest",IF(AND(AD20=_xlfn.MINIFS($F20:$AD20,$F20:$AD20,"&lt;&gt;0"),COUNTIF($F20:$AD20,AD20)=1),"Lowest",""))</f>
        <v/>
      </c>
      <c r="AE15" s="27"/>
      <c r="AH15" s="167"/>
      <c r="AO15" s="13"/>
      <c r="AP15" s="4"/>
      <c r="AQ15" s="4"/>
      <c r="AR15" s="4"/>
      <c r="AS15" s="4"/>
      <c r="AT15" s="4"/>
    </row>
    <row r="16" spans="2:46" x14ac:dyDescent="0.25">
      <c r="B16" s="201"/>
      <c r="C16" s="202" t="s">
        <v>43</v>
      </c>
      <c r="D16" s="21" t="s">
        <v>36</v>
      </c>
      <c r="F16" s="98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98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98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98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98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98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98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98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98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98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98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98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98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67"/>
      <c r="AO16" s="13"/>
      <c r="AP16" s="4"/>
      <c r="AQ16" s="4"/>
      <c r="AR16" s="4"/>
      <c r="AS16" s="4"/>
      <c r="AT16" s="4"/>
    </row>
    <row r="17" spans="2:46" x14ac:dyDescent="0.25">
      <c r="B17" s="201"/>
      <c r="C17" s="202"/>
      <c r="D17" s="21" t="s">
        <v>25</v>
      </c>
      <c r="F17" s="99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99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99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99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99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99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99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99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99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99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99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99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99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67"/>
      <c r="AO17" s="13"/>
      <c r="AP17" s="4"/>
      <c r="AQ17" s="4"/>
      <c r="AR17" s="4"/>
      <c r="AS17" s="4"/>
      <c r="AT17" s="4"/>
    </row>
    <row r="18" spans="2:46" x14ac:dyDescent="0.25">
      <c r="B18" s="201"/>
      <c r="C18" s="202"/>
      <c r="D18" s="21" t="s">
        <v>35</v>
      </c>
      <c r="F18" s="100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0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0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0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0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0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0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0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0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0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0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0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0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67"/>
      <c r="AO18" s="13"/>
      <c r="AP18" s="4"/>
      <c r="AQ18" s="4"/>
      <c r="AR18" s="4"/>
      <c r="AS18" s="4"/>
      <c r="AT18" s="4"/>
    </row>
    <row r="19" spans="2:46" x14ac:dyDescent="0.25">
      <c r="B19" s="201"/>
      <c r="C19" s="202"/>
      <c r="D19" s="21" t="s">
        <v>24</v>
      </c>
      <c r="F19" s="101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01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01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01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01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01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01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01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01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01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01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01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01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67"/>
      <c r="AO19" s="13"/>
      <c r="AP19" s="4"/>
      <c r="AQ19" s="4"/>
      <c r="AR19" s="4"/>
      <c r="AS19" s="4"/>
      <c r="AT19" s="4"/>
    </row>
    <row r="20" spans="2:46" ht="15" customHeight="1" x14ac:dyDescent="0.25">
      <c r="B20" s="201"/>
      <c r="C20" s="49"/>
      <c r="D20" s="10"/>
      <c r="F20" s="97">
        <f>SUM(F16:F19)</f>
        <v>22795.200000000001</v>
      </c>
      <c r="G20" s="4"/>
      <c r="H20" s="97">
        <f>SUM(H16:H19)</f>
        <v>23817.760000000002</v>
      </c>
      <c r="I20" s="4"/>
      <c r="J20" s="97">
        <f>SUM(J16:J19)</f>
        <v>22832.328000000001</v>
      </c>
      <c r="K20" s="4"/>
      <c r="L20" s="97">
        <f>SUM(L16:L19)</f>
        <v>20796.032000000003</v>
      </c>
      <c r="M20" s="4"/>
      <c r="N20" s="97">
        <f>SUM(N16:N19)</f>
        <v>23034.464</v>
      </c>
      <c r="O20" s="4"/>
      <c r="P20" s="97">
        <f>SUM(P16:P19)</f>
        <v>21764.096000000001</v>
      </c>
      <c r="Q20" s="4"/>
      <c r="R20" s="97">
        <f>SUM(R16:R19)</f>
        <v>20910.528000000002</v>
      </c>
      <c r="S20" s="4"/>
      <c r="T20" s="97">
        <f>SUM(T16:T19)</f>
        <v>19156.960000000003</v>
      </c>
      <c r="U20" s="4"/>
      <c r="V20" s="97">
        <f>SUM(V16:V19)</f>
        <v>21685.792000000001</v>
      </c>
      <c r="W20" s="4"/>
      <c r="X20" s="97">
        <f>SUM(X16:X19)</f>
        <v>20949.024000000001</v>
      </c>
      <c r="Y20" s="4"/>
      <c r="Z20" s="97">
        <f>SUM(Z16:Z19)</f>
        <v>22021.056</v>
      </c>
      <c r="AA20" s="4"/>
      <c r="AB20" s="97">
        <f>SUM(AB16:AB19)</f>
        <v>22022.688000000002</v>
      </c>
      <c r="AC20" s="4"/>
      <c r="AD20" s="97">
        <f>SUM(AD16:AD19)</f>
        <v>0</v>
      </c>
      <c r="AE20" s="4"/>
      <c r="AG20" s="4">
        <f>IF(SUM(AG16:AG19)=0,"",SUM(AG16:AG19))</f>
        <v>261785.92800000004</v>
      </c>
      <c r="AH20" s="167"/>
      <c r="AO20" s="13"/>
      <c r="AP20" s="4"/>
      <c r="AQ20" s="4"/>
      <c r="AR20" s="4"/>
      <c r="AS20" s="4"/>
      <c r="AT20" s="4"/>
    </row>
    <row r="21" spans="2:46" ht="15" customHeight="1" x14ac:dyDescent="0.25">
      <c r="B21" s="201"/>
      <c r="C21" s="56"/>
      <c r="F21" s="59" t="str">
        <f>IF(F26&gt;LARGE($F26:$AD26,2),"Highest",IF(AND(F26=_xlfn.MINIFS($F26:$AD26,$F26:$AD26,"&lt;&gt;0"),COUNTIF($F26:$AD26,F26)=1),"Lowest",""))</f>
        <v/>
      </c>
      <c r="G21" s="59"/>
      <c r="H21" s="59" t="str">
        <f>IF(H26&gt;LARGE($F26:$AD26,2),"Highest",IF(AND(H26=_xlfn.MINIFS($F26:$AD26,$F26:$AD26,"&lt;&gt;0"),COUNTIF($F26:$AD26,H26)=1),"Lowest",""))</f>
        <v/>
      </c>
      <c r="I21" s="59"/>
      <c r="J21" s="59" t="str">
        <f>IF(J26&gt;LARGE($F26:$AD26,2),"Highest",IF(AND(J26=_xlfn.MINIFS($F26:$AD26,$F26:$AD26,"&lt;&gt;0"),COUNTIF($F26:$AD26,J26)=1),"Lowest",""))</f>
        <v/>
      </c>
      <c r="K21" s="59"/>
      <c r="L21" s="59" t="str">
        <f>IF(L26&gt;LARGE($F26:$AD26,2),"Highest",IF(AND(L26=_xlfn.MINIFS($F26:$AD26,$F26:$AD26,"&lt;&gt;0"),COUNTIF($F26:$AD26,L26)=1),"Lowest",""))</f>
        <v/>
      </c>
      <c r="M21" s="59"/>
      <c r="N21" s="59" t="str">
        <f>IF(N26&gt;LARGE($F26:$AD26,2),"Highest",IF(AND(N26=_xlfn.MINIFS($F26:$AD26,$F26:$AD26,"&lt;&gt;0"),COUNTIF($F26:$AD26,N26)=1),"Lowest",""))</f>
        <v>Highest</v>
      </c>
      <c r="O21" s="59"/>
      <c r="P21" s="59" t="str">
        <f>IF(P26&gt;LARGE($F26:$AD26,2),"Highest",IF(AND(P26=_xlfn.MINIFS($F26:$AD26,$F26:$AD26,"&lt;&gt;0"),COUNTIF($F26:$AD26,P26)=1),"Lowest",""))</f>
        <v/>
      </c>
      <c r="Q21" s="59"/>
      <c r="R21" s="59" t="str">
        <f>IF(R26&gt;LARGE($F26:$AD26,2),"Highest",IF(AND(R26=_xlfn.MINIFS($F26:$AD26,$F26:$AD26,"&lt;&gt;0"),COUNTIF($F26:$AD26,R26)=1),"Lowest",""))</f>
        <v>Lowest</v>
      </c>
      <c r="S21" s="59"/>
      <c r="T21" s="59" t="str">
        <f>IF(T26&gt;LARGE($F26:$AD26,2),"Highest",IF(AND(T26=_xlfn.MINIFS($F26:$AD26,$F26:$AD26,"&lt;&gt;0"),COUNTIF($F26:$AD26,T26)=1),"Lowest",""))</f>
        <v/>
      </c>
      <c r="U21" s="59"/>
      <c r="V21" s="59" t="str">
        <f>IF(V26&gt;LARGE($F26:$AD26,2),"Highest",IF(AND(V26=_xlfn.MINIFS($F26:$AD26,$F26:$AD26,"&lt;&gt;0"),COUNTIF($F26:$AD26,V26)=1),"Lowest",""))</f>
        <v/>
      </c>
      <c r="W21" s="59"/>
      <c r="X21" s="59" t="str">
        <f>IF(X26&gt;LARGE($F26:$AD26,2),"Highest",IF(AND(X26=_xlfn.MINIFS($F26:$AD26,$F26:$AD26,"&lt;&gt;0"),COUNTIF($F26:$AD26,X26)=1),"Lowest",""))</f>
        <v/>
      </c>
      <c r="Y21" s="59"/>
      <c r="Z21" s="59" t="str">
        <f>IF(Z26&gt;LARGE($F26:$AD26,2),"Highest",IF(AND(Z26=_xlfn.MINIFS($F26:$AD26,$F26:$AD26,"&lt;&gt;0"),COUNTIF($F26:$AD26,Z26)=1),"Lowest",""))</f>
        <v/>
      </c>
      <c r="AA21" s="59"/>
      <c r="AB21" s="59" t="str">
        <f>IF(AB26&gt;LARGE($F26:$AD26,2),"Highest",IF(AND(AB26=_xlfn.MINIFS($F26:$AD26,$F26:$AD26,"&lt;&gt;0"),COUNTIF($F26:$AD26,AB26)=1),"Lowest",""))</f>
        <v/>
      </c>
      <c r="AC21" s="59"/>
      <c r="AD21" s="59" t="str">
        <f>IF(AD26&gt;LARGE($F26:$AD26,2),"Highest",IF(AND(AD26=_xlfn.MINIFS($F26:$AD26,$F26:$AD26,"&lt;&gt;0"),COUNTIF($F26:$AD26,AD26)=1),"Lowest",""))</f>
        <v/>
      </c>
      <c r="AE21" s="27"/>
      <c r="AH21" s="167"/>
      <c r="AO21" s="13"/>
      <c r="AP21" s="4"/>
      <c r="AQ21" s="4"/>
      <c r="AR21" s="4"/>
      <c r="AS21" s="4"/>
      <c r="AT21" s="4"/>
    </row>
    <row r="22" spans="2:46" ht="15" customHeight="1" x14ac:dyDescent="0.25">
      <c r="B22" s="201"/>
      <c r="C22" s="202" t="s">
        <v>42</v>
      </c>
      <c r="D22" s="21" t="s">
        <v>36</v>
      </c>
      <c r="F22" s="98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98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98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98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98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98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98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98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98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98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98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98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98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67"/>
    </row>
    <row r="23" spans="2:46" x14ac:dyDescent="0.25">
      <c r="B23" s="201"/>
      <c r="C23" s="202"/>
      <c r="D23" s="21" t="s">
        <v>25</v>
      </c>
      <c r="F23" s="99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99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99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99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99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99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99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99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99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99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99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99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99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67"/>
    </row>
    <row r="24" spans="2:46" x14ac:dyDescent="0.25">
      <c r="B24" s="201"/>
      <c r="C24" s="202"/>
      <c r="D24" s="21" t="s">
        <v>35</v>
      </c>
      <c r="F24" s="100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0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0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0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0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0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0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0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0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0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0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0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0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67"/>
    </row>
    <row r="25" spans="2:46" ht="15" customHeight="1" x14ac:dyDescent="0.25">
      <c r="B25" s="201"/>
      <c r="C25" s="202"/>
      <c r="D25" s="21" t="s">
        <v>24</v>
      </c>
      <c r="F25" s="101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01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01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01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01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01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01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01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01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01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01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01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01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67"/>
    </row>
    <row r="26" spans="2:46" ht="15" customHeight="1" x14ac:dyDescent="0.25">
      <c r="C26" s="30"/>
      <c r="D26" s="10"/>
      <c r="F26" s="97">
        <f>SUM(F22:F25)</f>
        <v>213880.24800000002</v>
      </c>
      <c r="G26" s="4"/>
      <c r="H26" s="97">
        <f>SUM(H22:H25)</f>
        <v>209786.75200000001</v>
      </c>
      <c r="I26" s="4"/>
      <c r="J26" s="97">
        <f>SUM(J22:J25)</f>
        <v>207661.552</v>
      </c>
      <c r="K26" s="4"/>
      <c r="L26" s="97">
        <f>SUM(L22:L25)</f>
        <v>189439.22400000002</v>
      </c>
      <c r="M26" s="4"/>
      <c r="N26" s="97">
        <f>SUM(N22:N25)</f>
        <v>232920.59200000003</v>
      </c>
      <c r="O26" s="4"/>
      <c r="P26" s="97">
        <f>SUM(P22:P25)</f>
        <v>175654.97600000002</v>
      </c>
      <c r="Q26" s="4"/>
      <c r="R26" s="97">
        <f>SUM(R22:R25)</f>
        <v>141317.46400000001</v>
      </c>
      <c r="S26" s="4"/>
      <c r="T26" s="97">
        <f>SUM(T22:T25)</f>
        <v>188841.43200000003</v>
      </c>
      <c r="U26" s="4"/>
      <c r="V26" s="97">
        <f>SUM(V22:V25)</f>
        <v>199090.696</v>
      </c>
      <c r="W26" s="4"/>
      <c r="X26" s="97">
        <f>SUM(X22:X25)</f>
        <v>207069.60800000001</v>
      </c>
      <c r="Y26" s="4"/>
      <c r="Z26" s="97">
        <f>SUM(Z22:Z25)</f>
        <v>174903.53600000002</v>
      </c>
      <c r="AA26" s="4"/>
      <c r="AB26" s="97">
        <f>SUM(AB22:AB25)</f>
        <v>175201.81599999999</v>
      </c>
      <c r="AC26" s="4"/>
      <c r="AD26" s="97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28"/>
      <c r="G27" s="4"/>
      <c r="H27" s="128"/>
      <c r="I27" s="4"/>
      <c r="J27" s="128"/>
      <c r="K27" s="4"/>
      <c r="L27" s="128"/>
      <c r="M27" s="4"/>
      <c r="N27" s="128"/>
      <c r="O27" s="4"/>
      <c r="P27" s="128"/>
      <c r="Q27" s="4"/>
      <c r="R27" s="128"/>
      <c r="S27" s="4"/>
      <c r="T27" s="128"/>
      <c r="U27" s="4"/>
      <c r="V27" s="128"/>
      <c r="W27" s="4"/>
      <c r="X27" s="128"/>
      <c r="Y27" s="4"/>
      <c r="Z27" s="128"/>
      <c r="AA27" s="4"/>
      <c r="AB27" s="128"/>
      <c r="AC27" s="4"/>
      <c r="AD27" s="128"/>
      <c r="AE27" s="4"/>
      <c r="AG27" s="4"/>
    </row>
    <row r="28" spans="2:46" ht="15" customHeight="1" x14ac:dyDescent="0.25">
      <c r="C28" s="30"/>
      <c r="D28" s="10"/>
      <c r="F28" s="128"/>
      <c r="G28" s="4"/>
      <c r="H28" s="128"/>
      <c r="I28" s="4"/>
      <c r="J28" s="128"/>
      <c r="K28" s="4"/>
      <c r="L28" s="128"/>
      <c r="M28" s="4"/>
      <c r="N28" s="128"/>
      <c r="O28" s="4"/>
      <c r="P28" s="128"/>
      <c r="Q28" s="4"/>
      <c r="R28" s="128"/>
      <c r="S28" s="4"/>
      <c r="T28" s="128"/>
      <c r="U28" s="4"/>
      <c r="V28" s="128"/>
      <c r="W28" s="4"/>
      <c r="X28" s="128"/>
      <c r="Y28" s="4"/>
      <c r="Z28" s="128"/>
      <c r="AA28" s="4"/>
      <c r="AB28" s="128"/>
      <c r="AC28" s="4"/>
      <c r="AD28" s="128"/>
      <c r="AE28" s="4"/>
      <c r="AG28" s="4"/>
    </row>
    <row r="29" spans="2:46" ht="15" customHeight="1" x14ac:dyDescent="0.25">
      <c r="C29" s="30"/>
      <c r="E29" s="2"/>
      <c r="F29" s="19">
        <f>'YTD Revenue'!F6</f>
        <v>1</v>
      </c>
      <c r="G29" s="20"/>
      <c r="H29" s="19">
        <f>'YTD Revenue'!H6</f>
        <v>2</v>
      </c>
      <c r="I29" s="20"/>
      <c r="J29" s="19">
        <f>'YTD Revenue'!J6</f>
        <v>3</v>
      </c>
      <c r="K29" s="20"/>
      <c r="L29" s="19">
        <f>'YTD Revenue'!L6</f>
        <v>4</v>
      </c>
      <c r="M29" s="20"/>
      <c r="N29" s="19">
        <f>'YTD Revenue'!N6</f>
        <v>5</v>
      </c>
      <c r="O29" s="20"/>
      <c r="P29" s="19">
        <f>'YTD Revenue'!P6</f>
        <v>6</v>
      </c>
      <c r="Q29" s="20"/>
      <c r="R29" s="19">
        <f>'YTD Revenue'!R6</f>
        <v>7</v>
      </c>
      <c r="S29" s="20"/>
      <c r="T29" s="19">
        <f>'YTD Revenue'!T6</f>
        <v>8</v>
      </c>
      <c r="U29" s="20"/>
      <c r="V29" s="19">
        <f>'YTD Revenue'!V6</f>
        <v>9</v>
      </c>
      <c r="W29" s="20"/>
      <c r="X29" s="19">
        <f>'YTD Revenue'!X6</f>
        <v>10</v>
      </c>
      <c r="Y29" s="20"/>
      <c r="Z29" s="19">
        <f>'YTD Revenue'!Z6</f>
        <v>11</v>
      </c>
      <c r="AA29" s="20"/>
      <c r="AB29" s="19">
        <f>'YTD Revenue'!AB6</f>
        <v>12</v>
      </c>
      <c r="AC29" s="20"/>
      <c r="AD29" s="19" t="str">
        <f>'YTD Revenue'!AD6</f>
        <v/>
      </c>
      <c r="AE29" s="20"/>
      <c r="AG29" s="20" t="s">
        <v>93</v>
      </c>
    </row>
    <row r="30" spans="2:46" ht="15" customHeight="1" x14ac:dyDescent="0.25">
      <c r="B30" s="201" t="s">
        <v>243</v>
      </c>
      <c r="C30" s="206" t="s">
        <v>0</v>
      </c>
      <c r="D30" s="21" t="s">
        <v>30</v>
      </c>
      <c r="F30" s="22">
        <f>IF(NOT(ISNUMBER('YTD Revenue'!F7)),"",'YTD Revenue'!F7)</f>
        <v>44562</v>
      </c>
      <c r="G30" s="23"/>
      <c r="H30" s="22">
        <f>IF(NOT(ISNUMBER('YTD Revenue'!H7)),"",'YTD Revenue'!H7)</f>
        <v>44593</v>
      </c>
      <c r="I30" s="23"/>
      <c r="J30" s="22">
        <f>IF(NOT(ISNUMBER('YTD Revenue'!J7)),"",'YTD Revenue'!J7)</f>
        <v>44621</v>
      </c>
      <c r="K30" s="23"/>
      <c r="L30" s="22">
        <f>IF(NOT(ISNUMBER('YTD Revenue'!L7)),"",'YTD Revenue'!L7)</f>
        <v>44652</v>
      </c>
      <c r="M30" s="23"/>
      <c r="N30" s="22">
        <f>IF(NOT(ISNUMBER('YTD Revenue'!N7)),"",'YTD Revenue'!N7)</f>
        <v>44682</v>
      </c>
      <c r="O30" s="23"/>
      <c r="P30" s="22">
        <f>IF(NOT(ISNUMBER('YTD Revenue'!P7)),"",'YTD Revenue'!P7)</f>
        <v>44713</v>
      </c>
      <c r="Q30" s="23"/>
      <c r="R30" s="22">
        <f>IF(NOT(ISNUMBER('YTD Revenue'!R7)),"",'YTD Revenue'!R7)</f>
        <v>44743</v>
      </c>
      <c r="S30" s="23"/>
      <c r="T30" s="22">
        <f>IF(NOT(ISNUMBER('YTD Revenue'!T7)),"",'YTD Revenue'!T7)</f>
        <v>44774</v>
      </c>
      <c r="U30" s="23"/>
      <c r="V30" s="22">
        <f>IF(NOT(ISNUMBER('YTD Revenue'!V7)),"",'YTD Revenue'!V7)</f>
        <v>44805</v>
      </c>
      <c r="W30" s="23"/>
      <c r="X30" s="22">
        <f>IF(NOT(ISNUMBER('YTD Revenue'!X7)),"",'YTD Revenue'!X7)</f>
        <v>44835</v>
      </c>
      <c r="Y30" s="23"/>
      <c r="Z30" s="22">
        <f>IF(NOT(ISNUMBER('YTD Revenue'!Z7)),"",'YTD Revenue'!Z7)</f>
        <v>44866</v>
      </c>
      <c r="AA30" s="23"/>
      <c r="AB30" s="22">
        <f>IF(NOT(ISNUMBER('YTD Revenue'!AB7)),"",'YTD Revenue'!AB7)</f>
        <v>44896</v>
      </c>
      <c r="AC30" s="23"/>
      <c r="AD30" s="22" t="str">
        <f>IF(NOT(ISNUMBER('YTD Revenue'!AD7)),"",'YTD Revenue'!AD7)</f>
        <v/>
      </c>
      <c r="AE30" s="24"/>
      <c r="AF30" s="24"/>
      <c r="AG30" s="22">
        <f>F30</f>
        <v>44562</v>
      </c>
      <c r="AH30" s="167"/>
    </row>
    <row r="31" spans="2:46" ht="15" customHeight="1" x14ac:dyDescent="0.25">
      <c r="B31" s="201"/>
      <c r="C31" s="206"/>
      <c r="D31" s="21" t="s">
        <v>31</v>
      </c>
      <c r="F31" s="25">
        <f>IF(NOT(ISNUMBER('YTD Revenue'!F8)),"",'YTD Revenue'!F8)</f>
        <v>44592.999988425923</v>
      </c>
      <c r="G31" s="23"/>
      <c r="H31" s="25">
        <f>IF(NOT(ISNUMBER('YTD Revenue'!H8)),"",'YTD Revenue'!H8)</f>
        <v>44620.999988425923</v>
      </c>
      <c r="I31" s="23"/>
      <c r="J31" s="25">
        <f>IF(NOT(ISNUMBER('YTD Revenue'!J8)),"",'YTD Revenue'!J8)</f>
        <v>44651.999988425923</v>
      </c>
      <c r="K31" s="23"/>
      <c r="L31" s="25">
        <f>IF(NOT(ISNUMBER('YTD Revenue'!L8)),"",'YTD Revenue'!L8)</f>
        <v>44681.999988425923</v>
      </c>
      <c r="M31" s="23"/>
      <c r="N31" s="25">
        <f>IF(NOT(ISNUMBER('YTD Revenue'!N8)),"",'YTD Revenue'!N8)</f>
        <v>44712.999988425923</v>
      </c>
      <c r="O31" s="23"/>
      <c r="P31" s="25">
        <f>IF(NOT(ISNUMBER('YTD Revenue'!P8)),"",'YTD Revenue'!P8)</f>
        <v>44742.999988425923</v>
      </c>
      <c r="Q31" s="23"/>
      <c r="R31" s="25">
        <f>IF(NOT(ISNUMBER('YTD Revenue'!R8)),"",'YTD Revenue'!R8)</f>
        <v>44773.999988425923</v>
      </c>
      <c r="S31" s="23"/>
      <c r="T31" s="25">
        <f>IF(NOT(ISNUMBER('YTD Revenue'!T8)),"",'YTD Revenue'!T8)</f>
        <v>44804.999988425923</v>
      </c>
      <c r="U31" s="23"/>
      <c r="V31" s="25">
        <f>IF(NOT(ISNUMBER('YTD Revenue'!V8)),"",'YTD Revenue'!V8)</f>
        <v>44834.999988425923</v>
      </c>
      <c r="W31" s="23"/>
      <c r="X31" s="25">
        <f>IF(NOT(ISNUMBER('YTD Revenue'!X8)),"",'YTD Revenue'!X8)</f>
        <v>44865.999988425923</v>
      </c>
      <c r="Y31" s="23"/>
      <c r="Z31" s="25">
        <f>IF(NOT(ISNUMBER('YTD Revenue'!Z8)),"",'YTD Revenue'!Z8)</f>
        <v>44895.999988425923</v>
      </c>
      <c r="AA31" s="23"/>
      <c r="AB31" s="25">
        <f>IF(NOT(ISNUMBER('YTD Revenue'!AB8)),"",'YTD Revenue'!AB8)</f>
        <v>44926.999988425923</v>
      </c>
      <c r="AC31" s="23"/>
      <c r="AD31" s="25" t="str">
        <f>IF(NOT(ISNUMBER('YTD Revenue'!AD8)),"",'YTD Revenue'!AD8)</f>
        <v/>
      </c>
      <c r="AE31" s="24"/>
      <c r="AF31" s="24"/>
      <c r="AG31" s="25" t="str">
        <f>TEXT(MAX(F31,H31,J31,L31,N31,P31,R31,T31,V31,X31,Z31,AB31,AD31),"mm/dd/yy")</f>
        <v>12/31/22</v>
      </c>
      <c r="AH31" s="167"/>
    </row>
    <row r="32" spans="2:46" ht="15" customHeight="1" x14ac:dyDescent="0.25">
      <c r="B32" s="201"/>
      <c r="C32" s="30"/>
      <c r="F32" s="59" t="str">
        <f>IF(F37&gt;LARGE($F37:$AD37,2),"Highest",IF(AND(F37=_xlfn.MINIFS($F37:$AD37,$F37:$AD37,"&lt;&gt;0"),COUNTIF($F37:$AD37,F37)=1),"Lowest",""))</f>
        <v/>
      </c>
      <c r="G32" s="59"/>
      <c r="H32" s="59" t="str">
        <f>IF(H37&gt;LARGE($F37:$AD37,2),"Highest",IF(AND(H37=_xlfn.MINIFS($F37:$AD37,$F37:$AD37,"&lt;&gt;0"),COUNTIF($F37:$AD37,H37)=1),"Lowest",""))</f>
        <v/>
      </c>
      <c r="I32" s="59"/>
      <c r="J32" s="59" t="str">
        <f>IF(J37&gt;LARGE($F37:$AD37,2),"Highest",IF(AND(J37=_xlfn.MINIFS($F37:$AD37,$F37:$AD37,"&lt;&gt;0"),COUNTIF($F37:$AD37,J37)=1),"Lowest",""))</f>
        <v/>
      </c>
      <c r="K32" s="59"/>
      <c r="L32" s="59" t="str">
        <f>IF(L37&gt;LARGE($F37:$AD37,2),"Highest",IF(AND(L37=_xlfn.MINIFS($F37:$AD37,$F37:$AD37,"&lt;&gt;0"),COUNTIF($F37:$AD37,L37)=1),"Lowest",""))</f>
        <v/>
      </c>
      <c r="M32" s="59"/>
      <c r="N32" s="59" t="str">
        <f>IF(N37&gt;LARGE($F37:$AD37,2),"Highest",IF(AND(N37=_xlfn.MINIFS($F37:$AD37,$F37:$AD37,"&lt;&gt;0"),COUNTIF($F37:$AD37,N37)=1),"Lowest",""))</f>
        <v/>
      </c>
      <c r="O32" s="59"/>
      <c r="P32" s="59" t="str">
        <f>IF(P37&gt;LARGE($F37:$AD37,2),"Highest",IF(AND(P37=_xlfn.MINIFS($F37:$AD37,$F37:$AD37,"&lt;&gt;0"),COUNTIF($F37:$AD37,P37)=1),"Lowest",""))</f>
        <v/>
      </c>
      <c r="Q32" s="59"/>
      <c r="R32" s="59" t="str">
        <f>IF(R37&gt;LARGE($F37:$AD37,2),"Highest",IF(AND(R37=_xlfn.MINIFS($F37:$AD37,$F37:$AD37,"&lt;&gt;0"),COUNTIF($F37:$AD37,R37)=1),"Lowest",""))</f>
        <v/>
      </c>
      <c r="S32" s="59"/>
      <c r="T32" s="59" t="str">
        <f>IF(T37&gt;LARGE($F37:$AD37,2),"Highest",IF(AND(T37=_xlfn.MINIFS($F37:$AD37,$F37:$AD37,"&lt;&gt;0"),COUNTIF($F37:$AD37,T37)=1),"Lowest",""))</f>
        <v/>
      </c>
      <c r="U32" s="59"/>
      <c r="V32" s="59" t="str">
        <f>IF(V37&gt;LARGE($F37:$AD37,2),"Highest",IF(AND(V37=_xlfn.MINIFS($F37:$AD37,$F37:$AD37,"&lt;&gt;0"),COUNTIF($F37:$AD37,V37)=1),"Lowest",""))</f>
        <v/>
      </c>
      <c r="W32" s="59"/>
      <c r="X32" s="59" t="str">
        <f>IF(X37&gt;LARGE($F37:$AD37,2),"Highest",IF(AND(X37=_xlfn.MINIFS($F37:$AD37,$F37:$AD37,"&lt;&gt;0"),COUNTIF($F37:$AD37,X37)=1),"Lowest",""))</f>
        <v/>
      </c>
      <c r="Y32" s="59"/>
      <c r="Z32" s="59" t="str">
        <f>IF(Z37&gt;LARGE($F37:$AD37,2),"Highest",IF(AND(Z37=_xlfn.MINIFS($F37:$AD37,$F37:$AD37,"&lt;&gt;0"),COUNTIF($F37:$AD37,Z37)=1),"Lowest",""))</f>
        <v/>
      </c>
      <c r="AA32" s="59"/>
      <c r="AB32" s="59" t="str">
        <f>IF(AB37&gt;LARGE($F37:$AD37,2),"Highest",IF(AND(AB37=_xlfn.MINIFS($F37:$AD37,$F37:$AD37,"&lt;&gt;0"),COUNTIF($F37:$AD37,AB37)=1),"Lowest",""))</f>
        <v/>
      </c>
      <c r="AC32" s="59"/>
      <c r="AD32" s="59" t="str">
        <f>IF(AD37&gt;LARGE($F37:$AD37,2),"Highest",IF(AND(AD37=_xlfn.MINIFS($F37:$AD37,$F37:$AD37,"&lt;&gt;0"),COUNTIF($F37:$AD37,AD37)=1),"Lowest",""))</f>
        <v/>
      </c>
      <c r="AE32" s="27"/>
      <c r="AH32" s="167"/>
    </row>
    <row r="33" spans="2:40" ht="15" customHeight="1" x14ac:dyDescent="0.25">
      <c r="B33" s="201"/>
      <c r="C33" s="202" t="s">
        <v>40</v>
      </c>
      <c r="D33" s="21" t="s">
        <v>36</v>
      </c>
      <c r="F33" s="88">
        <f>IFERROR(F39/F$49,0)</f>
        <v>4.3478260869565216E-2</v>
      </c>
      <c r="G33" s="32"/>
      <c r="H33" s="88">
        <f>IFERROR(H39/H$49,0)</f>
        <v>4.3478260869565216E-2</v>
      </c>
      <c r="I33" s="32"/>
      <c r="J33" s="88">
        <f>IFERROR(J39/J$49,0)</f>
        <v>4.3478260869565216E-2</v>
      </c>
      <c r="K33" s="32"/>
      <c r="L33" s="88">
        <f>IFERROR(L39/L$49,0)</f>
        <v>4.3478260869565216E-2</v>
      </c>
      <c r="M33" s="32"/>
      <c r="N33" s="88">
        <f>IFERROR(N39/N$49,0)</f>
        <v>4.3478260869565216E-2</v>
      </c>
      <c r="O33" s="32"/>
      <c r="P33" s="88">
        <f>IFERROR(P39/P$49,0)</f>
        <v>4.3478260869565216E-2</v>
      </c>
      <c r="Q33" s="32"/>
      <c r="R33" s="88">
        <f>IFERROR(R39/R$49,0)</f>
        <v>4.3478260869565216E-2</v>
      </c>
      <c r="S33" s="32"/>
      <c r="T33" s="88">
        <f>IFERROR(T39/T$49,0)</f>
        <v>4.3478260869565216E-2</v>
      </c>
      <c r="U33" s="32"/>
      <c r="V33" s="88">
        <f>IFERROR(V39/V$49,0)</f>
        <v>4.3478260869565216E-2</v>
      </c>
      <c r="W33" s="32"/>
      <c r="X33" s="88">
        <f>IFERROR(X39/X$49,0)</f>
        <v>4.3478260869565216E-2</v>
      </c>
      <c r="Y33" s="32"/>
      <c r="Z33" s="88">
        <f>IFERROR(Z39/Z$49,0)</f>
        <v>4.3478260869565216E-2</v>
      </c>
      <c r="AA33" s="32"/>
      <c r="AB33" s="88">
        <f>IFERROR(AB39/AB$49,0)</f>
        <v>4.3478260869565216E-2</v>
      </c>
      <c r="AC33" s="32"/>
      <c r="AD33" s="88">
        <f>IFERROR(AD39/AD$49,0)</f>
        <v>0</v>
      </c>
      <c r="AE33" s="32"/>
      <c r="AF33" s="33"/>
      <c r="AG33" s="88">
        <f>IFERROR(AG39/AG$49,0)</f>
        <v>4.3478260869565216E-2</v>
      </c>
      <c r="AH33" s="167"/>
      <c r="AM33" s="10"/>
      <c r="AN33" s="10"/>
    </row>
    <row r="34" spans="2:40" x14ac:dyDescent="0.25">
      <c r="B34" s="201"/>
      <c r="C34" s="202"/>
      <c r="D34" s="21" t="s">
        <v>25</v>
      </c>
      <c r="F34" s="89">
        <f>IFERROR(F40/F$49,0)</f>
        <v>3.0434782608695653E-2</v>
      </c>
      <c r="G34" s="32"/>
      <c r="H34" s="89">
        <f>IFERROR(H40/H$49,0)</f>
        <v>3.0434782608695653E-2</v>
      </c>
      <c r="I34" s="32"/>
      <c r="J34" s="89">
        <f>IFERROR(J40/J$49,0)</f>
        <v>3.0434782608695653E-2</v>
      </c>
      <c r="K34" s="32"/>
      <c r="L34" s="89">
        <f>IFERROR(L40/L$49,0)</f>
        <v>3.0434782608695653E-2</v>
      </c>
      <c r="M34" s="32"/>
      <c r="N34" s="89">
        <f>IFERROR(N40/N$49,0)</f>
        <v>3.0434782608695653E-2</v>
      </c>
      <c r="O34" s="32"/>
      <c r="P34" s="89">
        <f>IFERROR(P40/P$49,0)</f>
        <v>3.0434782608695653E-2</v>
      </c>
      <c r="Q34" s="32"/>
      <c r="R34" s="89">
        <f>IFERROR(R40/R$49,0)</f>
        <v>3.0434782608695653E-2</v>
      </c>
      <c r="S34" s="32"/>
      <c r="T34" s="89">
        <f>IFERROR(T40/T$49,0)</f>
        <v>3.0434782608695653E-2</v>
      </c>
      <c r="U34" s="32"/>
      <c r="V34" s="89">
        <f>IFERROR(V40/V$49,0)</f>
        <v>3.0434782608695653E-2</v>
      </c>
      <c r="W34" s="32"/>
      <c r="X34" s="89">
        <f>IFERROR(X40/X$49,0)</f>
        <v>3.0434782608695653E-2</v>
      </c>
      <c r="Y34" s="32"/>
      <c r="Z34" s="89">
        <f>IFERROR(Z40/Z$49,0)</f>
        <v>3.0434782608695653E-2</v>
      </c>
      <c r="AA34" s="32"/>
      <c r="AB34" s="89">
        <f>IFERROR(AB40/AB$49,0)</f>
        <v>3.0434782608695653E-2</v>
      </c>
      <c r="AC34" s="32"/>
      <c r="AD34" s="89">
        <f>IFERROR(AD40/AD$49,0)</f>
        <v>0</v>
      </c>
      <c r="AE34" s="32"/>
      <c r="AF34" s="33"/>
      <c r="AG34" s="89">
        <f>IFERROR(AG40/AG$49,0)</f>
        <v>3.0434782608695653E-2</v>
      </c>
      <c r="AH34" s="167"/>
      <c r="AM34" s="4"/>
      <c r="AN34" s="4"/>
    </row>
    <row r="35" spans="2:40" x14ac:dyDescent="0.25">
      <c r="B35" s="201"/>
      <c r="C35" s="202"/>
      <c r="D35" s="21" t="s">
        <v>35</v>
      </c>
      <c r="F35" s="90">
        <f>IFERROR(F41/F$49,0)</f>
        <v>3.9130434782608699E-2</v>
      </c>
      <c r="G35" s="32"/>
      <c r="H35" s="90">
        <f>IFERROR(H41/H$49,0)</f>
        <v>3.9130434782608699E-2</v>
      </c>
      <c r="I35" s="32"/>
      <c r="J35" s="90">
        <f>IFERROR(J41/J$49,0)</f>
        <v>3.9130434782608699E-2</v>
      </c>
      <c r="K35" s="32"/>
      <c r="L35" s="90">
        <f>IFERROR(L41/L$49,0)</f>
        <v>3.9130434782608699E-2</v>
      </c>
      <c r="M35" s="32"/>
      <c r="N35" s="90">
        <f>IFERROR(N41/N$49,0)</f>
        <v>3.9130434782608699E-2</v>
      </c>
      <c r="O35" s="32"/>
      <c r="P35" s="90">
        <f>IFERROR(P41/P$49,0)</f>
        <v>3.9130434782608699E-2</v>
      </c>
      <c r="Q35" s="32"/>
      <c r="R35" s="90">
        <f>IFERROR(R41/R$49,0)</f>
        <v>3.9130434782608699E-2</v>
      </c>
      <c r="S35" s="32"/>
      <c r="T35" s="90">
        <f>IFERROR(T41/T$49,0)</f>
        <v>3.9130434782608699E-2</v>
      </c>
      <c r="U35" s="32"/>
      <c r="V35" s="90">
        <f>IFERROR(V41/V$49,0)</f>
        <v>3.9130434782608699E-2</v>
      </c>
      <c r="W35" s="32"/>
      <c r="X35" s="90">
        <f>IFERROR(X41/X$49,0)</f>
        <v>3.9130434782608699E-2</v>
      </c>
      <c r="Y35" s="32"/>
      <c r="Z35" s="90">
        <f>IFERROR(Z41/Z$49,0)</f>
        <v>3.9130434782608699E-2</v>
      </c>
      <c r="AA35" s="32"/>
      <c r="AB35" s="90">
        <f>IFERROR(AB41/AB$49,0)</f>
        <v>3.9130434782608699E-2</v>
      </c>
      <c r="AC35" s="32"/>
      <c r="AD35" s="90">
        <f>IFERROR(AD41/AD$49,0)</f>
        <v>0</v>
      </c>
      <c r="AE35" s="32"/>
      <c r="AF35" s="33"/>
      <c r="AG35" s="90">
        <f>IFERROR(AG41/AG$49,0)</f>
        <v>3.9130434782608699E-2</v>
      </c>
      <c r="AH35" s="167"/>
      <c r="AM35" s="4"/>
      <c r="AN35" s="4"/>
    </row>
    <row r="36" spans="2:40" x14ac:dyDescent="0.25">
      <c r="B36" s="201"/>
      <c r="C36" s="202"/>
      <c r="D36" s="21" t="s">
        <v>24</v>
      </c>
      <c r="F36" s="91">
        <f>IFERROR(F42/F$49,0)</f>
        <v>2.6086956521739132E-3</v>
      </c>
      <c r="G36" s="32"/>
      <c r="H36" s="91">
        <f>IFERROR(H42/H$49,0)</f>
        <v>2.6086956521739132E-3</v>
      </c>
      <c r="I36" s="32"/>
      <c r="J36" s="91">
        <f>IFERROR(J42/J$49,0)</f>
        <v>2.6086956521739132E-3</v>
      </c>
      <c r="K36" s="32"/>
      <c r="L36" s="91">
        <f>IFERROR(L42/L$49,0)</f>
        <v>2.6086956521739132E-3</v>
      </c>
      <c r="M36" s="32"/>
      <c r="N36" s="91">
        <f>IFERROR(N42/N$49,0)</f>
        <v>2.6086956521739132E-3</v>
      </c>
      <c r="O36" s="32"/>
      <c r="P36" s="91">
        <f>IFERROR(P42/P$49,0)</f>
        <v>2.6086956521739132E-3</v>
      </c>
      <c r="Q36" s="32"/>
      <c r="R36" s="91">
        <f>IFERROR(R42/R$49,0)</f>
        <v>2.6086956521739132E-3</v>
      </c>
      <c r="S36" s="32"/>
      <c r="T36" s="91">
        <f>IFERROR(T42/T$49,0)</f>
        <v>2.6086956521739132E-3</v>
      </c>
      <c r="U36" s="32"/>
      <c r="V36" s="91">
        <f>IFERROR(V42/V$49,0)</f>
        <v>2.6086956521739132E-3</v>
      </c>
      <c r="W36" s="32"/>
      <c r="X36" s="91">
        <f>IFERROR(X42/X$49,0)</f>
        <v>2.6086956521739132E-3</v>
      </c>
      <c r="Y36" s="32"/>
      <c r="Z36" s="91">
        <f>IFERROR(Z42/Z$49,0)</f>
        <v>2.6086956521739132E-3</v>
      </c>
      <c r="AA36" s="32"/>
      <c r="AB36" s="91">
        <f>IFERROR(AB42/AB$49,0)</f>
        <v>2.6086956521739132E-3</v>
      </c>
      <c r="AC36" s="32"/>
      <c r="AD36" s="91">
        <f>IFERROR(AD42/AD$49,0)</f>
        <v>0</v>
      </c>
      <c r="AE36" s="32"/>
      <c r="AF36" s="33"/>
      <c r="AG36" s="91">
        <f>IFERROR(AG42/AG$49,0)</f>
        <v>2.6086956521739132E-3</v>
      </c>
      <c r="AH36" s="167"/>
      <c r="AM36" s="4"/>
      <c r="AN36" s="4"/>
    </row>
    <row r="37" spans="2:40" ht="15" customHeight="1" x14ac:dyDescent="0.25">
      <c r="B37" s="201"/>
      <c r="C37" s="49"/>
      <c r="D37" s="10"/>
      <c r="F37" s="92">
        <f>SUM(F33:F36)</f>
        <v>0.1156521739130435</v>
      </c>
      <c r="G37" s="4"/>
      <c r="H37" s="92">
        <f>SUM(H33:H36)</f>
        <v>0.1156521739130435</v>
      </c>
      <c r="I37" s="4"/>
      <c r="J37" s="92">
        <f>SUM(J33:J36)</f>
        <v>0.1156521739130435</v>
      </c>
      <c r="K37" s="4"/>
      <c r="L37" s="92">
        <f>SUM(L33:L36)</f>
        <v>0.1156521739130435</v>
      </c>
      <c r="M37" s="4"/>
      <c r="N37" s="92">
        <f>SUM(N33:N36)</f>
        <v>0.1156521739130435</v>
      </c>
      <c r="O37" s="4"/>
      <c r="P37" s="92">
        <f>SUM(P33:P36)</f>
        <v>0.1156521739130435</v>
      </c>
      <c r="Q37" s="4"/>
      <c r="R37" s="92">
        <f>SUM(R33:R36)</f>
        <v>0.1156521739130435</v>
      </c>
      <c r="S37" s="4"/>
      <c r="T37" s="92">
        <f>SUM(T33:T36)</f>
        <v>0.1156521739130435</v>
      </c>
      <c r="U37" s="4"/>
      <c r="V37" s="92">
        <f>SUM(V33:V36)</f>
        <v>0.1156521739130435</v>
      </c>
      <c r="W37" s="4"/>
      <c r="X37" s="92">
        <f>SUM(X33:X36)</f>
        <v>0.1156521739130435</v>
      </c>
      <c r="Y37" s="4"/>
      <c r="Z37" s="92">
        <f>SUM(Z33:Z36)</f>
        <v>0.1156521739130435</v>
      </c>
      <c r="AA37" s="4"/>
      <c r="AB37" s="92">
        <f>SUM(AB33:AB36)</f>
        <v>0.1156521739130435</v>
      </c>
      <c r="AC37" s="4"/>
      <c r="AD37" s="92">
        <f>SUM(AD33:AD36)</f>
        <v>0</v>
      </c>
      <c r="AE37" s="4"/>
      <c r="AG37" s="92">
        <f>SUM(AG33:AG36)</f>
        <v>0.1156521739130435</v>
      </c>
      <c r="AH37" s="167"/>
      <c r="AM37" s="4"/>
      <c r="AN37" s="4"/>
    </row>
    <row r="38" spans="2:40" ht="15" customHeight="1" x14ac:dyDescent="0.25">
      <c r="B38" s="201"/>
      <c r="C38" s="49"/>
      <c r="D38" s="2"/>
      <c r="F38" s="59" t="str">
        <f>IF(F43&gt;LARGE($F43:$AD43,2),"Highest",IF(AND(F43=_xlfn.MINIFS($F43:$AD43,$F43:$AD43,"&lt;&gt;0"),COUNTIF($F43:$AD43,F43)=1),"Lowest",""))</f>
        <v/>
      </c>
      <c r="G38" s="59"/>
      <c r="H38" s="59" t="str">
        <f>IF(H43&gt;LARGE($F43:$AD43,2),"Highest",IF(AND(H43=_xlfn.MINIFS($F43:$AD43,$F43:$AD43,"&lt;&gt;0"),COUNTIF($F43:$AD43,H43)=1),"Lowest",""))</f>
        <v/>
      </c>
      <c r="I38" s="59"/>
      <c r="J38" s="59" t="str">
        <f>IF(J43&gt;LARGE($F43:$AD43,2),"Highest",IF(AND(J43=_xlfn.MINIFS($F43:$AD43,$F43:$AD43,"&lt;&gt;0"),COUNTIF($F43:$AD43,J43)=1),"Lowest",""))</f>
        <v/>
      </c>
      <c r="K38" s="59"/>
      <c r="L38" s="59" t="str">
        <f>IF(L43&gt;LARGE($F43:$AD43,2),"Highest",IF(AND(L43=_xlfn.MINIFS($F43:$AD43,$F43:$AD43,"&lt;&gt;0"),COUNTIF($F43:$AD43,L43)=1),"Lowest",""))</f>
        <v/>
      </c>
      <c r="M38" s="59"/>
      <c r="N38" s="59" t="str">
        <f>IF(N43&gt;LARGE($F43:$AD43,2),"Highest",IF(AND(N43=_xlfn.MINIFS($F43:$AD43,$F43:$AD43,"&lt;&gt;0"),COUNTIF($F43:$AD43,N43)=1),"Lowest",""))</f>
        <v/>
      </c>
      <c r="O38" s="59"/>
      <c r="P38" s="59" t="str">
        <f>IF(P43&gt;LARGE($F43:$AD43,2),"Highest",IF(AND(P43=_xlfn.MINIFS($F43:$AD43,$F43:$AD43,"&lt;&gt;0"),COUNTIF($F43:$AD43,P43)=1),"Lowest",""))</f>
        <v/>
      </c>
      <c r="Q38" s="59"/>
      <c r="R38" s="59" t="str">
        <f>IF(R43&gt;LARGE($F43:$AD43,2),"Highest",IF(AND(R43=_xlfn.MINIFS($F43:$AD43,$F43:$AD43,"&lt;&gt;0"),COUNTIF($F43:$AD43,R43)=1),"Lowest",""))</f>
        <v/>
      </c>
      <c r="S38" s="59"/>
      <c r="T38" s="59" t="str">
        <f>IF(T43&gt;LARGE($F43:$AD43,2),"Highest",IF(AND(T43=_xlfn.MINIFS($F43:$AD43,$F43:$AD43,"&lt;&gt;0"),COUNTIF($F43:$AD43,T43)=1),"Lowest",""))</f>
        <v/>
      </c>
      <c r="U38" s="59"/>
      <c r="V38" s="59" t="str">
        <f>IF(V43&gt;LARGE($F43:$AD43,2),"Highest",IF(AND(V43=_xlfn.MINIFS($F43:$AD43,$F43:$AD43,"&lt;&gt;0"),COUNTIF($F43:$AD43,V43)=1),"Lowest",""))</f>
        <v/>
      </c>
      <c r="W38" s="59"/>
      <c r="X38" s="59" t="str">
        <f>IF(X43&gt;LARGE($F43:$AD43,2),"Highest",IF(AND(X43=_xlfn.MINIFS($F43:$AD43,$F43:$AD43,"&lt;&gt;0"),COUNTIF($F43:$AD43,X43)=1),"Lowest",""))</f>
        <v/>
      </c>
      <c r="Y38" s="59"/>
      <c r="Z38" s="59" t="str">
        <f>IF(Z43&gt;LARGE($F43:$AD43,2),"Highest",IF(AND(Z43=_xlfn.MINIFS($F43:$AD43,$F43:$AD43,"&lt;&gt;0"),COUNTIF($F43:$AD43,Z43)=1),"Lowest",""))</f>
        <v/>
      </c>
      <c r="AA38" s="59"/>
      <c r="AB38" s="59" t="str">
        <f>IF(AB43&gt;LARGE($F43:$AD43,2),"Highest",IF(AND(AB43=_xlfn.MINIFS($F43:$AD43,$F43:$AD43,"&lt;&gt;0"),COUNTIF($F43:$AD43,AB43)=1),"Lowest",""))</f>
        <v/>
      </c>
      <c r="AC38" s="59"/>
      <c r="AD38" s="59" t="str">
        <f>IF(AD43&gt;LARGE($F43:$AD43,2),"Highest",IF(AND(AD43=_xlfn.MINIFS($F43:$AD43,$F43:$AD43,"&lt;&gt;0"),COUNTIF($F43:$AD43,AD43)=1),"Lowest",""))</f>
        <v/>
      </c>
      <c r="AE38" s="27"/>
      <c r="AH38" s="167"/>
      <c r="AI38" s="55"/>
      <c r="AM38" s="4"/>
      <c r="AN38" s="4"/>
    </row>
    <row r="39" spans="2:40" ht="15" customHeight="1" x14ac:dyDescent="0.25">
      <c r="B39" s="201"/>
      <c r="C39" s="202" t="s">
        <v>43</v>
      </c>
      <c r="D39" s="21" t="s">
        <v>36</v>
      </c>
      <c r="F39" s="93">
        <v>10000</v>
      </c>
      <c r="G39" s="32"/>
      <c r="H39" s="93">
        <v>10000</v>
      </c>
      <c r="I39" s="32"/>
      <c r="J39" s="93">
        <v>10000</v>
      </c>
      <c r="K39" s="32"/>
      <c r="L39" s="93">
        <v>10000</v>
      </c>
      <c r="M39" s="32"/>
      <c r="N39" s="93">
        <v>10000</v>
      </c>
      <c r="O39" s="32"/>
      <c r="P39" s="93">
        <v>10000</v>
      </c>
      <c r="Q39" s="32"/>
      <c r="R39" s="93">
        <v>10000</v>
      </c>
      <c r="S39" s="32"/>
      <c r="T39" s="93">
        <v>10000</v>
      </c>
      <c r="U39" s="32"/>
      <c r="V39" s="93">
        <v>10000</v>
      </c>
      <c r="W39" s="32"/>
      <c r="X39" s="93">
        <v>10000</v>
      </c>
      <c r="Y39" s="32"/>
      <c r="Z39" s="93">
        <v>10000</v>
      </c>
      <c r="AA39" s="32"/>
      <c r="AB39" s="93">
        <v>10000</v>
      </c>
      <c r="AC39" s="32"/>
      <c r="AD39" s="93"/>
      <c r="AE39" s="32"/>
      <c r="AF39" s="33"/>
      <c r="AG39" s="31">
        <f>SUM(F39:AD39)</f>
        <v>120000</v>
      </c>
      <c r="AH39" s="167"/>
      <c r="AI39" s="57"/>
      <c r="AJ39" s="53" t="s">
        <v>77</v>
      </c>
      <c r="AM39" s="4"/>
      <c r="AN39" s="4"/>
    </row>
    <row r="40" spans="2:40" x14ac:dyDescent="0.25">
      <c r="B40" s="201"/>
      <c r="C40" s="202"/>
      <c r="D40" s="21" t="s">
        <v>25</v>
      </c>
      <c r="F40" s="94">
        <v>7000</v>
      </c>
      <c r="G40" s="32"/>
      <c r="H40" s="94">
        <v>7000</v>
      </c>
      <c r="I40" s="32"/>
      <c r="J40" s="94">
        <v>7000</v>
      </c>
      <c r="K40" s="32"/>
      <c r="L40" s="94">
        <v>7000</v>
      </c>
      <c r="M40" s="32"/>
      <c r="N40" s="94">
        <v>7000</v>
      </c>
      <c r="O40" s="32"/>
      <c r="P40" s="94">
        <v>7000</v>
      </c>
      <c r="Q40" s="32"/>
      <c r="R40" s="94">
        <v>7000</v>
      </c>
      <c r="S40" s="32"/>
      <c r="T40" s="94">
        <v>7000</v>
      </c>
      <c r="U40" s="32"/>
      <c r="V40" s="94">
        <v>7000</v>
      </c>
      <c r="W40" s="32"/>
      <c r="X40" s="94">
        <v>7000</v>
      </c>
      <c r="Y40" s="32"/>
      <c r="Z40" s="94">
        <v>7000</v>
      </c>
      <c r="AA40" s="32"/>
      <c r="AB40" s="94">
        <v>7000</v>
      </c>
      <c r="AC40" s="32"/>
      <c r="AD40" s="94"/>
      <c r="AE40" s="32"/>
      <c r="AF40" s="33"/>
      <c r="AG40" s="34">
        <f>SUM(F40:AD40)</f>
        <v>84000</v>
      </c>
      <c r="AH40" s="167"/>
      <c r="AI40" s="57"/>
      <c r="AJ40" s="52" t="s">
        <v>52</v>
      </c>
      <c r="AM40" s="4"/>
      <c r="AN40" s="4"/>
    </row>
    <row r="41" spans="2:40" x14ac:dyDescent="0.25">
      <c r="B41" s="201"/>
      <c r="C41" s="202"/>
      <c r="D41" s="21" t="s">
        <v>35</v>
      </c>
      <c r="F41" s="95">
        <v>9000</v>
      </c>
      <c r="G41" s="32"/>
      <c r="H41" s="95">
        <v>9000</v>
      </c>
      <c r="I41" s="32"/>
      <c r="J41" s="95">
        <v>9000</v>
      </c>
      <c r="K41" s="32"/>
      <c r="L41" s="95">
        <v>9000</v>
      </c>
      <c r="M41" s="32"/>
      <c r="N41" s="95">
        <v>9000</v>
      </c>
      <c r="O41" s="32"/>
      <c r="P41" s="95">
        <v>9000</v>
      </c>
      <c r="Q41" s="32"/>
      <c r="R41" s="95">
        <v>9000</v>
      </c>
      <c r="S41" s="32"/>
      <c r="T41" s="95">
        <v>9000</v>
      </c>
      <c r="U41" s="32"/>
      <c r="V41" s="95">
        <v>9000</v>
      </c>
      <c r="W41" s="32"/>
      <c r="X41" s="95">
        <v>9000</v>
      </c>
      <c r="Y41" s="32"/>
      <c r="Z41" s="95">
        <v>9000</v>
      </c>
      <c r="AA41" s="32"/>
      <c r="AB41" s="95">
        <v>9000</v>
      </c>
      <c r="AC41" s="32"/>
      <c r="AD41" s="95"/>
      <c r="AE41" s="32"/>
      <c r="AF41" s="33"/>
      <c r="AG41" s="32">
        <f>SUM(F41:AD41)</f>
        <v>108000</v>
      </c>
      <c r="AH41" s="167"/>
      <c r="AI41" s="57"/>
      <c r="AJ41" s="52" t="s">
        <v>78</v>
      </c>
      <c r="AM41" s="4"/>
      <c r="AN41" s="4"/>
    </row>
    <row r="42" spans="2:40" x14ac:dyDescent="0.25">
      <c r="B42" s="201"/>
      <c r="C42" s="202"/>
      <c r="D42" s="21" t="s">
        <v>24</v>
      </c>
      <c r="F42" s="96">
        <v>600</v>
      </c>
      <c r="G42" s="32"/>
      <c r="H42" s="96">
        <v>600</v>
      </c>
      <c r="I42" s="32"/>
      <c r="J42" s="96">
        <v>600</v>
      </c>
      <c r="K42" s="32"/>
      <c r="L42" s="96">
        <v>600</v>
      </c>
      <c r="M42" s="32"/>
      <c r="N42" s="96">
        <v>600</v>
      </c>
      <c r="O42" s="32"/>
      <c r="P42" s="96">
        <v>600</v>
      </c>
      <c r="Q42" s="32"/>
      <c r="R42" s="96">
        <v>600</v>
      </c>
      <c r="S42" s="32"/>
      <c r="T42" s="96">
        <v>600</v>
      </c>
      <c r="U42" s="32"/>
      <c r="V42" s="96">
        <v>600</v>
      </c>
      <c r="W42" s="32"/>
      <c r="X42" s="96">
        <v>600</v>
      </c>
      <c r="Y42" s="32"/>
      <c r="Z42" s="96">
        <v>600</v>
      </c>
      <c r="AA42" s="32"/>
      <c r="AB42" s="96">
        <v>600</v>
      </c>
      <c r="AC42" s="32"/>
      <c r="AD42" s="96"/>
      <c r="AE42" s="32"/>
      <c r="AF42" s="33"/>
      <c r="AG42" s="35">
        <f>SUM(F42:AD42)</f>
        <v>7200</v>
      </c>
      <c r="AH42" s="167"/>
      <c r="AI42" s="57"/>
      <c r="AJ42" s="166" t="s">
        <v>79</v>
      </c>
      <c r="AM42" s="4"/>
      <c r="AN42" s="4"/>
    </row>
    <row r="43" spans="2:40" ht="15" customHeight="1" x14ac:dyDescent="0.25">
      <c r="B43" s="201"/>
      <c r="C43" s="49"/>
      <c r="D43" s="10"/>
      <c r="F43" s="97">
        <f>SUM(F39:F42)</f>
        <v>26600</v>
      </c>
      <c r="G43" s="4"/>
      <c r="H43" s="97">
        <f>SUM(H39:H42)</f>
        <v>26600</v>
      </c>
      <c r="I43" s="4"/>
      <c r="J43" s="97">
        <f>SUM(J39:J42)</f>
        <v>26600</v>
      </c>
      <c r="K43" s="4"/>
      <c r="L43" s="97">
        <f>SUM(L39:L42)</f>
        <v>26600</v>
      </c>
      <c r="M43" s="4"/>
      <c r="N43" s="97">
        <f>SUM(N39:N42)</f>
        <v>26600</v>
      </c>
      <c r="O43" s="4"/>
      <c r="P43" s="97">
        <f>SUM(P39:P42)</f>
        <v>26600</v>
      </c>
      <c r="Q43" s="4"/>
      <c r="R43" s="97">
        <f>SUM(R39:R42)</f>
        <v>26600</v>
      </c>
      <c r="S43" s="4"/>
      <c r="T43" s="97">
        <f>SUM(T39:T42)</f>
        <v>26600</v>
      </c>
      <c r="U43" s="4"/>
      <c r="V43" s="97">
        <f>SUM(V39:V42)</f>
        <v>26600</v>
      </c>
      <c r="W43" s="4"/>
      <c r="X43" s="97">
        <f>SUM(X39:X42)</f>
        <v>26600</v>
      </c>
      <c r="Y43" s="4"/>
      <c r="Z43" s="97">
        <f>SUM(Z39:Z42)</f>
        <v>26600</v>
      </c>
      <c r="AA43" s="4"/>
      <c r="AB43" s="97">
        <f>SUM(AB39:AB42)</f>
        <v>26600</v>
      </c>
      <c r="AC43" s="4"/>
      <c r="AD43" s="97">
        <f>SUM(AD39:AD42)</f>
        <v>0</v>
      </c>
      <c r="AE43" s="4"/>
      <c r="AG43" s="4">
        <f>IF(SUM(AG39:AG42)=0,"",SUM(AG39:AG42))</f>
        <v>319200</v>
      </c>
      <c r="AH43" s="167"/>
      <c r="AI43" s="57"/>
      <c r="AM43" s="4"/>
      <c r="AN43" s="4"/>
    </row>
    <row r="44" spans="2:40" ht="15" customHeight="1" x14ac:dyDescent="0.25">
      <c r="B44" s="201"/>
      <c r="C44" s="56"/>
      <c r="D44" s="2"/>
      <c r="F44" s="59" t="str">
        <f>IF(F49&gt;LARGE($F49:$AD49,2),"Highest",IF(AND(F49=_xlfn.MINIFS($F49:$AD49,$F49:$AD49,"&lt;&gt;0"),COUNTIF($F49:$AD49,F49)=1),"Lowest",""))</f>
        <v/>
      </c>
      <c r="G44" s="59"/>
      <c r="H44" s="59" t="str">
        <f>IF(H49&gt;LARGE($F49:$AD49,2),"Highest",IF(AND(H49=_xlfn.MINIFS($F49:$AD49,$F49:$AD49,"&lt;&gt;0"),COUNTIF($F49:$AD49,H49)=1),"Lowest",""))</f>
        <v/>
      </c>
      <c r="I44" s="59"/>
      <c r="J44" s="59" t="str">
        <f>IF(J49&gt;LARGE($F49:$AD49,2),"Highest",IF(AND(J49=_xlfn.MINIFS($F49:$AD49,$F49:$AD49,"&lt;&gt;0"),COUNTIF($F49:$AD49,J49)=1),"Lowest",""))</f>
        <v/>
      </c>
      <c r="K44" s="59"/>
      <c r="L44" s="59" t="str">
        <f>IF(L49&gt;LARGE($F49:$AD49,2),"Highest",IF(AND(L49=_xlfn.MINIFS($F49:$AD49,$F49:$AD49,"&lt;&gt;0"),COUNTIF($F49:$AD49,L49)=1),"Lowest",""))</f>
        <v/>
      </c>
      <c r="M44" s="59"/>
      <c r="N44" s="59" t="str">
        <f>IF(N49&gt;LARGE($F49:$AD49,2),"Highest",IF(AND(N49=_xlfn.MINIFS($F49:$AD49,$F49:$AD49,"&lt;&gt;0"),COUNTIF($F49:$AD49,N49)=1),"Lowest",""))</f>
        <v/>
      </c>
      <c r="O44" s="59"/>
      <c r="P44" s="59" t="str">
        <f>IF(P49&gt;LARGE($F49:$AD49,2),"Highest",IF(AND(P49=_xlfn.MINIFS($F49:$AD49,$F49:$AD49,"&lt;&gt;0"),COUNTIF($F49:$AD49,P49)=1),"Lowest",""))</f>
        <v/>
      </c>
      <c r="Q44" s="59"/>
      <c r="R44" s="59" t="str">
        <f>IF(R49&gt;LARGE($F49:$AD49,2),"Highest",IF(AND(R49=_xlfn.MINIFS($F49:$AD49,$F49:$AD49,"&lt;&gt;0"),COUNTIF($F49:$AD49,R49)=1),"Lowest",""))</f>
        <v/>
      </c>
      <c r="S44" s="59"/>
      <c r="T44" s="59" t="str">
        <f>IF(T49&gt;LARGE($F49:$AD49,2),"Highest",IF(AND(T49=_xlfn.MINIFS($F49:$AD49,$F49:$AD49,"&lt;&gt;0"),COUNTIF($F49:$AD49,T49)=1),"Lowest",""))</f>
        <v/>
      </c>
      <c r="U44" s="59"/>
      <c r="V44" s="59" t="str">
        <f>IF(V49&gt;LARGE($F49:$AD49,2),"Highest",IF(AND(V49=_xlfn.MINIFS($F49:$AD49,$F49:$AD49,"&lt;&gt;0"),COUNTIF($F49:$AD49,V49)=1),"Lowest",""))</f>
        <v/>
      </c>
      <c r="W44" s="59"/>
      <c r="X44" s="59" t="str">
        <f>IF(X49&gt;LARGE($F49:$AD49,2),"Highest",IF(AND(X49=_xlfn.MINIFS($F49:$AD49,$F49:$AD49,"&lt;&gt;0"),COUNTIF($F49:$AD49,X49)=1),"Lowest",""))</f>
        <v/>
      </c>
      <c r="Y44" s="59"/>
      <c r="Z44" s="59" t="str">
        <f>IF(Z49&gt;LARGE($F49:$AD49,2),"Highest",IF(AND(Z49=_xlfn.MINIFS($F49:$AD49,$F49:$AD49,"&lt;&gt;0"),COUNTIF($F49:$AD49,Z49)=1),"Lowest",""))</f>
        <v/>
      </c>
      <c r="AA44" s="59"/>
      <c r="AB44" s="59" t="str">
        <f>IF(AB49&gt;LARGE($F49:$AD49,2),"Highest",IF(AND(AB49=_xlfn.MINIFS($F49:$AD49,$F49:$AD49,"&lt;&gt;0"),COUNTIF($F49:$AD49,AB49)=1),"Lowest",""))</f>
        <v/>
      </c>
      <c r="AC44" s="59"/>
      <c r="AD44" s="59" t="str">
        <f>IF(AD49&gt;LARGE($F49:$AD49,2),"Highest",IF(AND(AD49=_xlfn.MINIFS($F49:$AD49,$F49:$AD49,"&lt;&gt;0"),COUNTIF($F49:$AD49,AD49)=1),"Lowest",""))</f>
        <v/>
      </c>
      <c r="AE44" s="27"/>
      <c r="AH44" s="167"/>
      <c r="AI44" s="57"/>
      <c r="AM44" s="4"/>
      <c r="AN44" s="4"/>
    </row>
    <row r="45" spans="2:40" ht="15" customHeight="1" x14ac:dyDescent="0.25">
      <c r="B45" s="201"/>
      <c r="C45" s="202" t="s">
        <v>42</v>
      </c>
      <c r="D45" s="21" t="s">
        <v>36</v>
      </c>
      <c r="F45" s="93">
        <v>90000</v>
      </c>
      <c r="G45" s="32"/>
      <c r="H45" s="93">
        <v>90000</v>
      </c>
      <c r="I45" s="32"/>
      <c r="J45" s="93">
        <v>90000</v>
      </c>
      <c r="K45" s="32"/>
      <c r="L45" s="93">
        <v>90000</v>
      </c>
      <c r="M45" s="32"/>
      <c r="N45" s="93">
        <v>90000</v>
      </c>
      <c r="O45" s="32"/>
      <c r="P45" s="93">
        <v>90000</v>
      </c>
      <c r="Q45" s="32"/>
      <c r="R45" s="93">
        <v>90000</v>
      </c>
      <c r="S45" s="32"/>
      <c r="T45" s="93">
        <v>90000</v>
      </c>
      <c r="U45" s="32"/>
      <c r="V45" s="93">
        <v>90000</v>
      </c>
      <c r="W45" s="32"/>
      <c r="X45" s="93">
        <v>90000</v>
      </c>
      <c r="Y45" s="32"/>
      <c r="Z45" s="93">
        <v>90000</v>
      </c>
      <c r="AA45" s="32"/>
      <c r="AB45" s="93">
        <v>90000</v>
      </c>
      <c r="AC45" s="32"/>
      <c r="AD45" s="93"/>
      <c r="AE45" s="32"/>
      <c r="AF45" s="33"/>
      <c r="AG45" s="31">
        <f>SUM(F45:AD45)</f>
        <v>1080000</v>
      </c>
      <c r="AH45" s="167"/>
      <c r="AI45" s="57"/>
      <c r="AJ45" s="53" t="s">
        <v>77</v>
      </c>
      <c r="AM45" s="4"/>
      <c r="AN45" s="4"/>
    </row>
    <row r="46" spans="2:40" x14ac:dyDescent="0.25">
      <c r="B46" s="201"/>
      <c r="C46" s="202"/>
      <c r="D46" s="21" t="s">
        <v>25</v>
      </c>
      <c r="F46" s="94">
        <v>70000</v>
      </c>
      <c r="G46" s="32"/>
      <c r="H46" s="94">
        <v>70000</v>
      </c>
      <c r="I46" s="32"/>
      <c r="J46" s="94">
        <v>70000</v>
      </c>
      <c r="K46" s="32"/>
      <c r="L46" s="94">
        <v>70000</v>
      </c>
      <c r="M46" s="32"/>
      <c r="N46" s="94">
        <v>70000</v>
      </c>
      <c r="O46" s="32"/>
      <c r="P46" s="94">
        <v>70000</v>
      </c>
      <c r="Q46" s="32"/>
      <c r="R46" s="94">
        <v>70000</v>
      </c>
      <c r="S46" s="32"/>
      <c r="T46" s="94">
        <v>70000</v>
      </c>
      <c r="U46" s="32"/>
      <c r="V46" s="94">
        <v>70000</v>
      </c>
      <c r="W46" s="32"/>
      <c r="X46" s="94">
        <v>70000</v>
      </c>
      <c r="Y46" s="32"/>
      <c r="Z46" s="94">
        <v>70000</v>
      </c>
      <c r="AA46" s="32"/>
      <c r="AB46" s="94">
        <v>70000</v>
      </c>
      <c r="AC46" s="32"/>
      <c r="AD46" s="94"/>
      <c r="AE46" s="32"/>
      <c r="AF46" s="33"/>
      <c r="AG46" s="34">
        <f>SUM(F46:AD46)</f>
        <v>840000</v>
      </c>
      <c r="AH46" s="167"/>
      <c r="AI46" s="57"/>
      <c r="AJ46" s="52" t="s">
        <v>52</v>
      </c>
      <c r="AM46" s="4"/>
      <c r="AN46" s="4"/>
    </row>
    <row r="47" spans="2:40" x14ac:dyDescent="0.25">
      <c r="B47" s="201"/>
      <c r="C47" s="202"/>
      <c r="D47" s="21" t="s">
        <v>35</v>
      </c>
      <c r="F47" s="95">
        <v>65000</v>
      </c>
      <c r="G47" s="32"/>
      <c r="H47" s="95">
        <v>65000</v>
      </c>
      <c r="I47" s="32"/>
      <c r="J47" s="95">
        <v>65000</v>
      </c>
      <c r="K47" s="32"/>
      <c r="L47" s="95">
        <v>65000</v>
      </c>
      <c r="M47" s="32"/>
      <c r="N47" s="95">
        <v>65000</v>
      </c>
      <c r="O47" s="32"/>
      <c r="P47" s="95">
        <v>65000</v>
      </c>
      <c r="Q47" s="32"/>
      <c r="R47" s="95">
        <v>65000</v>
      </c>
      <c r="S47" s="32"/>
      <c r="T47" s="95">
        <v>65000</v>
      </c>
      <c r="U47" s="32"/>
      <c r="V47" s="95">
        <v>65000</v>
      </c>
      <c r="W47" s="32"/>
      <c r="X47" s="95">
        <v>65000</v>
      </c>
      <c r="Y47" s="32"/>
      <c r="Z47" s="95">
        <v>65000</v>
      </c>
      <c r="AA47" s="32"/>
      <c r="AB47" s="95">
        <v>65000</v>
      </c>
      <c r="AC47" s="32"/>
      <c r="AD47" s="95"/>
      <c r="AE47" s="32"/>
      <c r="AF47" s="33"/>
      <c r="AG47" s="32">
        <f>SUM(F47:AD47)</f>
        <v>780000</v>
      </c>
      <c r="AH47" s="167"/>
      <c r="AI47" s="57"/>
      <c r="AJ47" s="52" t="s">
        <v>78</v>
      </c>
    </row>
    <row r="48" spans="2:40" x14ac:dyDescent="0.25">
      <c r="B48" s="201"/>
      <c r="C48" s="202"/>
      <c r="D48" s="21" t="s">
        <v>24</v>
      </c>
      <c r="F48" s="96">
        <v>5000</v>
      </c>
      <c r="G48" s="32"/>
      <c r="H48" s="96">
        <v>5000</v>
      </c>
      <c r="I48" s="32"/>
      <c r="J48" s="96">
        <v>5000</v>
      </c>
      <c r="K48" s="32"/>
      <c r="L48" s="96">
        <v>5000</v>
      </c>
      <c r="M48" s="32"/>
      <c r="N48" s="96">
        <v>5000</v>
      </c>
      <c r="O48" s="32"/>
      <c r="P48" s="96">
        <v>5000</v>
      </c>
      <c r="Q48" s="32"/>
      <c r="R48" s="96">
        <v>5000</v>
      </c>
      <c r="S48" s="32"/>
      <c r="T48" s="96">
        <v>5000</v>
      </c>
      <c r="U48" s="32"/>
      <c r="V48" s="96">
        <v>5000</v>
      </c>
      <c r="W48" s="32"/>
      <c r="X48" s="96">
        <v>5000</v>
      </c>
      <c r="Y48" s="32"/>
      <c r="Z48" s="96">
        <v>5000</v>
      </c>
      <c r="AA48" s="32"/>
      <c r="AB48" s="96">
        <v>5000</v>
      </c>
      <c r="AC48" s="32"/>
      <c r="AD48" s="96"/>
      <c r="AE48" s="32"/>
      <c r="AF48" s="33"/>
      <c r="AG48" s="35">
        <f>SUM(F48:AD48)</f>
        <v>60000</v>
      </c>
      <c r="AH48" s="167"/>
      <c r="AI48" s="57"/>
      <c r="AJ48" s="166" t="s">
        <v>80</v>
      </c>
    </row>
    <row r="49" spans="2:45" ht="15" customHeight="1" x14ac:dyDescent="0.25">
      <c r="C49" s="30"/>
      <c r="D49" s="10"/>
      <c r="F49" s="97">
        <f>SUM(F45:F48)</f>
        <v>230000</v>
      </c>
      <c r="G49" s="4"/>
      <c r="H49" s="97">
        <f>SUM(H45:H48)</f>
        <v>230000</v>
      </c>
      <c r="I49" s="4"/>
      <c r="J49" s="97">
        <f>SUM(J45:J48)</f>
        <v>230000</v>
      </c>
      <c r="K49" s="4"/>
      <c r="L49" s="97">
        <f>SUM(L45:L48)</f>
        <v>230000</v>
      </c>
      <c r="M49" s="4"/>
      <c r="N49" s="97">
        <f>SUM(N45:N48)</f>
        <v>230000</v>
      </c>
      <c r="O49" s="4"/>
      <c r="P49" s="97">
        <f>SUM(P45:P48)</f>
        <v>230000</v>
      </c>
      <c r="Q49" s="4"/>
      <c r="R49" s="97">
        <f>SUM(R45:R48)</f>
        <v>230000</v>
      </c>
      <c r="S49" s="4"/>
      <c r="T49" s="97">
        <f>SUM(T45:T48)</f>
        <v>230000</v>
      </c>
      <c r="U49" s="4"/>
      <c r="V49" s="97">
        <f>SUM(V45:V48)</f>
        <v>230000</v>
      </c>
      <c r="W49" s="4"/>
      <c r="X49" s="97">
        <f>SUM(X45:X48)</f>
        <v>230000</v>
      </c>
      <c r="Y49" s="4"/>
      <c r="Z49" s="97">
        <f>SUM(Z45:Z48)</f>
        <v>230000</v>
      </c>
      <c r="AA49" s="4"/>
      <c r="AB49" s="97">
        <f>SUM(AB45:AB48)</f>
        <v>230000</v>
      </c>
      <c r="AC49" s="4"/>
      <c r="AD49" s="97">
        <f>SUM(AD45:AD48)</f>
        <v>0</v>
      </c>
      <c r="AE49" s="4"/>
      <c r="AG49" s="4">
        <f>IF(SUM(AG45:AG48)=0,"",SUM(AG45:AG48))</f>
        <v>2760000</v>
      </c>
    </row>
    <row r="50" spans="2:45" ht="15" customHeight="1" x14ac:dyDescent="0.25"/>
    <row r="51" spans="2:45" ht="15" customHeight="1" x14ac:dyDescent="0.25">
      <c r="AJ51" s="18"/>
      <c r="AK51" s="18"/>
      <c r="AL51" s="18"/>
      <c r="AM51" s="18"/>
      <c r="AN51" s="18"/>
      <c r="AO51" s="174" t="s">
        <v>319</v>
      </c>
      <c r="AP51" s="174" t="s">
        <v>296</v>
      </c>
      <c r="AQ51" s="174" t="s">
        <v>320</v>
      </c>
      <c r="AR51" s="174" t="s">
        <v>299</v>
      </c>
      <c r="AS51" s="174" t="s">
        <v>321</v>
      </c>
    </row>
    <row r="52" spans="2:45" x14ac:dyDescent="0.25">
      <c r="B52" s="201" t="s">
        <v>2</v>
      </c>
      <c r="AH52" s="167"/>
      <c r="AI52" s="178"/>
      <c r="AJ52" s="18"/>
      <c r="AK52" s="18"/>
      <c r="AL52" s="18"/>
      <c r="AM52" s="18"/>
      <c r="AN52" s="18" t="s">
        <v>315</v>
      </c>
      <c r="AO52" s="175">
        <f>IF('YTD Revenue'!$AJ$14="Yes",'YTD Revenue'!$AG$23,0) + IF('YTD Revenue'!$AJ$33="Yes",'YTD Revenue'!$AG$42,0) + IF('YTD Revenue'!$AJ$52="Yes",'YTD Revenue'!$AG$61,0)</f>
        <v>200030.13</v>
      </c>
      <c r="AP52" s="184">
        <f>'LY &amp; Forecast'!$AG$45</f>
        <v>1080000</v>
      </c>
      <c r="AQ52" s="18">
        <f>IF(AP52&lt;AO52, 0, AP52-AO52)</f>
        <v>879969.87</v>
      </c>
      <c r="AR52" s="18">
        <v>1</v>
      </c>
      <c r="AS52" s="195">
        <f>IF(AP52&gt;AO52, AP52, AO52)</f>
        <v>1080000</v>
      </c>
    </row>
    <row r="53" spans="2:45" x14ac:dyDescent="0.25">
      <c r="B53" s="201"/>
      <c r="AH53" s="167"/>
      <c r="AI53" s="178"/>
      <c r="AJ53" s="18"/>
      <c r="AK53" s="18"/>
      <c r="AL53" s="18"/>
      <c r="AM53" s="18"/>
      <c r="AN53" s="18" t="s">
        <v>316</v>
      </c>
      <c r="AO53" s="175">
        <f>IF('YTD Revenue'!$AJ$14="Yes",'YTD Revenue'!$AG$24,0) + IF('YTD Revenue'!$AJ$33="Yes",'YTD Revenue'!$AG$43,0) + IF('YTD Revenue'!$AJ$52="Yes",'YTD Revenue'!$AG$62,0)</f>
        <v>162564.79250000001</v>
      </c>
      <c r="AP53" s="184">
        <f>'LY &amp; Forecast'!$AG$46</f>
        <v>840000</v>
      </c>
      <c r="AQ53" s="18">
        <f>IF(AP53&lt;AO53, 0, AP53-AO53)</f>
        <v>677435.20750000002</v>
      </c>
      <c r="AR53" s="18">
        <v>1</v>
      </c>
      <c r="AS53" s="195">
        <f>IF(AP53&gt;AO53, AP53, AO53)</f>
        <v>840000</v>
      </c>
    </row>
    <row r="54" spans="2:45" x14ac:dyDescent="0.25">
      <c r="B54" s="201"/>
      <c r="AH54" s="167"/>
      <c r="AI54" s="178"/>
      <c r="AJ54" s="18"/>
      <c r="AK54" s="18"/>
      <c r="AL54" s="18"/>
      <c r="AM54" s="18"/>
      <c r="AN54" s="18" t="s">
        <v>317</v>
      </c>
      <c r="AO54" s="175">
        <f>IF('YTD Revenue'!$AJ$14="Yes",'YTD Revenue'!$AG$25,0) + IF('YTD Revenue'!$AJ$33="Yes",'YTD Revenue'!$AG$44,0) + IF('YTD Revenue'!$AJ$52="Yes",'YTD Revenue'!$AG$63,0)</f>
        <v>163472.43000000002</v>
      </c>
      <c r="AP54" s="184">
        <f>'LY &amp; Forecast'!$AG$47</f>
        <v>780000</v>
      </c>
      <c r="AQ54" s="18">
        <f>IF(AP54&lt;AO54, 0, AP54-AO54)</f>
        <v>616527.56999999995</v>
      </c>
      <c r="AR54" s="18">
        <v>1</v>
      </c>
      <c r="AS54" s="195">
        <f>IF(AP54&gt;AO54, AP54, AO54)</f>
        <v>780000</v>
      </c>
    </row>
    <row r="55" spans="2:45" x14ac:dyDescent="0.25">
      <c r="B55" s="201"/>
      <c r="AH55" s="167"/>
      <c r="AI55" s="178"/>
      <c r="AJ55" s="18"/>
      <c r="AK55" s="18"/>
      <c r="AL55" s="18"/>
      <c r="AM55" s="18"/>
      <c r="AN55" s="18" t="s">
        <v>318</v>
      </c>
      <c r="AO55" s="175">
        <f>IF('YTD Revenue'!$AJ$14="Yes",'YTD Revenue'!$AG$26,0) + IF('YTD Revenue'!$AJ$33="Yes",'YTD Revenue'!$AG$45,0) + IF('YTD Revenue'!$AJ$52="Yes",'YTD Revenue'!$AG$64,0)</f>
        <v>33433.47999999988</v>
      </c>
      <c r="AP55" s="184">
        <f>'LY &amp; Forecast'!$AG$48</f>
        <v>60000</v>
      </c>
      <c r="AQ55" s="18">
        <f>IF(AP55&lt;AO55, 0, AP55-AO55)</f>
        <v>26566.52000000012</v>
      </c>
      <c r="AR55" s="18">
        <v>1</v>
      </c>
      <c r="AS55" s="195">
        <f>IF(AP55&gt;AO55, AP55, AO55)</f>
        <v>60000</v>
      </c>
    </row>
    <row r="56" spans="2:45" ht="11.25" customHeight="1" x14ac:dyDescent="0.25">
      <c r="AJ56" s="18"/>
      <c r="AK56" s="18"/>
      <c r="AL56" s="18"/>
      <c r="AM56" s="18"/>
      <c r="AN56" s="18"/>
      <c r="AO56" s="18"/>
      <c r="AP56" s="18"/>
      <c r="AQ56" s="18"/>
      <c r="AR56" s="18"/>
      <c r="AS56" s="18"/>
    </row>
    <row r="57" spans="2:45" ht="15" customHeight="1" x14ac:dyDescent="0.25">
      <c r="AK57" s="18"/>
      <c r="AL57" s="18"/>
      <c r="AM57" s="18"/>
      <c r="AN57" s="18"/>
      <c r="AO57" s="18"/>
      <c r="AP57" s="18"/>
      <c r="AQ57" s="18"/>
      <c r="AR57" s="18"/>
      <c r="AS57" s="18"/>
    </row>
    <row r="58" spans="2:45" x14ac:dyDescent="0.25">
      <c r="AK58" s="18"/>
      <c r="AL58" s="18"/>
      <c r="AM58" s="18"/>
      <c r="AN58" s="18"/>
      <c r="AO58" s="18"/>
      <c r="AP58" s="18"/>
      <c r="AQ58" s="18"/>
      <c r="AR58" s="18"/>
      <c r="AS58" s="18"/>
    </row>
    <row r="62" spans="2:45" ht="11.25" customHeight="1" x14ac:dyDescent="0.25"/>
    <row r="63" spans="2:45" ht="15" customHeight="1" x14ac:dyDescent="0.25"/>
  </sheetData>
  <sheetProtection sheet="1" objects="1" scenarios="1" selectLockedCells="1"/>
  <mergeCells count="12">
    <mergeCell ref="C3:K3"/>
    <mergeCell ref="C10:C13"/>
    <mergeCell ref="C16:C19"/>
    <mergeCell ref="C22:C25"/>
    <mergeCell ref="B7:B25"/>
    <mergeCell ref="C7:C8"/>
    <mergeCell ref="B52:B55"/>
    <mergeCell ref="B30:B48"/>
    <mergeCell ref="C30:C31"/>
    <mergeCell ref="C33:C36"/>
    <mergeCell ref="C39:C42"/>
    <mergeCell ref="C45:C48"/>
  </mergeCell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69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4" name="NewFileButton"/>
      </mc:Fallback>
    </mc:AlternateContent>
    <mc:AlternateContent xmlns:mc="http://schemas.openxmlformats.org/markup-compatibility/2006">
      <mc:Choice Requires="x14">
        <control shapeId="32770" r:id="rId6" name="ForecastButton">
          <controlPr defaultSize="0" print="0" autoLine="0" r:id="rId7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6" name="Forecast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workbookViewId="0">
      <pane ySplit="9" topLeftCell="A60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Revenue'!C1</f>
        <v>BANQUET BEVERAGE REVENUE ANALYSIS</v>
      </c>
      <c r="AG1" s="9">
        <f>'YTD Revenue'!AG1</f>
        <v>2022</v>
      </c>
    </row>
    <row r="2" spans="2:36" x14ac:dyDescent="0.25">
      <c r="C2" s="16" t="s">
        <v>46</v>
      </c>
    </row>
    <row r="3" spans="2:36" x14ac:dyDescent="0.25">
      <c r="C3" s="207">
        <f>_xlfn.MAXIFS(MainData[Item],MainData[Pricing],"*Adjust*",MainData[Category],"Info", MainData[Product],"Date")</f>
        <v>44592.999988425923</v>
      </c>
      <c r="D3" s="207"/>
      <c r="E3" s="207"/>
      <c r="F3" s="207"/>
      <c r="G3" s="207"/>
      <c r="H3" s="207"/>
      <c r="I3" s="207"/>
      <c r="J3" s="207"/>
      <c r="K3" s="43"/>
      <c r="L3" s="43"/>
    </row>
    <row r="5" spans="2:36" x14ac:dyDescent="0.25">
      <c r="F5" s="151" t="s">
        <v>217</v>
      </c>
      <c r="H5" s="151" t="s">
        <v>45</v>
      </c>
      <c r="J5" s="151"/>
      <c r="L5" s="151"/>
      <c r="N5" s="151"/>
      <c r="P5" s="151"/>
      <c r="R5" s="151"/>
      <c r="T5" s="151"/>
      <c r="V5" s="151"/>
      <c r="X5" s="151"/>
      <c r="Z5" s="151"/>
      <c r="AB5" s="151"/>
      <c r="AD5" s="151"/>
    </row>
    <row r="6" spans="2:36" ht="15" customHeight="1" x14ac:dyDescent="0.25">
      <c r="C6" s="61" t="s">
        <v>62</v>
      </c>
      <c r="E6" s="2"/>
      <c r="F6" s="19">
        <f>'YTD Revenue'!F6</f>
        <v>1</v>
      </c>
      <c r="G6" s="20"/>
      <c r="H6" s="19">
        <f>'YTD Revenue'!H6</f>
        <v>2</v>
      </c>
      <c r="I6" s="20"/>
      <c r="J6" s="19">
        <f>'YTD Revenue'!J6</f>
        <v>3</v>
      </c>
      <c r="K6" s="20"/>
      <c r="L6" s="19">
        <f>'YTD Revenue'!L6</f>
        <v>4</v>
      </c>
      <c r="M6" s="20"/>
      <c r="N6" s="19">
        <f>'YTD Revenue'!N6</f>
        <v>5</v>
      </c>
      <c r="O6" s="20"/>
      <c r="P6" s="19">
        <f>'YTD Revenue'!P6</f>
        <v>6</v>
      </c>
      <c r="Q6" s="20"/>
      <c r="R6" s="19">
        <f>'YTD Revenue'!R6</f>
        <v>7</v>
      </c>
      <c r="S6" s="20"/>
      <c r="T6" s="19">
        <f>'YTD Revenue'!T6</f>
        <v>8</v>
      </c>
      <c r="U6" s="20"/>
      <c r="V6" s="19">
        <f>'YTD Revenue'!V6</f>
        <v>9</v>
      </c>
      <c r="W6" s="20"/>
      <c r="X6" s="19">
        <f>'YTD Revenue'!X6</f>
        <v>10</v>
      </c>
      <c r="Y6" s="20"/>
      <c r="Z6" s="19">
        <f>'YTD Revenue'!Z6</f>
        <v>11</v>
      </c>
      <c r="AA6" s="20"/>
      <c r="AB6" s="19">
        <f>'YTD Revenue'!AB6</f>
        <v>12</v>
      </c>
      <c r="AC6" s="20"/>
      <c r="AD6" s="19" t="str">
        <f>'YTD Revenue'!AD6</f>
        <v/>
      </c>
      <c r="AE6" s="20"/>
      <c r="AG6" s="20" t="s">
        <v>38</v>
      </c>
    </row>
    <row r="7" spans="2:36" ht="15" customHeight="1" x14ac:dyDescent="0.25">
      <c r="B7" s="61"/>
      <c r="C7" s="61"/>
      <c r="D7" s="50" t="s">
        <v>30</v>
      </c>
      <c r="F7" s="22">
        <f>IF(NOT(ISNUMBER('YTD Revenue'!F7)),"",'YTD Revenue'!F7)</f>
        <v>44562</v>
      </c>
      <c r="G7" s="23"/>
      <c r="H7" s="22">
        <f>IF(NOT(ISNUMBER('YTD Revenue'!H7)),"",'YTD Revenue'!H7)</f>
        <v>44593</v>
      </c>
      <c r="I7" s="23"/>
      <c r="J7" s="22">
        <f>IF(NOT(ISNUMBER('YTD Revenue'!J7)),"",'YTD Revenue'!J7)</f>
        <v>44621</v>
      </c>
      <c r="K7" s="23"/>
      <c r="L7" s="22">
        <f>IF(NOT(ISNUMBER('YTD Revenue'!L7)),"",'YTD Revenue'!L7)</f>
        <v>44652</v>
      </c>
      <c r="M7" s="23"/>
      <c r="N7" s="22">
        <f>IF(NOT(ISNUMBER('YTD Revenue'!N7)),"",'YTD Revenue'!N7)</f>
        <v>44682</v>
      </c>
      <c r="O7" s="23"/>
      <c r="P7" s="22">
        <f>IF(NOT(ISNUMBER('YTD Revenue'!P7)),"",'YTD Revenue'!P7)</f>
        <v>44713</v>
      </c>
      <c r="Q7" s="23"/>
      <c r="R7" s="22">
        <f>IF(NOT(ISNUMBER('YTD Revenue'!R7)),"",'YTD Revenue'!R7)</f>
        <v>44743</v>
      </c>
      <c r="S7" s="23"/>
      <c r="T7" s="22">
        <f>IF(NOT(ISNUMBER('YTD Revenue'!T7)),"",'YTD Revenue'!T7)</f>
        <v>44774</v>
      </c>
      <c r="U7" s="23"/>
      <c r="V7" s="22">
        <f>IF(NOT(ISNUMBER('YTD Revenue'!V7)),"",'YTD Revenue'!V7)</f>
        <v>44805</v>
      </c>
      <c r="W7" s="23"/>
      <c r="X7" s="22">
        <f>IF(NOT(ISNUMBER('YTD Revenue'!X7)),"",'YTD Revenue'!X7)</f>
        <v>44835</v>
      </c>
      <c r="Y7" s="23"/>
      <c r="Z7" s="22">
        <f>IF(NOT(ISNUMBER('YTD Revenue'!Z7)),"",'YTD Revenue'!Z7)</f>
        <v>44866</v>
      </c>
      <c r="AA7" s="23"/>
      <c r="AB7" s="22">
        <f>IF(NOT(ISNUMBER('YTD Revenue'!AB7)),"",'YTD Revenue'!AB7)</f>
        <v>44896</v>
      </c>
      <c r="AC7" s="23"/>
      <c r="AD7" s="22" t="str">
        <f>IF(NOT(ISNUMBER('YTD Revenue'!AD7)),"",'YTD Revenue'!AD7)</f>
        <v/>
      </c>
      <c r="AE7" s="24"/>
      <c r="AF7" s="24"/>
      <c r="AG7" s="22" t="str">
        <f>'YTD Revenue'!AG7</f>
        <v>01/05/22</v>
      </c>
    </row>
    <row r="8" spans="2:36" ht="15" customHeight="1" x14ac:dyDescent="0.25">
      <c r="B8" s="61"/>
      <c r="C8" s="61"/>
      <c r="D8" s="50" t="s">
        <v>31</v>
      </c>
      <c r="F8" s="25">
        <f>IF(NOT(ISNUMBER('YTD Revenue'!F8)),"",'YTD Revenue'!F8)</f>
        <v>44592.999988425923</v>
      </c>
      <c r="G8" s="23"/>
      <c r="H8" s="25">
        <f>IF(NOT(ISNUMBER('YTD Revenue'!H8)),"",'YTD Revenue'!H8)</f>
        <v>44620.999988425923</v>
      </c>
      <c r="I8" s="23"/>
      <c r="J8" s="25">
        <f>IF(NOT(ISNUMBER('YTD Revenue'!J8)),"",'YTD Revenue'!J8)</f>
        <v>44651.999988425923</v>
      </c>
      <c r="K8" s="23"/>
      <c r="L8" s="25">
        <f>IF(NOT(ISNUMBER('YTD Revenue'!L8)),"",'YTD Revenue'!L8)</f>
        <v>44681.999988425923</v>
      </c>
      <c r="M8" s="23"/>
      <c r="N8" s="25">
        <f>IF(NOT(ISNUMBER('YTD Revenue'!N8)),"",'YTD Revenue'!N8)</f>
        <v>44712.999988425923</v>
      </c>
      <c r="O8" s="23"/>
      <c r="P8" s="25">
        <f>IF(NOT(ISNUMBER('YTD Revenue'!P8)),"",'YTD Revenue'!P8)</f>
        <v>44742.999988425923</v>
      </c>
      <c r="Q8" s="23"/>
      <c r="R8" s="25">
        <f>IF(NOT(ISNUMBER('YTD Revenue'!R8)),"",'YTD Revenue'!R8)</f>
        <v>44773.999988425923</v>
      </c>
      <c r="S8" s="23"/>
      <c r="T8" s="25">
        <f>IF(NOT(ISNUMBER('YTD Revenue'!T8)),"",'YTD Revenue'!T8)</f>
        <v>44804.999988425923</v>
      </c>
      <c r="U8" s="23"/>
      <c r="V8" s="25">
        <f>IF(NOT(ISNUMBER('YTD Revenue'!V8)),"",'YTD Revenue'!V8)</f>
        <v>44834.999988425923</v>
      </c>
      <c r="W8" s="23"/>
      <c r="X8" s="25">
        <f>IF(NOT(ISNUMBER('YTD Revenue'!X8)),"",'YTD Revenue'!X8)</f>
        <v>44865.999988425923</v>
      </c>
      <c r="Y8" s="23"/>
      <c r="Z8" s="25">
        <f>IF(NOT(ISNUMBER('YTD Revenue'!Z8)),"",'YTD Revenue'!Z8)</f>
        <v>44895.999988425923</v>
      </c>
      <c r="AA8" s="23"/>
      <c r="AB8" s="25">
        <f>IF(NOT(ISNUMBER('YTD Revenue'!AB8)),"",'YTD Revenue'!AB8)</f>
        <v>44926.999988425923</v>
      </c>
      <c r="AC8" s="23"/>
      <c r="AD8" s="25" t="str">
        <f>IF(NOT(ISNUMBER('YTD Revenue'!AD8)),"",'YTD Revenue'!AD8)</f>
        <v/>
      </c>
      <c r="AE8" s="24"/>
      <c r="AF8" s="24"/>
      <c r="AG8" s="25" t="str">
        <f>'YTD Revenue'!AG8</f>
        <v>02/28/22</v>
      </c>
    </row>
    <row r="9" spans="2:36" x14ac:dyDescent="0.25">
      <c r="C9" s="37"/>
      <c r="D9" s="51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48"/>
    </row>
    <row r="11" spans="2:36" ht="15" customHeight="1" x14ac:dyDescent="0.25">
      <c r="B11" s="201" t="s">
        <v>201</v>
      </c>
      <c r="C11" s="208" t="s">
        <v>47</v>
      </c>
      <c r="D11" s="50" t="s">
        <v>36</v>
      </c>
      <c r="F11" s="93">
        <v>23031.45</v>
      </c>
      <c r="G11" s="32"/>
      <c r="H11" s="98">
        <f>F17</f>
        <v>22863.89</v>
      </c>
      <c r="I11" s="32"/>
      <c r="J11" s="98">
        <f>H17</f>
        <v>0</v>
      </c>
      <c r="K11" s="32"/>
      <c r="L11" s="98">
        <f>J17</f>
        <v>0</v>
      </c>
      <c r="M11" s="32"/>
      <c r="N11" s="98">
        <f>L17</f>
        <v>0</v>
      </c>
      <c r="O11" s="32"/>
      <c r="P11" s="98">
        <f>N17</f>
        <v>0</v>
      </c>
      <c r="Q11" s="32"/>
      <c r="R11" s="98">
        <f>P17</f>
        <v>0</v>
      </c>
      <c r="S11" s="32"/>
      <c r="T11" s="98">
        <f>R17</f>
        <v>0</v>
      </c>
      <c r="U11" s="32"/>
      <c r="V11" s="98">
        <f>T17</f>
        <v>0</v>
      </c>
      <c r="W11" s="32"/>
      <c r="X11" s="98">
        <f>V17</f>
        <v>0</v>
      </c>
      <c r="Y11" s="32"/>
      <c r="Z11" s="98">
        <f>X17</f>
        <v>0</v>
      </c>
      <c r="AA11" s="32"/>
      <c r="AB11" s="98">
        <f>Z17</f>
        <v>0</v>
      </c>
      <c r="AC11" s="32"/>
      <c r="AD11" s="98">
        <f>AB17</f>
        <v>0</v>
      </c>
      <c r="AE11" s="32"/>
      <c r="AF11" s="33"/>
      <c r="AG11" s="31">
        <f>SUM(F11:AD11)</f>
        <v>45895.34</v>
      </c>
      <c r="AH11" s="167"/>
      <c r="AJ11" s="53" t="s">
        <v>63</v>
      </c>
    </row>
    <row r="12" spans="2:36" x14ac:dyDescent="0.25">
      <c r="B12" s="201"/>
      <c r="C12" s="208"/>
      <c r="D12" s="50" t="s">
        <v>25</v>
      </c>
      <c r="F12" s="94">
        <v>35498.79</v>
      </c>
      <c r="G12" s="32"/>
      <c r="H12" s="99">
        <f>F18</f>
        <v>39721.32</v>
      </c>
      <c r="I12" s="32"/>
      <c r="J12" s="99">
        <f>H18</f>
        <v>0</v>
      </c>
      <c r="K12" s="32"/>
      <c r="L12" s="99">
        <f>J18</f>
        <v>0</v>
      </c>
      <c r="M12" s="32"/>
      <c r="N12" s="99">
        <f>L18</f>
        <v>0</v>
      </c>
      <c r="O12" s="32"/>
      <c r="P12" s="99">
        <f>N18</f>
        <v>0</v>
      </c>
      <c r="Q12" s="32"/>
      <c r="R12" s="99">
        <f>P18</f>
        <v>0</v>
      </c>
      <c r="S12" s="32"/>
      <c r="T12" s="99">
        <f>R18</f>
        <v>0</v>
      </c>
      <c r="U12" s="32"/>
      <c r="V12" s="99">
        <f>T18</f>
        <v>0</v>
      </c>
      <c r="W12" s="32"/>
      <c r="X12" s="99">
        <f>V18</f>
        <v>0</v>
      </c>
      <c r="Y12" s="32"/>
      <c r="Z12" s="99">
        <f>X18</f>
        <v>0</v>
      </c>
      <c r="AA12" s="32"/>
      <c r="AB12" s="99">
        <f>Z18</f>
        <v>0</v>
      </c>
      <c r="AC12" s="32"/>
      <c r="AD12" s="99">
        <f>AB18</f>
        <v>0</v>
      </c>
      <c r="AE12" s="32"/>
      <c r="AF12" s="33"/>
      <c r="AG12" s="34">
        <f>SUM(F12:AD12)</f>
        <v>75220.11</v>
      </c>
      <c r="AH12" s="167"/>
      <c r="AJ12" s="52" t="s">
        <v>52</v>
      </c>
    </row>
    <row r="13" spans="2:36" x14ac:dyDescent="0.25">
      <c r="B13" s="201"/>
      <c r="C13" s="208"/>
      <c r="D13" s="50" t="s">
        <v>35</v>
      </c>
      <c r="F13" s="95">
        <v>3982.36</v>
      </c>
      <c r="G13" s="32"/>
      <c r="H13" s="100">
        <f>F19</f>
        <v>11052</v>
      </c>
      <c r="I13" s="32"/>
      <c r="J13" s="100">
        <f>H19</f>
        <v>0</v>
      </c>
      <c r="K13" s="32"/>
      <c r="L13" s="100">
        <f>J19</f>
        <v>0</v>
      </c>
      <c r="M13" s="32"/>
      <c r="N13" s="100">
        <f>L19</f>
        <v>0</v>
      </c>
      <c r="O13" s="32"/>
      <c r="P13" s="100">
        <f>N19</f>
        <v>0</v>
      </c>
      <c r="Q13" s="32"/>
      <c r="R13" s="100">
        <f>P19</f>
        <v>0</v>
      </c>
      <c r="S13" s="32"/>
      <c r="T13" s="100">
        <f>R19</f>
        <v>0</v>
      </c>
      <c r="U13" s="32"/>
      <c r="V13" s="100">
        <f>T19</f>
        <v>0</v>
      </c>
      <c r="W13" s="32"/>
      <c r="X13" s="100">
        <f>V19</f>
        <v>0</v>
      </c>
      <c r="Y13" s="32"/>
      <c r="Z13" s="100">
        <f>X19</f>
        <v>0</v>
      </c>
      <c r="AA13" s="32"/>
      <c r="AB13" s="100">
        <f>Z19</f>
        <v>0</v>
      </c>
      <c r="AC13" s="32"/>
      <c r="AD13" s="100">
        <f>AB19</f>
        <v>0</v>
      </c>
      <c r="AE13" s="32"/>
      <c r="AF13" s="33"/>
      <c r="AG13" s="32">
        <f>SUM(F13:AD13)</f>
        <v>15034.36</v>
      </c>
      <c r="AH13" s="167"/>
      <c r="AJ13" s="52" t="s">
        <v>54</v>
      </c>
    </row>
    <row r="14" spans="2:36" x14ac:dyDescent="0.25">
      <c r="B14" s="201"/>
      <c r="C14" s="208"/>
      <c r="D14" s="50" t="s">
        <v>24</v>
      </c>
      <c r="F14" s="96">
        <v>2145.67</v>
      </c>
      <c r="G14" s="32"/>
      <c r="H14" s="101">
        <f>F20</f>
        <v>2045.25</v>
      </c>
      <c r="I14" s="32"/>
      <c r="J14" s="101">
        <f>H20</f>
        <v>0</v>
      </c>
      <c r="K14" s="32"/>
      <c r="L14" s="101">
        <f>J20</f>
        <v>0</v>
      </c>
      <c r="M14" s="32"/>
      <c r="N14" s="101">
        <f>L20</f>
        <v>0</v>
      </c>
      <c r="O14" s="32"/>
      <c r="P14" s="101">
        <f>N20</f>
        <v>0</v>
      </c>
      <c r="Q14" s="32"/>
      <c r="R14" s="101">
        <f>P20</f>
        <v>0</v>
      </c>
      <c r="S14" s="32"/>
      <c r="T14" s="101">
        <f>R20</f>
        <v>0</v>
      </c>
      <c r="U14" s="32"/>
      <c r="V14" s="101">
        <f>T20</f>
        <v>0</v>
      </c>
      <c r="W14" s="32"/>
      <c r="X14" s="101">
        <f>V20</f>
        <v>0</v>
      </c>
      <c r="Y14" s="32"/>
      <c r="Z14" s="101">
        <f>X20</f>
        <v>0</v>
      </c>
      <c r="AA14" s="32"/>
      <c r="AB14" s="101">
        <f>Z20</f>
        <v>0</v>
      </c>
      <c r="AC14" s="32"/>
      <c r="AD14" s="101">
        <f>AB20</f>
        <v>0</v>
      </c>
      <c r="AE14" s="32"/>
      <c r="AF14" s="33"/>
      <c r="AG14" s="35">
        <f>SUM(F14:AD14)</f>
        <v>4190.92</v>
      </c>
      <c r="AH14" s="167"/>
      <c r="AJ14" s="52" t="s">
        <v>55</v>
      </c>
    </row>
    <row r="15" spans="2:36" ht="15.75" x14ac:dyDescent="0.25">
      <c r="B15" s="201"/>
      <c r="C15" s="46"/>
      <c r="D15" s="51"/>
      <c r="F15" s="97">
        <f>SUM(F11:F14)</f>
        <v>64658.270000000004</v>
      </c>
      <c r="G15" s="4"/>
      <c r="H15" s="97">
        <f>SUM(H11:H14)</f>
        <v>75682.459999999992</v>
      </c>
      <c r="I15" s="4"/>
      <c r="J15" s="97">
        <f>SUM(J11:J14)</f>
        <v>0</v>
      </c>
      <c r="K15" s="4"/>
      <c r="L15" s="97">
        <f>SUM(L11:L14)</f>
        <v>0</v>
      </c>
      <c r="M15" s="4"/>
      <c r="N15" s="97">
        <f>SUM(N11:N14)</f>
        <v>0</v>
      </c>
      <c r="O15" s="4"/>
      <c r="P15" s="97">
        <f>SUM(P11:P14)</f>
        <v>0</v>
      </c>
      <c r="Q15" s="4"/>
      <c r="R15" s="97">
        <f>SUM(R11:R14)</f>
        <v>0</v>
      </c>
      <c r="S15" s="4"/>
      <c r="T15" s="97">
        <f>SUM(T11:T14)</f>
        <v>0</v>
      </c>
      <c r="U15" s="4"/>
      <c r="V15" s="97">
        <f>SUM(V11:V14)</f>
        <v>0</v>
      </c>
      <c r="W15" s="4"/>
      <c r="X15" s="97">
        <f>SUM(X11:X14)</f>
        <v>0</v>
      </c>
      <c r="Y15" s="4"/>
      <c r="Z15" s="97">
        <f>SUM(Z11:Z14)</f>
        <v>0</v>
      </c>
      <c r="AA15" s="4"/>
      <c r="AB15" s="97">
        <f>SUM(AB11:AB14)</f>
        <v>0</v>
      </c>
      <c r="AC15" s="4"/>
      <c r="AD15" s="97">
        <f>SUM(AD11:AD14)</f>
        <v>0</v>
      </c>
      <c r="AE15" s="4"/>
      <c r="AG15" s="4">
        <f>IF(SUM(AG11:AG14)=0,"",SUM(AG11:AG14))</f>
        <v>140340.73000000001</v>
      </c>
      <c r="AH15" s="167"/>
      <c r="AJ15" s="45"/>
    </row>
    <row r="16" spans="2:36" ht="3.75" customHeight="1" x14ac:dyDescent="0.25">
      <c r="B16" s="201"/>
      <c r="C16" s="47"/>
      <c r="D16" s="48"/>
      <c r="AH16" s="167"/>
      <c r="AJ16" s="45"/>
    </row>
    <row r="17" spans="2:36" ht="15" customHeight="1" x14ac:dyDescent="0.25">
      <c r="B17" s="201"/>
      <c r="C17" s="208" t="s">
        <v>48</v>
      </c>
      <c r="D17" s="50" t="s">
        <v>36</v>
      </c>
      <c r="F17" s="93">
        <v>22863.89</v>
      </c>
      <c r="G17" s="32"/>
      <c r="H17" s="93"/>
      <c r="I17" s="32"/>
      <c r="J17" s="93"/>
      <c r="K17" s="32"/>
      <c r="L17" s="93"/>
      <c r="M17" s="32"/>
      <c r="N17" s="93"/>
      <c r="O17" s="32"/>
      <c r="P17" s="93"/>
      <c r="Q17" s="32"/>
      <c r="R17" s="93"/>
      <c r="S17" s="32"/>
      <c r="T17" s="93"/>
      <c r="U17" s="32"/>
      <c r="V17" s="93"/>
      <c r="W17" s="32"/>
      <c r="X17" s="93"/>
      <c r="Y17" s="32"/>
      <c r="Z17" s="93"/>
      <c r="AA17" s="32"/>
      <c r="AB17" s="93"/>
      <c r="AC17" s="32"/>
      <c r="AD17" s="93"/>
      <c r="AE17" s="32"/>
      <c r="AF17" s="33"/>
      <c r="AG17" s="31">
        <f>SUM(F17:AD17)</f>
        <v>22863.89</v>
      </c>
      <c r="AH17" s="167"/>
      <c r="AJ17" s="53" t="s">
        <v>64</v>
      </c>
    </row>
    <row r="18" spans="2:36" x14ac:dyDescent="0.25">
      <c r="B18" s="201"/>
      <c r="C18" s="208"/>
      <c r="D18" s="50" t="s">
        <v>25</v>
      </c>
      <c r="F18" s="94">
        <v>39721.32</v>
      </c>
      <c r="G18" s="32"/>
      <c r="H18" s="94"/>
      <c r="I18" s="32"/>
      <c r="J18" s="94"/>
      <c r="K18" s="32"/>
      <c r="L18" s="94"/>
      <c r="M18" s="32"/>
      <c r="N18" s="94"/>
      <c r="O18" s="32"/>
      <c r="P18" s="94"/>
      <c r="Q18" s="32"/>
      <c r="R18" s="94"/>
      <c r="S18" s="32"/>
      <c r="T18" s="94"/>
      <c r="U18" s="32"/>
      <c r="V18" s="94"/>
      <c r="W18" s="32"/>
      <c r="X18" s="94"/>
      <c r="Y18" s="32"/>
      <c r="Z18" s="94"/>
      <c r="AA18" s="32"/>
      <c r="AB18" s="94"/>
      <c r="AC18" s="32"/>
      <c r="AD18" s="94"/>
      <c r="AE18" s="32"/>
      <c r="AF18" s="33"/>
      <c r="AG18" s="34">
        <f>SUM(F18:AD18)</f>
        <v>39721.32</v>
      </c>
      <c r="AH18" s="167"/>
      <c r="AJ18" s="52" t="s">
        <v>52</v>
      </c>
    </row>
    <row r="19" spans="2:36" x14ac:dyDescent="0.25">
      <c r="B19" s="201"/>
      <c r="C19" s="208"/>
      <c r="D19" s="50" t="s">
        <v>35</v>
      </c>
      <c r="F19" s="95">
        <v>11052</v>
      </c>
      <c r="G19" s="32"/>
      <c r="H19" s="95"/>
      <c r="I19" s="32"/>
      <c r="J19" s="95"/>
      <c r="K19" s="32"/>
      <c r="L19" s="95"/>
      <c r="M19" s="32"/>
      <c r="N19" s="95"/>
      <c r="O19" s="32"/>
      <c r="P19" s="95"/>
      <c r="Q19" s="32"/>
      <c r="R19" s="95"/>
      <c r="S19" s="32"/>
      <c r="T19" s="95"/>
      <c r="U19" s="32"/>
      <c r="V19" s="95"/>
      <c r="W19" s="32"/>
      <c r="X19" s="95"/>
      <c r="Y19" s="32"/>
      <c r="Z19" s="95"/>
      <c r="AA19" s="32"/>
      <c r="AB19" s="95"/>
      <c r="AC19" s="32"/>
      <c r="AD19" s="95"/>
      <c r="AE19" s="32"/>
      <c r="AF19" s="33"/>
      <c r="AG19" s="32">
        <f>SUM(F19:AD19)</f>
        <v>11052</v>
      </c>
      <c r="AH19" s="167"/>
      <c r="AJ19" s="52" t="s">
        <v>54</v>
      </c>
    </row>
    <row r="20" spans="2:36" x14ac:dyDescent="0.25">
      <c r="B20" s="201"/>
      <c r="C20" s="208"/>
      <c r="D20" s="50" t="s">
        <v>24</v>
      </c>
      <c r="F20" s="96">
        <v>2045.25</v>
      </c>
      <c r="G20" s="32"/>
      <c r="H20" s="96"/>
      <c r="I20" s="32"/>
      <c r="J20" s="96"/>
      <c r="K20" s="32"/>
      <c r="L20" s="96"/>
      <c r="M20" s="32"/>
      <c r="N20" s="96"/>
      <c r="O20" s="32"/>
      <c r="P20" s="96"/>
      <c r="Q20" s="32"/>
      <c r="R20" s="96"/>
      <c r="S20" s="32"/>
      <c r="T20" s="96"/>
      <c r="U20" s="32"/>
      <c r="V20" s="96"/>
      <c r="W20" s="32"/>
      <c r="X20" s="96"/>
      <c r="Y20" s="32"/>
      <c r="Z20" s="96"/>
      <c r="AA20" s="32"/>
      <c r="AB20" s="96"/>
      <c r="AC20" s="32"/>
      <c r="AD20" s="96"/>
      <c r="AE20" s="32"/>
      <c r="AF20" s="33"/>
      <c r="AG20" s="35">
        <f>SUM(F20:AD20)</f>
        <v>2045.25</v>
      </c>
      <c r="AH20" s="167"/>
      <c r="AJ20" s="52" t="s">
        <v>56</v>
      </c>
    </row>
    <row r="21" spans="2:36" ht="15.75" x14ac:dyDescent="0.25">
      <c r="B21" s="201"/>
      <c r="C21" s="46"/>
      <c r="D21" s="51"/>
      <c r="F21" s="97">
        <f>SUM(F17:F20)</f>
        <v>75682.459999999992</v>
      </c>
      <c r="G21" s="4"/>
      <c r="H21" s="97">
        <f>SUM(H17:H20)</f>
        <v>0</v>
      </c>
      <c r="I21" s="4"/>
      <c r="J21" s="97">
        <f>SUM(J17:J20)</f>
        <v>0</v>
      </c>
      <c r="K21" s="4"/>
      <c r="L21" s="97">
        <f>SUM(L17:L20)</f>
        <v>0</v>
      </c>
      <c r="M21" s="4"/>
      <c r="N21" s="97">
        <f>SUM(N17:N20)</f>
        <v>0</v>
      </c>
      <c r="O21" s="4"/>
      <c r="P21" s="97">
        <f>SUM(P17:P20)</f>
        <v>0</v>
      </c>
      <c r="Q21" s="4"/>
      <c r="R21" s="97">
        <f>SUM(R17:R20)</f>
        <v>0</v>
      </c>
      <c r="S21" s="4"/>
      <c r="T21" s="97">
        <f>SUM(T17:T20)</f>
        <v>0</v>
      </c>
      <c r="U21" s="4"/>
      <c r="V21" s="97">
        <f>SUM(V17:V20)</f>
        <v>0</v>
      </c>
      <c r="W21" s="4"/>
      <c r="X21" s="97">
        <f>SUM(X17:X20)</f>
        <v>0</v>
      </c>
      <c r="Y21" s="4"/>
      <c r="Z21" s="97">
        <f>SUM(Z17:Z20)</f>
        <v>0</v>
      </c>
      <c r="AA21" s="4"/>
      <c r="AB21" s="97">
        <f>SUM(AB17:AB20)</f>
        <v>0</v>
      </c>
      <c r="AC21" s="4"/>
      <c r="AD21" s="97">
        <f>SUM(AD17:AD20)</f>
        <v>0</v>
      </c>
      <c r="AE21" s="4"/>
      <c r="AG21" s="4">
        <f>IF(SUM(AG17:AG20)=0,"",SUM(AG17:AG20))</f>
        <v>75682.459999999992</v>
      </c>
      <c r="AH21" s="167"/>
      <c r="AJ21" s="45"/>
    </row>
    <row r="22" spans="2:36" ht="3.75" customHeight="1" x14ac:dyDescent="0.25">
      <c r="B22" s="201"/>
      <c r="C22" s="47"/>
      <c r="D22" s="48"/>
      <c r="AH22" s="167"/>
      <c r="AJ22" s="45"/>
    </row>
    <row r="23" spans="2:36" x14ac:dyDescent="0.25">
      <c r="B23" s="201"/>
      <c r="C23" s="208" t="s">
        <v>49</v>
      </c>
      <c r="D23" s="50" t="s">
        <v>36</v>
      </c>
      <c r="F23" s="93">
        <v>12585.28</v>
      </c>
      <c r="G23" s="32"/>
      <c r="H23" s="93"/>
      <c r="I23" s="32"/>
      <c r="J23" s="93"/>
      <c r="K23" s="32"/>
      <c r="L23" s="93"/>
      <c r="M23" s="32"/>
      <c r="N23" s="93"/>
      <c r="O23" s="32"/>
      <c r="P23" s="93"/>
      <c r="Q23" s="32"/>
      <c r="R23" s="93"/>
      <c r="S23" s="32"/>
      <c r="T23" s="93"/>
      <c r="U23" s="32"/>
      <c r="V23" s="93"/>
      <c r="W23" s="32"/>
      <c r="X23" s="93"/>
      <c r="Y23" s="32"/>
      <c r="Z23" s="93"/>
      <c r="AA23" s="32"/>
      <c r="AB23" s="93"/>
      <c r="AC23" s="32"/>
      <c r="AD23" s="93"/>
      <c r="AE23" s="32"/>
      <c r="AF23" s="33"/>
      <c r="AG23" s="31">
        <f>SUM(F23:AD23)</f>
        <v>12585.28</v>
      </c>
      <c r="AH23" s="167"/>
      <c r="AJ23" s="53" t="s">
        <v>64</v>
      </c>
    </row>
    <row r="24" spans="2:36" x14ac:dyDescent="0.25">
      <c r="B24" s="201"/>
      <c r="C24" s="208"/>
      <c r="D24" s="50" t="s">
        <v>25</v>
      </c>
      <c r="F24" s="94">
        <v>12009</v>
      </c>
      <c r="G24" s="32"/>
      <c r="H24" s="94"/>
      <c r="I24" s="32"/>
      <c r="J24" s="94"/>
      <c r="K24" s="32"/>
      <c r="L24" s="94"/>
      <c r="M24" s="32"/>
      <c r="N24" s="94"/>
      <c r="O24" s="32"/>
      <c r="P24" s="94"/>
      <c r="Q24" s="32"/>
      <c r="R24" s="94"/>
      <c r="S24" s="32"/>
      <c r="T24" s="94"/>
      <c r="U24" s="32"/>
      <c r="V24" s="94"/>
      <c r="W24" s="32"/>
      <c r="X24" s="94"/>
      <c r="Y24" s="32"/>
      <c r="Z24" s="94"/>
      <c r="AA24" s="32"/>
      <c r="AB24" s="94"/>
      <c r="AC24" s="32"/>
      <c r="AD24" s="94"/>
      <c r="AE24" s="32"/>
      <c r="AF24" s="33"/>
      <c r="AG24" s="34">
        <f>SUM(F24:AD24)</f>
        <v>12009</v>
      </c>
      <c r="AH24" s="167"/>
      <c r="AJ24" s="52" t="s">
        <v>203</v>
      </c>
    </row>
    <row r="25" spans="2:36" x14ac:dyDescent="0.25">
      <c r="B25" s="201"/>
      <c r="C25" s="208"/>
      <c r="D25" s="50" t="s">
        <v>35</v>
      </c>
      <c r="F25" s="95">
        <v>13450</v>
      </c>
      <c r="G25" s="32"/>
      <c r="H25" s="95"/>
      <c r="I25" s="32"/>
      <c r="J25" s="95"/>
      <c r="K25" s="32"/>
      <c r="L25" s="95"/>
      <c r="M25" s="32"/>
      <c r="N25" s="95"/>
      <c r="O25" s="32"/>
      <c r="P25" s="95"/>
      <c r="Q25" s="32"/>
      <c r="R25" s="95"/>
      <c r="S25" s="32"/>
      <c r="T25" s="95"/>
      <c r="U25" s="32"/>
      <c r="V25" s="95"/>
      <c r="W25" s="32"/>
      <c r="X25" s="95"/>
      <c r="Y25" s="32"/>
      <c r="Z25" s="95"/>
      <c r="AA25" s="32"/>
      <c r="AB25" s="95"/>
      <c r="AC25" s="32"/>
      <c r="AD25" s="95"/>
      <c r="AE25" s="32"/>
      <c r="AF25" s="33"/>
      <c r="AG25" s="32">
        <f>SUM(F25:AD25)</f>
        <v>13450</v>
      </c>
      <c r="AH25" s="167"/>
      <c r="AJ25" s="52" t="s">
        <v>57</v>
      </c>
    </row>
    <row r="26" spans="2:36" x14ac:dyDescent="0.25">
      <c r="B26" s="201"/>
      <c r="C26" s="208"/>
      <c r="D26" s="50" t="s">
        <v>24</v>
      </c>
      <c r="F26" s="96">
        <v>725</v>
      </c>
      <c r="G26" s="32"/>
      <c r="H26" s="96"/>
      <c r="I26" s="32"/>
      <c r="J26" s="96"/>
      <c r="K26" s="32"/>
      <c r="L26" s="96"/>
      <c r="M26" s="32"/>
      <c r="N26" s="96"/>
      <c r="O26" s="32"/>
      <c r="P26" s="96"/>
      <c r="Q26" s="32"/>
      <c r="R26" s="96"/>
      <c r="S26" s="32"/>
      <c r="T26" s="96"/>
      <c r="U26" s="32"/>
      <c r="V26" s="96"/>
      <c r="W26" s="32"/>
      <c r="X26" s="96"/>
      <c r="Y26" s="32"/>
      <c r="Z26" s="96"/>
      <c r="AA26" s="32"/>
      <c r="AB26" s="96"/>
      <c r="AC26" s="32"/>
      <c r="AD26" s="96"/>
      <c r="AE26" s="32"/>
      <c r="AF26" s="33"/>
      <c r="AG26" s="35">
        <f>SUM(F26:AD26)</f>
        <v>725</v>
      </c>
      <c r="AH26" s="167"/>
      <c r="AJ26" s="52" t="s">
        <v>61</v>
      </c>
    </row>
    <row r="27" spans="2:36" ht="15.75" x14ac:dyDescent="0.25">
      <c r="B27" s="201"/>
      <c r="C27" s="46"/>
      <c r="D27" s="51"/>
      <c r="F27" s="97">
        <f>SUM(F23:F26)</f>
        <v>38769.279999999999</v>
      </c>
      <c r="G27" s="4"/>
      <c r="H27" s="97">
        <f>SUM(H23:H26)</f>
        <v>0</v>
      </c>
      <c r="I27" s="4"/>
      <c r="J27" s="97">
        <f>SUM(J23:J26)</f>
        <v>0</v>
      </c>
      <c r="K27" s="4"/>
      <c r="L27" s="97">
        <f>SUM(L23:L26)</f>
        <v>0</v>
      </c>
      <c r="M27" s="4"/>
      <c r="N27" s="97">
        <f>SUM(N23:N26)</f>
        <v>0</v>
      </c>
      <c r="O27" s="4"/>
      <c r="P27" s="97">
        <f>SUM(P23:P26)</f>
        <v>0</v>
      </c>
      <c r="Q27" s="4"/>
      <c r="R27" s="97">
        <f>SUM(R23:R26)</f>
        <v>0</v>
      </c>
      <c r="S27" s="4"/>
      <c r="T27" s="97">
        <f>SUM(T23:T26)</f>
        <v>0</v>
      </c>
      <c r="U27" s="4"/>
      <c r="V27" s="97">
        <f>SUM(V23:V26)</f>
        <v>0</v>
      </c>
      <c r="W27" s="4"/>
      <c r="X27" s="97">
        <f>SUM(X23:X26)</f>
        <v>0</v>
      </c>
      <c r="Y27" s="4"/>
      <c r="Z27" s="97">
        <f>SUM(Z23:Z26)</f>
        <v>0</v>
      </c>
      <c r="AA27" s="4"/>
      <c r="AB27" s="97">
        <f>SUM(AB23:AB26)</f>
        <v>0</v>
      </c>
      <c r="AC27" s="4"/>
      <c r="AD27" s="97">
        <f>SUM(AD23:AD26)</f>
        <v>0</v>
      </c>
      <c r="AE27" s="4"/>
      <c r="AG27" s="4">
        <f>IF(SUM(AG23:AG26)=0,"",SUM(AG23:AG26))</f>
        <v>38769.279999999999</v>
      </c>
      <c r="AH27" s="167"/>
      <c r="AJ27" s="45"/>
    </row>
    <row r="28" spans="2:36" ht="3.75" customHeight="1" x14ac:dyDescent="0.25">
      <c r="B28" s="201"/>
      <c r="C28" s="47"/>
      <c r="D28" s="48"/>
      <c r="AH28" s="167"/>
      <c r="AJ28" s="45"/>
    </row>
    <row r="29" spans="2:36" x14ac:dyDescent="0.25">
      <c r="B29" s="201"/>
      <c r="C29" s="208" t="s">
        <v>50</v>
      </c>
      <c r="D29" s="50" t="s">
        <v>36</v>
      </c>
      <c r="F29" s="93"/>
      <c r="G29" s="32"/>
      <c r="H29" s="93"/>
      <c r="I29" s="32"/>
      <c r="J29" s="93"/>
      <c r="K29" s="32"/>
      <c r="L29" s="93"/>
      <c r="M29" s="32"/>
      <c r="N29" s="93"/>
      <c r="O29" s="32"/>
      <c r="P29" s="93"/>
      <c r="Q29" s="32"/>
      <c r="R29" s="93"/>
      <c r="S29" s="32"/>
      <c r="T29" s="93"/>
      <c r="U29" s="32"/>
      <c r="V29" s="93"/>
      <c r="W29" s="32"/>
      <c r="X29" s="93"/>
      <c r="Y29" s="32"/>
      <c r="Z29" s="93"/>
      <c r="AA29" s="32"/>
      <c r="AB29" s="93"/>
      <c r="AC29" s="32"/>
      <c r="AD29" s="93"/>
      <c r="AE29" s="32"/>
      <c r="AF29" s="33"/>
      <c r="AG29" s="31">
        <f>SUM(F29:AD29)</f>
        <v>0</v>
      </c>
      <c r="AH29" s="167"/>
      <c r="AJ29" s="53" t="s">
        <v>64</v>
      </c>
    </row>
    <row r="30" spans="2:36" x14ac:dyDescent="0.25">
      <c r="B30" s="201"/>
      <c r="C30" s="208"/>
      <c r="D30" s="50" t="s">
        <v>25</v>
      </c>
      <c r="F30" s="94"/>
      <c r="G30" s="32"/>
      <c r="H30" s="94"/>
      <c r="I30" s="32"/>
      <c r="J30" s="94"/>
      <c r="K30" s="32"/>
      <c r="L30" s="94"/>
      <c r="M30" s="32"/>
      <c r="N30" s="94"/>
      <c r="O30" s="32"/>
      <c r="P30" s="94"/>
      <c r="Q30" s="32"/>
      <c r="R30" s="94"/>
      <c r="S30" s="32"/>
      <c r="T30" s="94"/>
      <c r="U30" s="32"/>
      <c r="V30" s="94"/>
      <c r="W30" s="32"/>
      <c r="X30" s="94"/>
      <c r="Y30" s="32"/>
      <c r="Z30" s="94"/>
      <c r="AA30" s="32"/>
      <c r="AB30" s="94"/>
      <c r="AC30" s="32"/>
      <c r="AD30" s="94"/>
      <c r="AE30" s="32"/>
      <c r="AF30" s="33"/>
      <c r="AG30" s="34">
        <f>SUM(F30:AD30)</f>
        <v>0</v>
      </c>
      <c r="AH30" s="167"/>
      <c r="AJ30" s="52" t="s">
        <v>204</v>
      </c>
    </row>
    <row r="31" spans="2:36" x14ac:dyDescent="0.25">
      <c r="B31" s="201"/>
      <c r="C31" s="208"/>
      <c r="D31" s="50" t="s">
        <v>35</v>
      </c>
      <c r="F31" s="95"/>
      <c r="G31" s="32"/>
      <c r="H31" s="95"/>
      <c r="I31" s="32"/>
      <c r="J31" s="95"/>
      <c r="K31" s="32"/>
      <c r="L31" s="95"/>
      <c r="M31" s="32"/>
      <c r="N31" s="95"/>
      <c r="O31" s="32"/>
      <c r="P31" s="95"/>
      <c r="Q31" s="32"/>
      <c r="R31" s="95"/>
      <c r="S31" s="32"/>
      <c r="T31" s="95"/>
      <c r="U31" s="32"/>
      <c r="V31" s="95"/>
      <c r="W31" s="32"/>
      <c r="X31" s="95"/>
      <c r="Y31" s="32"/>
      <c r="Z31" s="95"/>
      <c r="AA31" s="32"/>
      <c r="AB31" s="95"/>
      <c r="AC31" s="32"/>
      <c r="AD31" s="95"/>
      <c r="AE31" s="32"/>
      <c r="AF31" s="33"/>
      <c r="AG31" s="32">
        <f>SUM(F31:AD31)</f>
        <v>0</v>
      </c>
      <c r="AH31" s="167"/>
      <c r="AJ31" s="52" t="s">
        <v>58</v>
      </c>
    </row>
    <row r="32" spans="2:36" x14ac:dyDescent="0.25">
      <c r="B32" s="201"/>
      <c r="C32" s="208"/>
      <c r="D32" s="50" t="s">
        <v>24</v>
      </c>
      <c r="F32" s="96"/>
      <c r="G32" s="32"/>
      <c r="H32" s="96"/>
      <c r="I32" s="32"/>
      <c r="J32" s="96"/>
      <c r="K32" s="32"/>
      <c r="L32" s="96"/>
      <c r="M32" s="32"/>
      <c r="N32" s="96"/>
      <c r="O32" s="32"/>
      <c r="P32" s="96"/>
      <c r="Q32" s="32"/>
      <c r="R32" s="96"/>
      <c r="S32" s="32"/>
      <c r="T32" s="96"/>
      <c r="U32" s="32"/>
      <c r="V32" s="96"/>
      <c r="W32" s="32"/>
      <c r="X32" s="96"/>
      <c r="Y32" s="32"/>
      <c r="Z32" s="96"/>
      <c r="AA32" s="32"/>
      <c r="AB32" s="96"/>
      <c r="AC32" s="32"/>
      <c r="AD32" s="96"/>
      <c r="AE32" s="32"/>
      <c r="AF32" s="33"/>
      <c r="AG32" s="35">
        <f>SUM(F32:AD32)</f>
        <v>0</v>
      </c>
      <c r="AH32" s="167"/>
      <c r="AJ32" s="52" t="s">
        <v>53</v>
      </c>
    </row>
    <row r="33" spans="2:36" ht="15.75" x14ac:dyDescent="0.25">
      <c r="B33" s="141"/>
      <c r="C33" s="49"/>
      <c r="D33" s="51"/>
      <c r="F33" s="97">
        <f>SUM(F29:F32)</f>
        <v>0</v>
      </c>
      <c r="G33" s="4"/>
      <c r="H33" s="97">
        <f>SUM(H29:H32)</f>
        <v>0</v>
      </c>
      <c r="I33" s="4"/>
      <c r="J33" s="97">
        <f>SUM(J29:J32)</f>
        <v>0</v>
      </c>
      <c r="K33" s="4"/>
      <c r="L33" s="97">
        <f>SUM(L29:L32)</f>
        <v>0</v>
      </c>
      <c r="M33" s="4"/>
      <c r="N33" s="97">
        <f>SUM(N29:N32)</f>
        <v>0</v>
      </c>
      <c r="O33" s="4"/>
      <c r="P33" s="97">
        <f>SUM(P29:P32)</f>
        <v>0</v>
      </c>
      <c r="Q33" s="4"/>
      <c r="R33" s="97">
        <f>SUM(R29:R32)</f>
        <v>0</v>
      </c>
      <c r="S33" s="4"/>
      <c r="T33" s="97">
        <f>SUM(T29:T32)</f>
        <v>0</v>
      </c>
      <c r="U33" s="4"/>
      <c r="V33" s="97">
        <f>SUM(V29:V32)</f>
        <v>0</v>
      </c>
      <c r="W33" s="4"/>
      <c r="X33" s="97">
        <f>SUM(X29:X32)</f>
        <v>0</v>
      </c>
      <c r="Y33" s="4"/>
      <c r="Z33" s="97">
        <f>SUM(Z29:Z32)</f>
        <v>0</v>
      </c>
      <c r="AA33" s="4"/>
      <c r="AB33" s="97">
        <f>SUM(AB29:AB32)</f>
        <v>0</v>
      </c>
      <c r="AC33" s="4"/>
      <c r="AD33" s="97">
        <f>SUM(AD29:AD32)</f>
        <v>0</v>
      </c>
      <c r="AE33" s="4"/>
      <c r="AG33" s="4" t="str">
        <f>IF(SUM(AG29:AG32)=0,"",SUM(AG29:AG32))</f>
        <v/>
      </c>
      <c r="AI33" s="44"/>
      <c r="AJ33" s="44"/>
    </row>
    <row r="34" spans="2:36" ht="3.75" customHeight="1" x14ac:dyDescent="0.25">
      <c r="B34" s="141"/>
      <c r="C34" s="48"/>
      <c r="D34" s="48"/>
      <c r="AJ34" s="45"/>
    </row>
    <row r="35" spans="2:36" ht="15" customHeight="1" x14ac:dyDescent="0.25">
      <c r="B35" s="201" t="s">
        <v>206</v>
      </c>
      <c r="C35" s="208" t="s">
        <v>51</v>
      </c>
      <c r="D35" s="50" t="s">
        <v>36</v>
      </c>
      <c r="F35" s="93"/>
      <c r="G35" s="32"/>
      <c r="H35" s="93"/>
      <c r="I35" s="32"/>
      <c r="J35" s="93"/>
      <c r="K35" s="32"/>
      <c r="L35" s="93"/>
      <c r="M35" s="32"/>
      <c r="N35" s="93"/>
      <c r="O35" s="32"/>
      <c r="P35" s="93"/>
      <c r="Q35" s="32"/>
      <c r="R35" s="93"/>
      <c r="S35" s="32"/>
      <c r="T35" s="93"/>
      <c r="U35" s="32"/>
      <c r="V35" s="93"/>
      <c r="W35" s="32"/>
      <c r="X35" s="93"/>
      <c r="Y35" s="32"/>
      <c r="Z35" s="93"/>
      <c r="AA35" s="32"/>
      <c r="AB35" s="93"/>
      <c r="AC35" s="32"/>
      <c r="AD35" s="93"/>
      <c r="AE35" s="32"/>
      <c r="AF35" s="33"/>
      <c r="AG35" s="31">
        <f>SUM(F35:AD35)</f>
        <v>0</v>
      </c>
      <c r="AH35" s="167"/>
      <c r="AJ35" s="53" t="s">
        <v>64</v>
      </c>
    </row>
    <row r="36" spans="2:36" x14ac:dyDescent="0.25">
      <c r="B36" s="201"/>
      <c r="C36" s="208"/>
      <c r="D36" s="50" t="s">
        <v>25</v>
      </c>
      <c r="F36" s="94"/>
      <c r="G36" s="32"/>
      <c r="H36" s="94"/>
      <c r="I36" s="32"/>
      <c r="J36" s="94"/>
      <c r="K36" s="32"/>
      <c r="L36" s="94"/>
      <c r="M36" s="32"/>
      <c r="N36" s="94"/>
      <c r="O36" s="32"/>
      <c r="P36" s="94"/>
      <c r="Q36" s="32"/>
      <c r="R36" s="94"/>
      <c r="S36" s="32"/>
      <c r="T36" s="94"/>
      <c r="U36" s="32"/>
      <c r="V36" s="94"/>
      <c r="W36" s="32"/>
      <c r="X36" s="94"/>
      <c r="Y36" s="32"/>
      <c r="Z36" s="94"/>
      <c r="AA36" s="32"/>
      <c r="AB36" s="94"/>
      <c r="AC36" s="32"/>
      <c r="AD36" s="94"/>
      <c r="AE36" s="32"/>
      <c r="AF36" s="33"/>
      <c r="AG36" s="34">
        <f>SUM(F36:AD36)</f>
        <v>0</v>
      </c>
      <c r="AH36" s="167"/>
      <c r="AJ36" s="52" t="s">
        <v>60</v>
      </c>
    </row>
    <row r="37" spans="2:36" x14ac:dyDescent="0.25">
      <c r="B37" s="201"/>
      <c r="C37" s="208"/>
      <c r="D37" s="50" t="s">
        <v>35</v>
      </c>
      <c r="F37" s="95"/>
      <c r="G37" s="32"/>
      <c r="H37" s="95"/>
      <c r="I37" s="32"/>
      <c r="J37" s="95"/>
      <c r="K37" s="32"/>
      <c r="L37" s="95"/>
      <c r="M37" s="32"/>
      <c r="N37" s="95"/>
      <c r="O37" s="32"/>
      <c r="P37" s="95"/>
      <c r="Q37" s="32"/>
      <c r="R37" s="95"/>
      <c r="S37" s="32"/>
      <c r="T37" s="95"/>
      <c r="U37" s="32"/>
      <c r="V37" s="95"/>
      <c r="W37" s="32"/>
      <c r="X37" s="95"/>
      <c r="Y37" s="32"/>
      <c r="Z37" s="95"/>
      <c r="AA37" s="32"/>
      <c r="AB37" s="95"/>
      <c r="AC37" s="32"/>
      <c r="AD37" s="95"/>
      <c r="AE37" s="32"/>
      <c r="AF37" s="33"/>
      <c r="AG37" s="32">
        <f>SUM(F37:AD37)</f>
        <v>0</v>
      </c>
      <c r="AH37" s="167"/>
      <c r="AJ37" s="52" t="s">
        <v>59</v>
      </c>
    </row>
    <row r="38" spans="2:36" x14ac:dyDescent="0.25">
      <c r="B38" s="201"/>
      <c r="C38" s="208"/>
      <c r="D38" s="50" t="s">
        <v>24</v>
      </c>
      <c r="F38" s="96"/>
      <c r="G38" s="32"/>
      <c r="H38" s="96"/>
      <c r="I38" s="32"/>
      <c r="J38" s="96"/>
      <c r="K38" s="32"/>
      <c r="L38" s="96"/>
      <c r="M38" s="32"/>
      <c r="N38" s="96"/>
      <c r="O38" s="32"/>
      <c r="P38" s="96"/>
      <c r="Q38" s="32"/>
      <c r="R38" s="96"/>
      <c r="S38" s="32"/>
      <c r="T38" s="96"/>
      <c r="U38" s="32"/>
      <c r="V38" s="96"/>
      <c r="W38" s="32"/>
      <c r="X38" s="96"/>
      <c r="Y38" s="32"/>
      <c r="Z38" s="96"/>
      <c r="AA38" s="32"/>
      <c r="AB38" s="96"/>
      <c r="AC38" s="32"/>
      <c r="AD38" s="96"/>
      <c r="AE38" s="32"/>
      <c r="AF38" s="33"/>
      <c r="AG38" s="35">
        <f>SUM(F38:AD38)</f>
        <v>0</v>
      </c>
      <c r="AH38" s="167"/>
      <c r="AJ38" s="52" t="s">
        <v>213</v>
      </c>
    </row>
    <row r="39" spans="2:36" ht="15.75" x14ac:dyDescent="0.25">
      <c r="B39" s="201"/>
      <c r="C39" s="49"/>
      <c r="D39" s="51"/>
      <c r="F39" s="97">
        <f>SUM(F35:F38)</f>
        <v>0</v>
      </c>
      <c r="G39" s="4"/>
      <c r="H39" s="97">
        <f>SUM(H35:H38)</f>
        <v>0</v>
      </c>
      <c r="I39" s="4"/>
      <c r="J39" s="97">
        <f>SUM(J35:J38)</f>
        <v>0</v>
      </c>
      <c r="K39" s="4"/>
      <c r="L39" s="97">
        <f>SUM(L35:L38)</f>
        <v>0</v>
      </c>
      <c r="M39" s="4"/>
      <c r="N39" s="97">
        <f>SUM(N35:N38)</f>
        <v>0</v>
      </c>
      <c r="O39" s="4"/>
      <c r="P39" s="97">
        <f>SUM(P35:P38)</f>
        <v>0</v>
      </c>
      <c r="Q39" s="4"/>
      <c r="R39" s="97">
        <f>SUM(R35:R38)</f>
        <v>0</v>
      </c>
      <c r="S39" s="4"/>
      <c r="T39" s="97">
        <f>SUM(T35:T38)</f>
        <v>0</v>
      </c>
      <c r="U39" s="4"/>
      <c r="V39" s="97">
        <f>SUM(V35:V38)</f>
        <v>0</v>
      </c>
      <c r="W39" s="4"/>
      <c r="X39" s="97">
        <f>SUM(X35:X38)</f>
        <v>0</v>
      </c>
      <c r="Y39" s="4"/>
      <c r="Z39" s="97">
        <f>SUM(Z35:Z38)</f>
        <v>0</v>
      </c>
      <c r="AA39" s="4"/>
      <c r="AB39" s="97">
        <f>SUM(AB35:AB38)</f>
        <v>0</v>
      </c>
      <c r="AC39" s="4"/>
      <c r="AD39" s="97">
        <f>SUM(AD35:AD38)</f>
        <v>0</v>
      </c>
      <c r="AE39" s="4"/>
      <c r="AG39" s="4" t="str">
        <f>IF(SUM(AG35:AG38)=0,"",SUM(AG35:AG38))</f>
        <v/>
      </c>
      <c r="AH39" s="167"/>
      <c r="AJ39" s="45"/>
    </row>
    <row r="40" spans="2:36" ht="3.75" customHeight="1" x14ac:dyDescent="0.25">
      <c r="B40" s="201"/>
      <c r="C40" s="47"/>
      <c r="D40" s="48"/>
      <c r="AH40" s="167"/>
      <c r="AJ40" s="45"/>
    </row>
    <row r="41" spans="2:36" x14ac:dyDescent="0.25">
      <c r="B41" s="201"/>
      <c r="C41" s="208" t="s">
        <v>202</v>
      </c>
      <c r="D41" s="50" t="s">
        <v>36</v>
      </c>
      <c r="F41" s="93"/>
      <c r="G41" s="32"/>
      <c r="H41" s="93"/>
      <c r="I41" s="32"/>
      <c r="J41" s="93"/>
      <c r="K41" s="32"/>
      <c r="L41" s="93"/>
      <c r="M41" s="32"/>
      <c r="N41" s="93"/>
      <c r="O41" s="32"/>
      <c r="P41" s="93"/>
      <c r="Q41" s="32"/>
      <c r="R41" s="93"/>
      <c r="S41" s="32"/>
      <c r="T41" s="93"/>
      <c r="U41" s="32"/>
      <c r="V41" s="93"/>
      <c r="W41" s="32"/>
      <c r="X41" s="93"/>
      <c r="Y41" s="32"/>
      <c r="Z41" s="93"/>
      <c r="AA41" s="32"/>
      <c r="AB41" s="93"/>
      <c r="AC41" s="32"/>
      <c r="AD41" s="93"/>
      <c r="AE41" s="32"/>
      <c r="AF41" s="33"/>
      <c r="AG41" s="31">
        <f>SUM(F41:AD41)</f>
        <v>0</v>
      </c>
      <c r="AH41" s="167"/>
      <c r="AJ41" s="53" t="s">
        <v>64</v>
      </c>
    </row>
    <row r="42" spans="2:36" x14ac:dyDescent="0.25">
      <c r="B42" s="201"/>
      <c r="C42" s="208"/>
      <c r="D42" s="50" t="s">
        <v>25</v>
      </c>
      <c r="F42" s="94"/>
      <c r="G42" s="32"/>
      <c r="H42" s="94"/>
      <c r="I42" s="32"/>
      <c r="J42" s="94"/>
      <c r="K42" s="32"/>
      <c r="L42" s="94"/>
      <c r="M42" s="32"/>
      <c r="N42" s="94"/>
      <c r="O42" s="32"/>
      <c r="P42" s="94"/>
      <c r="Q42" s="32"/>
      <c r="R42" s="94"/>
      <c r="S42" s="32"/>
      <c r="T42" s="94"/>
      <c r="U42" s="32"/>
      <c r="V42" s="94"/>
      <c r="W42" s="32"/>
      <c r="X42" s="94"/>
      <c r="Y42" s="32"/>
      <c r="Z42" s="94"/>
      <c r="AA42" s="32"/>
      <c r="AB42" s="94"/>
      <c r="AC42" s="32"/>
      <c r="AD42" s="94"/>
      <c r="AE42" s="32"/>
      <c r="AF42" s="33"/>
      <c r="AG42" s="34">
        <f>SUM(F42:AD42)</f>
        <v>0</v>
      </c>
      <c r="AH42" s="167"/>
      <c r="AJ42" s="52" t="s">
        <v>60</v>
      </c>
    </row>
    <row r="43" spans="2:36" x14ac:dyDescent="0.25">
      <c r="B43" s="201"/>
      <c r="C43" s="208"/>
      <c r="D43" s="50" t="s">
        <v>35</v>
      </c>
      <c r="F43" s="95"/>
      <c r="G43" s="32"/>
      <c r="H43" s="95"/>
      <c r="I43" s="32"/>
      <c r="J43" s="95"/>
      <c r="K43" s="32"/>
      <c r="L43" s="95"/>
      <c r="M43" s="32"/>
      <c r="N43" s="95"/>
      <c r="O43" s="32"/>
      <c r="P43" s="95"/>
      <c r="Q43" s="32"/>
      <c r="R43" s="95"/>
      <c r="S43" s="32"/>
      <c r="T43" s="95"/>
      <c r="U43" s="32"/>
      <c r="V43" s="95"/>
      <c r="W43" s="32"/>
      <c r="X43" s="95"/>
      <c r="Y43" s="32"/>
      <c r="Z43" s="95"/>
      <c r="AA43" s="32"/>
      <c r="AB43" s="95"/>
      <c r="AC43" s="32"/>
      <c r="AD43" s="95"/>
      <c r="AE43" s="32"/>
      <c r="AF43" s="33"/>
      <c r="AG43" s="32">
        <f>SUM(F43:AD43)</f>
        <v>0</v>
      </c>
      <c r="AH43" s="167"/>
      <c r="AJ43" s="52" t="s">
        <v>59</v>
      </c>
    </row>
    <row r="44" spans="2:36" x14ac:dyDescent="0.25">
      <c r="B44" s="201"/>
      <c r="C44" s="208"/>
      <c r="D44" s="50" t="s">
        <v>24</v>
      </c>
      <c r="F44" s="96"/>
      <c r="G44" s="32"/>
      <c r="H44" s="96"/>
      <c r="I44" s="32"/>
      <c r="J44" s="96"/>
      <c r="K44" s="32"/>
      <c r="L44" s="96"/>
      <c r="M44" s="32"/>
      <c r="N44" s="96"/>
      <c r="O44" s="32"/>
      <c r="P44" s="96"/>
      <c r="Q44" s="32"/>
      <c r="R44" s="96"/>
      <c r="S44" s="32"/>
      <c r="T44" s="96"/>
      <c r="U44" s="32"/>
      <c r="V44" s="96"/>
      <c r="W44" s="32"/>
      <c r="X44" s="96"/>
      <c r="Y44" s="32"/>
      <c r="Z44" s="96"/>
      <c r="AA44" s="32"/>
      <c r="AB44" s="96"/>
      <c r="AC44" s="32"/>
      <c r="AD44" s="96"/>
      <c r="AE44" s="32"/>
      <c r="AF44" s="33"/>
      <c r="AG44" s="35">
        <f>SUM(F44:AD44)</f>
        <v>0</v>
      </c>
      <c r="AH44" s="167"/>
      <c r="AJ44" s="52" t="s">
        <v>213</v>
      </c>
    </row>
    <row r="45" spans="2:36" ht="15.75" x14ac:dyDescent="0.25">
      <c r="B45" s="201"/>
      <c r="C45" s="46"/>
      <c r="D45" s="51"/>
      <c r="F45" s="97">
        <f>SUM(F41:F44)</f>
        <v>0</v>
      </c>
      <c r="G45" s="4"/>
      <c r="H45" s="97">
        <f>SUM(H41:H44)</f>
        <v>0</v>
      </c>
      <c r="I45" s="4"/>
      <c r="J45" s="97">
        <f>SUM(J41:J44)</f>
        <v>0</v>
      </c>
      <c r="K45" s="4"/>
      <c r="L45" s="97">
        <f>SUM(L41:L44)</f>
        <v>0</v>
      </c>
      <c r="M45" s="4"/>
      <c r="N45" s="97">
        <f>SUM(N41:N44)</f>
        <v>0</v>
      </c>
      <c r="O45" s="4"/>
      <c r="P45" s="97">
        <f>SUM(P41:P44)</f>
        <v>0</v>
      </c>
      <c r="Q45" s="4"/>
      <c r="R45" s="97">
        <f>SUM(R41:R44)</f>
        <v>0</v>
      </c>
      <c r="S45" s="4"/>
      <c r="T45" s="97">
        <f>SUM(T41:T44)</f>
        <v>0</v>
      </c>
      <c r="U45" s="4"/>
      <c r="V45" s="97">
        <f>SUM(V41:V44)</f>
        <v>0</v>
      </c>
      <c r="W45" s="4"/>
      <c r="X45" s="97">
        <f>SUM(X41:X44)</f>
        <v>0</v>
      </c>
      <c r="Y45" s="4"/>
      <c r="Z45" s="97">
        <f>SUM(Z41:Z44)</f>
        <v>0</v>
      </c>
      <c r="AA45" s="4"/>
      <c r="AB45" s="97">
        <f>SUM(AB41:AB44)</f>
        <v>0</v>
      </c>
      <c r="AC45" s="4"/>
      <c r="AD45" s="97">
        <f>SUM(AD41:AD44)</f>
        <v>0</v>
      </c>
      <c r="AE45" s="4"/>
      <c r="AG45" s="4" t="str">
        <f>IF(SUM(AG41:AG44)=0,"",SUM(AG41:AG44))</f>
        <v/>
      </c>
      <c r="AH45" s="167"/>
      <c r="AJ45" s="45"/>
    </row>
    <row r="46" spans="2:36" ht="3.75" customHeight="1" x14ac:dyDescent="0.25">
      <c r="B46" s="201"/>
      <c r="C46" s="47"/>
      <c r="D46" s="48"/>
      <c r="AH46" s="167"/>
      <c r="AJ46" s="45"/>
    </row>
    <row r="47" spans="2:36" x14ac:dyDescent="0.25">
      <c r="B47" s="201"/>
      <c r="C47" s="208" t="s">
        <v>2</v>
      </c>
      <c r="D47" s="50" t="s">
        <v>36</v>
      </c>
      <c r="F47" s="93"/>
      <c r="G47" s="32"/>
      <c r="H47" s="93"/>
      <c r="I47" s="32"/>
      <c r="J47" s="93"/>
      <c r="K47" s="32"/>
      <c r="L47" s="93"/>
      <c r="M47" s="32"/>
      <c r="N47" s="93"/>
      <c r="O47" s="32"/>
      <c r="P47" s="93"/>
      <c r="Q47" s="32"/>
      <c r="R47" s="93"/>
      <c r="S47" s="32"/>
      <c r="T47" s="93"/>
      <c r="U47" s="32"/>
      <c r="V47" s="93"/>
      <c r="W47" s="32"/>
      <c r="X47" s="93"/>
      <c r="Y47" s="32"/>
      <c r="Z47" s="93"/>
      <c r="AA47" s="32"/>
      <c r="AB47" s="93"/>
      <c r="AC47" s="32"/>
      <c r="AD47" s="93"/>
      <c r="AE47" s="32"/>
      <c r="AF47" s="33"/>
      <c r="AG47" s="31">
        <f>SUM(F47:AD47)</f>
        <v>0</v>
      </c>
      <c r="AH47" s="167"/>
      <c r="AJ47" s="53" t="s">
        <v>64</v>
      </c>
    </row>
    <row r="48" spans="2:36" x14ac:dyDescent="0.25">
      <c r="B48" s="201"/>
      <c r="C48" s="208"/>
      <c r="D48" s="50" t="s">
        <v>25</v>
      </c>
      <c r="F48" s="94"/>
      <c r="G48" s="32"/>
      <c r="H48" s="94"/>
      <c r="I48" s="32"/>
      <c r="J48" s="94"/>
      <c r="K48" s="32"/>
      <c r="L48" s="94"/>
      <c r="M48" s="32"/>
      <c r="N48" s="94"/>
      <c r="O48" s="32"/>
      <c r="P48" s="94"/>
      <c r="Q48" s="32"/>
      <c r="R48" s="94"/>
      <c r="S48" s="32"/>
      <c r="T48" s="94"/>
      <c r="U48" s="32"/>
      <c r="V48" s="94"/>
      <c r="W48" s="32"/>
      <c r="X48" s="94"/>
      <c r="Y48" s="32"/>
      <c r="Z48" s="94"/>
      <c r="AA48" s="32"/>
      <c r="AB48" s="94"/>
      <c r="AC48" s="32"/>
      <c r="AD48" s="94"/>
      <c r="AE48" s="32"/>
      <c r="AF48" s="33"/>
      <c r="AG48" s="34">
        <f>SUM(F48:AD48)</f>
        <v>0</v>
      </c>
      <c r="AH48" s="167"/>
      <c r="AJ48" s="52" t="s">
        <v>60</v>
      </c>
    </row>
    <row r="49" spans="2:36" x14ac:dyDescent="0.25">
      <c r="B49" s="201"/>
      <c r="C49" s="208"/>
      <c r="D49" s="50" t="s">
        <v>35</v>
      </c>
      <c r="F49" s="95"/>
      <c r="G49" s="32"/>
      <c r="H49" s="95"/>
      <c r="I49" s="32"/>
      <c r="J49" s="95"/>
      <c r="K49" s="32"/>
      <c r="L49" s="95"/>
      <c r="M49" s="32"/>
      <c r="N49" s="95"/>
      <c r="O49" s="32"/>
      <c r="P49" s="95"/>
      <c r="Q49" s="32"/>
      <c r="R49" s="95"/>
      <c r="S49" s="32"/>
      <c r="T49" s="95"/>
      <c r="U49" s="32"/>
      <c r="V49" s="95"/>
      <c r="W49" s="32"/>
      <c r="X49" s="95"/>
      <c r="Y49" s="32"/>
      <c r="Z49" s="95"/>
      <c r="AA49" s="32"/>
      <c r="AB49" s="95"/>
      <c r="AC49" s="32"/>
      <c r="AD49" s="95"/>
      <c r="AE49" s="32"/>
      <c r="AF49" s="33"/>
      <c r="AG49" s="32">
        <f>SUM(F49:AD49)</f>
        <v>0</v>
      </c>
      <c r="AH49" s="167"/>
      <c r="AJ49" s="52" t="s">
        <v>59</v>
      </c>
    </row>
    <row r="50" spans="2:36" x14ac:dyDescent="0.25">
      <c r="B50" s="201"/>
      <c r="C50" s="208"/>
      <c r="D50" s="50" t="s">
        <v>24</v>
      </c>
      <c r="F50" s="96"/>
      <c r="G50" s="32"/>
      <c r="H50" s="96"/>
      <c r="I50" s="32"/>
      <c r="J50" s="96"/>
      <c r="K50" s="32"/>
      <c r="L50" s="96"/>
      <c r="M50" s="32"/>
      <c r="N50" s="96"/>
      <c r="O50" s="32"/>
      <c r="P50" s="96"/>
      <c r="Q50" s="32"/>
      <c r="R50" s="96"/>
      <c r="S50" s="32"/>
      <c r="T50" s="96"/>
      <c r="U50" s="32"/>
      <c r="V50" s="96"/>
      <c r="W50" s="32"/>
      <c r="X50" s="96"/>
      <c r="Y50" s="32"/>
      <c r="Z50" s="96"/>
      <c r="AA50" s="32"/>
      <c r="AB50" s="96"/>
      <c r="AC50" s="32"/>
      <c r="AD50" s="96"/>
      <c r="AE50" s="32"/>
      <c r="AF50" s="33"/>
      <c r="AG50" s="35">
        <f>SUM(F50:AD50)</f>
        <v>0</v>
      </c>
      <c r="AH50" s="167"/>
      <c r="AJ50" s="52" t="s">
        <v>213</v>
      </c>
    </row>
    <row r="51" spans="2:36" ht="15.75" x14ac:dyDescent="0.25">
      <c r="B51" s="141"/>
      <c r="C51" s="49"/>
      <c r="D51" s="51"/>
      <c r="F51" s="97">
        <f>SUM(F47:F50)</f>
        <v>0</v>
      </c>
      <c r="G51" s="4"/>
      <c r="H51" s="97">
        <f>SUM(H47:H50)</f>
        <v>0</v>
      </c>
      <c r="I51" s="4"/>
      <c r="J51" s="97">
        <f>SUM(J47:J50)</f>
        <v>0</v>
      </c>
      <c r="K51" s="4"/>
      <c r="L51" s="97">
        <f>SUM(L47:L50)</f>
        <v>0</v>
      </c>
      <c r="M51" s="4"/>
      <c r="N51" s="97">
        <f>SUM(N47:N50)</f>
        <v>0</v>
      </c>
      <c r="O51" s="4"/>
      <c r="P51" s="97">
        <f>SUM(P47:P50)</f>
        <v>0</v>
      </c>
      <c r="Q51" s="4"/>
      <c r="R51" s="97">
        <f>SUM(R47:R50)</f>
        <v>0</v>
      </c>
      <c r="S51" s="4"/>
      <c r="T51" s="97">
        <f>SUM(T47:T50)</f>
        <v>0</v>
      </c>
      <c r="U51" s="4"/>
      <c r="V51" s="97">
        <f>SUM(V47:V50)</f>
        <v>0</v>
      </c>
      <c r="W51" s="4"/>
      <c r="X51" s="97">
        <f>SUM(X47:X50)</f>
        <v>0</v>
      </c>
      <c r="Y51" s="4"/>
      <c r="Z51" s="97">
        <f>SUM(Z47:Z50)</f>
        <v>0</v>
      </c>
      <c r="AA51" s="4"/>
      <c r="AB51" s="97">
        <f>SUM(AB47:AB50)</f>
        <v>0</v>
      </c>
      <c r="AC51" s="4"/>
      <c r="AD51" s="97">
        <f>SUM(AD47:AD50)</f>
        <v>0</v>
      </c>
      <c r="AE51" s="4"/>
      <c r="AG51" s="4" t="str">
        <f>IF(SUM(AG47:AG50)=0,"",SUM(AG47:AG50))</f>
        <v/>
      </c>
      <c r="AJ51" s="45"/>
    </row>
    <row r="52" spans="2:36" ht="3.75" customHeight="1" x14ac:dyDescent="0.25">
      <c r="B52" s="210" t="s">
        <v>208</v>
      </c>
      <c r="C52" s="49"/>
      <c r="D52" s="51"/>
      <c r="F52" s="128"/>
      <c r="G52" s="4"/>
      <c r="H52" s="128"/>
      <c r="I52" s="4"/>
      <c r="J52" s="128"/>
      <c r="K52" s="4"/>
      <c r="L52" s="128"/>
      <c r="M52" s="4"/>
      <c r="N52" s="128"/>
      <c r="O52" s="4"/>
      <c r="P52" s="128"/>
      <c r="Q52" s="4"/>
      <c r="R52" s="128"/>
      <c r="S52" s="4"/>
      <c r="T52" s="128"/>
      <c r="U52" s="4"/>
      <c r="V52" s="128"/>
      <c r="W52" s="4"/>
      <c r="X52" s="128"/>
      <c r="Y52" s="4"/>
      <c r="Z52" s="128"/>
      <c r="AA52" s="4"/>
      <c r="AB52" s="128"/>
      <c r="AC52" s="4"/>
      <c r="AD52" s="128"/>
      <c r="AE52" s="4"/>
      <c r="AG52" s="4"/>
      <c r="AJ52" s="45"/>
    </row>
    <row r="53" spans="2:36" ht="15" customHeight="1" x14ac:dyDescent="0.25">
      <c r="B53" s="210"/>
      <c r="C53" s="209" t="s">
        <v>209</v>
      </c>
      <c r="D53" s="50" t="s">
        <v>36</v>
      </c>
      <c r="F53" s="142">
        <v>0.115</v>
      </c>
      <c r="G53" s="32"/>
      <c r="H53" s="142">
        <v>0.115</v>
      </c>
      <c r="I53" s="32"/>
      <c r="J53" s="142">
        <v>0.115</v>
      </c>
      <c r="K53" s="32"/>
      <c r="L53" s="142">
        <v>0.115</v>
      </c>
      <c r="M53" s="32"/>
      <c r="N53" s="142">
        <v>0.115</v>
      </c>
      <c r="O53" s="32"/>
      <c r="P53" s="142">
        <v>0.115</v>
      </c>
      <c r="Q53" s="32"/>
      <c r="R53" s="142">
        <v>0.115</v>
      </c>
      <c r="S53" s="32"/>
      <c r="T53" s="142">
        <v>0.115</v>
      </c>
      <c r="U53" s="32"/>
      <c r="V53" s="142">
        <v>0.115</v>
      </c>
      <c r="W53" s="32"/>
      <c r="X53" s="142">
        <v>0.115</v>
      </c>
      <c r="Y53" s="32"/>
      <c r="Z53" s="142">
        <v>0.115</v>
      </c>
      <c r="AA53" s="32"/>
      <c r="AB53" s="142">
        <v>0.115</v>
      </c>
      <c r="AC53" s="32"/>
      <c r="AD53" s="142">
        <v>0.115</v>
      </c>
      <c r="AE53" s="32"/>
      <c r="AF53" s="33"/>
      <c r="AG53" s="146">
        <f>AVERAGE(F53,H53,J53,L53,N53,P53,R53,T53,V53,X53,Z53,AB53,AD53)</f>
        <v>0.115</v>
      </c>
      <c r="AH53" s="169"/>
      <c r="AJ53" s="53" t="s">
        <v>63</v>
      </c>
    </row>
    <row r="54" spans="2:36" x14ac:dyDescent="0.25">
      <c r="B54" s="210"/>
      <c r="C54" s="209"/>
      <c r="D54" s="50" t="s">
        <v>25</v>
      </c>
      <c r="F54" s="143">
        <v>0.115</v>
      </c>
      <c r="G54" s="32"/>
      <c r="H54" s="143">
        <v>0.115</v>
      </c>
      <c r="I54" s="32"/>
      <c r="J54" s="143">
        <v>0.115</v>
      </c>
      <c r="K54" s="32"/>
      <c r="L54" s="143">
        <v>0.115</v>
      </c>
      <c r="M54" s="32"/>
      <c r="N54" s="143">
        <v>0.115</v>
      </c>
      <c r="O54" s="32"/>
      <c r="P54" s="143">
        <v>0.115</v>
      </c>
      <c r="Q54" s="32"/>
      <c r="R54" s="143">
        <v>0.115</v>
      </c>
      <c r="S54" s="32"/>
      <c r="T54" s="143">
        <v>0.115</v>
      </c>
      <c r="U54" s="32"/>
      <c r="V54" s="143">
        <v>0.115</v>
      </c>
      <c r="W54" s="32"/>
      <c r="X54" s="143">
        <v>0.115</v>
      </c>
      <c r="Y54" s="32"/>
      <c r="Z54" s="143">
        <v>0.115</v>
      </c>
      <c r="AA54" s="32"/>
      <c r="AB54" s="143">
        <v>0.115</v>
      </c>
      <c r="AC54" s="32"/>
      <c r="AD54" s="143">
        <v>0.115</v>
      </c>
      <c r="AE54" s="32"/>
      <c r="AF54" s="33"/>
      <c r="AG54" s="147">
        <f>AVERAGE(F54,H54,J54,L54,N54,P54,R54,T54,V54,X54,Z54,AB54,AD54)</f>
        <v>0.115</v>
      </c>
      <c r="AH54" s="169"/>
      <c r="AJ54" s="52" t="s">
        <v>210</v>
      </c>
    </row>
    <row r="55" spans="2:36" x14ac:dyDescent="0.25">
      <c r="B55" s="210"/>
      <c r="C55" s="209"/>
      <c r="D55" s="50" t="s">
        <v>35</v>
      </c>
      <c r="F55" s="144">
        <v>0.115</v>
      </c>
      <c r="G55" s="32"/>
      <c r="H55" s="144">
        <v>0.115</v>
      </c>
      <c r="I55" s="32"/>
      <c r="J55" s="144">
        <v>0.115</v>
      </c>
      <c r="K55" s="32"/>
      <c r="L55" s="144">
        <v>0.115</v>
      </c>
      <c r="M55" s="32"/>
      <c r="N55" s="144">
        <v>0.115</v>
      </c>
      <c r="O55" s="32"/>
      <c r="P55" s="144">
        <v>0.115</v>
      </c>
      <c r="Q55" s="32"/>
      <c r="R55" s="144">
        <v>0.115</v>
      </c>
      <c r="S55" s="32"/>
      <c r="T55" s="144">
        <v>0.115</v>
      </c>
      <c r="U55" s="32"/>
      <c r="V55" s="144">
        <v>0.115</v>
      </c>
      <c r="W55" s="32"/>
      <c r="X55" s="144">
        <v>0.115</v>
      </c>
      <c r="Y55" s="32"/>
      <c r="Z55" s="144">
        <v>0.115</v>
      </c>
      <c r="AA55" s="32"/>
      <c r="AB55" s="144">
        <v>0.115</v>
      </c>
      <c r="AC55" s="32"/>
      <c r="AD55" s="144">
        <v>0.115</v>
      </c>
      <c r="AE55" s="32"/>
      <c r="AF55" s="33"/>
      <c r="AG55" s="148">
        <f>AVERAGE(F55,H55,J55,L55,N55,P55,R55,T55,V55,X55,Z55,AB55,AD55)</f>
        <v>0.115</v>
      </c>
      <c r="AH55" s="169"/>
      <c r="AJ55" s="52" t="s">
        <v>211</v>
      </c>
    </row>
    <row r="56" spans="2:36" x14ac:dyDescent="0.25">
      <c r="B56" s="210"/>
      <c r="C56" s="209"/>
      <c r="D56" s="50" t="s">
        <v>24</v>
      </c>
      <c r="F56" s="145">
        <v>0.115</v>
      </c>
      <c r="G56" s="32"/>
      <c r="H56" s="145">
        <v>0.115</v>
      </c>
      <c r="I56" s="32"/>
      <c r="J56" s="145">
        <v>0.115</v>
      </c>
      <c r="K56" s="32"/>
      <c r="L56" s="145">
        <v>0.115</v>
      </c>
      <c r="M56" s="32"/>
      <c r="N56" s="145">
        <v>0.115</v>
      </c>
      <c r="O56" s="32"/>
      <c r="P56" s="145">
        <v>0.115</v>
      </c>
      <c r="Q56" s="32"/>
      <c r="R56" s="145">
        <v>0.115</v>
      </c>
      <c r="S56" s="32"/>
      <c r="T56" s="145">
        <v>0.115</v>
      </c>
      <c r="U56" s="32"/>
      <c r="V56" s="145">
        <v>0.115</v>
      </c>
      <c r="W56" s="32"/>
      <c r="X56" s="145">
        <v>0.115</v>
      </c>
      <c r="Y56" s="32"/>
      <c r="Z56" s="145">
        <v>0.115</v>
      </c>
      <c r="AA56" s="32"/>
      <c r="AB56" s="145">
        <v>0.115</v>
      </c>
      <c r="AC56" s="32"/>
      <c r="AD56" s="145">
        <v>0.115</v>
      </c>
      <c r="AE56" s="32"/>
      <c r="AF56" s="33"/>
      <c r="AG56" s="149">
        <f>AVERAGE(F56,H56,J56,L56,N56,P56,R56,T56,V56,X56,Z56,AB56,AD56)</f>
        <v>0.115</v>
      </c>
      <c r="AH56" s="169"/>
      <c r="AJ56" s="52" t="s">
        <v>212</v>
      </c>
    </row>
    <row r="57" spans="2:36" ht="15.75" x14ac:dyDescent="0.25">
      <c r="B57" s="210"/>
      <c r="C57" s="49"/>
      <c r="D57" s="51"/>
      <c r="F57" s="128"/>
      <c r="G57" s="4"/>
      <c r="H57" s="128"/>
      <c r="I57" s="4"/>
      <c r="J57" s="128"/>
      <c r="K57" s="4"/>
      <c r="L57" s="128"/>
      <c r="M57" s="4"/>
      <c r="N57" s="128"/>
      <c r="O57" s="4"/>
      <c r="P57" s="128"/>
      <c r="Q57" s="4"/>
      <c r="R57" s="128"/>
      <c r="S57" s="4"/>
      <c r="T57" s="128"/>
      <c r="U57" s="4"/>
      <c r="V57" s="128"/>
      <c r="W57" s="4"/>
      <c r="X57" s="128"/>
      <c r="Y57" s="4"/>
      <c r="Z57" s="128"/>
      <c r="AA57" s="4"/>
      <c r="AB57" s="128"/>
      <c r="AC57" s="4"/>
      <c r="AD57" s="128"/>
      <c r="AE57" s="4"/>
      <c r="AG57" s="4"/>
      <c r="AJ57" s="45"/>
    </row>
    <row r="58" spans="2:36" ht="3.75" customHeight="1" x14ac:dyDescent="0.25">
      <c r="B58" s="141"/>
      <c r="C58" s="48"/>
      <c r="D58" s="48"/>
      <c r="AJ58" s="45"/>
    </row>
    <row r="59" spans="2:36" ht="15" customHeight="1" x14ac:dyDescent="0.25">
      <c r="B59" s="201" t="s">
        <v>205</v>
      </c>
      <c r="C59" s="208" t="s">
        <v>51</v>
      </c>
      <c r="D59" s="50" t="s">
        <v>36</v>
      </c>
      <c r="F59" s="98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98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98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98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98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98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98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98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98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98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98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98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98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67"/>
      <c r="AJ59" s="45"/>
    </row>
    <row r="60" spans="2:36" ht="15" customHeight="1" x14ac:dyDescent="0.25">
      <c r="B60" s="201"/>
      <c r="C60" s="208"/>
      <c r="D60" s="50" t="s">
        <v>25</v>
      </c>
      <c r="F60" s="99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99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99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99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99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99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99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99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99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99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99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99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99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67"/>
      <c r="AJ60" s="45"/>
    </row>
    <row r="61" spans="2:36" ht="15" customHeight="1" x14ac:dyDescent="0.25">
      <c r="B61" s="201"/>
      <c r="C61" s="208"/>
      <c r="D61" s="50" t="s">
        <v>35</v>
      </c>
      <c r="F61" s="100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0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0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0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0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0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0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0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0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0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0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0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0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67"/>
      <c r="AJ61" s="45"/>
    </row>
    <row r="62" spans="2:36" ht="15" customHeight="1" x14ac:dyDescent="0.25">
      <c r="B62" s="201"/>
      <c r="C62" s="208"/>
      <c r="D62" s="50" t="s">
        <v>24</v>
      </c>
      <c r="F62" s="101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01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01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01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01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01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01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01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01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01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01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01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01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67"/>
      <c r="AJ62" s="45"/>
    </row>
    <row r="63" spans="2:36" ht="13.5" customHeight="1" x14ac:dyDescent="0.25">
      <c r="B63" s="201"/>
      <c r="C63" s="49"/>
      <c r="D63" s="51"/>
      <c r="F63" s="97">
        <f>SUM(F59:F62)</f>
        <v>0</v>
      </c>
      <c r="G63" s="4"/>
      <c r="H63" s="97">
        <f>SUM(H59:H62)</f>
        <v>0</v>
      </c>
      <c r="I63" s="4"/>
      <c r="J63" s="97">
        <f>SUM(J59:J62)</f>
        <v>0</v>
      </c>
      <c r="K63" s="4"/>
      <c r="L63" s="97">
        <f>SUM(L59:L62)</f>
        <v>0</v>
      </c>
      <c r="M63" s="4"/>
      <c r="N63" s="97">
        <f>SUM(N59:N62)</f>
        <v>0</v>
      </c>
      <c r="O63" s="4"/>
      <c r="P63" s="97">
        <f>SUM(P59:P62)</f>
        <v>0</v>
      </c>
      <c r="Q63" s="4"/>
      <c r="R63" s="97">
        <f>SUM(R59:R62)</f>
        <v>0</v>
      </c>
      <c r="S63" s="4"/>
      <c r="T63" s="97">
        <f>SUM(T59:T62)</f>
        <v>0</v>
      </c>
      <c r="U63" s="4"/>
      <c r="V63" s="97">
        <f>SUM(V59:V62)</f>
        <v>0</v>
      </c>
      <c r="W63" s="4"/>
      <c r="X63" s="97">
        <f>SUM(X59:X62)</f>
        <v>0</v>
      </c>
      <c r="Y63" s="4"/>
      <c r="Z63" s="97">
        <f>SUM(Z59:Z62)</f>
        <v>0</v>
      </c>
      <c r="AA63" s="4"/>
      <c r="AB63" s="97">
        <f>SUM(AB59:AB62)</f>
        <v>0</v>
      </c>
      <c r="AC63" s="4"/>
      <c r="AD63" s="97">
        <f>SUM(AD59:AD62)</f>
        <v>0</v>
      </c>
      <c r="AE63" s="4"/>
      <c r="AG63" s="4" t="str">
        <f>IF(SUM(AG59:AG62)=0,"",SUM(AG59:AG62))</f>
        <v/>
      </c>
      <c r="AH63" s="167"/>
      <c r="AJ63" s="45"/>
    </row>
    <row r="64" spans="2:36" ht="3.75" customHeight="1" x14ac:dyDescent="0.25">
      <c r="B64" s="201"/>
      <c r="C64" s="47"/>
      <c r="D64" s="48"/>
      <c r="AH64" s="167"/>
      <c r="AJ64" s="45"/>
    </row>
    <row r="65" spans="2:36" ht="13.5" customHeight="1" x14ac:dyDescent="0.25">
      <c r="B65" s="201"/>
      <c r="C65" s="208" t="s">
        <v>202</v>
      </c>
      <c r="D65" s="50" t="s">
        <v>36</v>
      </c>
      <c r="F65" s="98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98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98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98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98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98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98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98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98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98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98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98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98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67"/>
      <c r="AJ65" s="45"/>
    </row>
    <row r="66" spans="2:36" ht="13.5" customHeight="1" x14ac:dyDescent="0.25">
      <c r="B66" s="201"/>
      <c r="C66" s="208"/>
      <c r="D66" s="50" t="s">
        <v>25</v>
      </c>
      <c r="F66" s="99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99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99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99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99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99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99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99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99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99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99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99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99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67"/>
      <c r="AJ66" s="45"/>
    </row>
    <row r="67" spans="2:36" ht="15" customHeight="1" x14ac:dyDescent="0.25">
      <c r="B67" s="201"/>
      <c r="C67" s="208"/>
      <c r="D67" s="50" t="s">
        <v>35</v>
      </c>
      <c r="F67" s="100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0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0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0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0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0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0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0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0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0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0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0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0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67"/>
      <c r="AJ67" s="45"/>
    </row>
    <row r="68" spans="2:36" ht="15" customHeight="1" x14ac:dyDescent="0.25">
      <c r="B68" s="201"/>
      <c r="C68" s="208"/>
      <c r="D68" s="50" t="s">
        <v>24</v>
      </c>
      <c r="F68" s="101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01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01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01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01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01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01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01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01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01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01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01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01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67"/>
      <c r="AJ68" s="45"/>
    </row>
    <row r="69" spans="2:36" ht="15" customHeight="1" x14ac:dyDescent="0.25">
      <c r="B69" s="201"/>
      <c r="C69" s="46"/>
      <c r="D69" s="51"/>
      <c r="F69" s="97">
        <f>SUM(F65:F68)</f>
        <v>-3690.4099999999962</v>
      </c>
      <c r="G69" s="4"/>
      <c r="H69" s="97">
        <f>SUM(H65:H68)</f>
        <v>0</v>
      </c>
      <c r="I69" s="4"/>
      <c r="J69" s="97">
        <f>SUM(J65:J68)</f>
        <v>0</v>
      </c>
      <c r="K69" s="4"/>
      <c r="L69" s="97">
        <f>SUM(L65:L68)</f>
        <v>0</v>
      </c>
      <c r="M69" s="4"/>
      <c r="N69" s="97">
        <f>SUM(N65:N68)</f>
        <v>0</v>
      </c>
      <c r="O69" s="4"/>
      <c r="P69" s="97">
        <f>SUM(P65:P68)</f>
        <v>0</v>
      </c>
      <c r="Q69" s="4"/>
      <c r="R69" s="97">
        <f>SUM(R65:R68)</f>
        <v>0</v>
      </c>
      <c r="S69" s="4"/>
      <c r="T69" s="97">
        <f>SUM(T65:T68)</f>
        <v>0</v>
      </c>
      <c r="U69" s="4"/>
      <c r="V69" s="97">
        <f>SUM(V65:V68)</f>
        <v>0</v>
      </c>
      <c r="W69" s="4"/>
      <c r="X69" s="97">
        <f>SUM(X65:X68)</f>
        <v>0</v>
      </c>
      <c r="Y69" s="4"/>
      <c r="Z69" s="97">
        <f>SUM(Z65:Z68)</f>
        <v>0</v>
      </c>
      <c r="AA69" s="4"/>
      <c r="AB69" s="97">
        <f>SUM(AB65:AB68)</f>
        <v>0</v>
      </c>
      <c r="AC69" s="4"/>
      <c r="AD69" s="97">
        <f>SUM(AD65:AD68)</f>
        <v>0</v>
      </c>
      <c r="AE69" s="4"/>
      <c r="AG69" s="4">
        <f>IF(SUM(AG65:AG68)=0,"",SUM(AG65:AG68))</f>
        <v>-3690.4099999999962</v>
      </c>
      <c r="AH69" s="167"/>
      <c r="AJ69" s="45"/>
    </row>
    <row r="70" spans="2:36" ht="3.75" customHeight="1" x14ac:dyDescent="0.25">
      <c r="B70" s="201"/>
      <c r="C70" s="47"/>
      <c r="D70" s="48"/>
      <c r="AH70" s="167"/>
      <c r="AJ70" s="45"/>
    </row>
    <row r="71" spans="2:36" x14ac:dyDescent="0.25">
      <c r="B71" s="201"/>
      <c r="C71" s="208" t="s">
        <v>2</v>
      </c>
      <c r="D71" s="50" t="s">
        <v>36</v>
      </c>
      <c r="F71" s="98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98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98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98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98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98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98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98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98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98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98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98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98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67"/>
      <c r="AJ71" s="45"/>
    </row>
    <row r="72" spans="2:36" x14ac:dyDescent="0.25">
      <c r="B72" s="201"/>
      <c r="C72" s="208"/>
      <c r="D72" s="50" t="s">
        <v>25</v>
      </c>
      <c r="F72" s="99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99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99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99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99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99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99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99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99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99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99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99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99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67"/>
      <c r="AJ72" s="45"/>
    </row>
    <row r="73" spans="2:36" x14ac:dyDescent="0.25">
      <c r="B73" s="201"/>
      <c r="C73" s="208"/>
      <c r="D73" s="50" t="s">
        <v>35</v>
      </c>
      <c r="F73" s="100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0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0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0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0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0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0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0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0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0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0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0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0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67"/>
      <c r="AJ73" s="45"/>
    </row>
    <row r="74" spans="2:36" x14ac:dyDescent="0.25">
      <c r="B74" s="201"/>
      <c r="C74" s="208"/>
      <c r="D74" s="50" t="s">
        <v>24</v>
      </c>
      <c r="F74" s="101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01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01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01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01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01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01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01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01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01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01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01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01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67"/>
      <c r="AJ74" s="45"/>
    </row>
    <row r="75" spans="2:36" ht="15.75" x14ac:dyDescent="0.25">
      <c r="B75" s="48"/>
      <c r="C75" s="49"/>
      <c r="D75" s="51"/>
      <c r="F75" s="97">
        <f>SUM(F71:F74)</f>
        <v>0</v>
      </c>
      <c r="G75" s="4"/>
      <c r="H75" s="97">
        <f>SUM(H71:H74)</f>
        <v>0</v>
      </c>
      <c r="I75" s="4"/>
      <c r="J75" s="97">
        <f>SUM(J71:J74)</f>
        <v>0</v>
      </c>
      <c r="K75" s="4"/>
      <c r="L75" s="97">
        <f>SUM(L71:L74)</f>
        <v>0</v>
      </c>
      <c r="M75" s="4"/>
      <c r="N75" s="97">
        <f>SUM(N71:N74)</f>
        <v>0</v>
      </c>
      <c r="O75" s="4"/>
      <c r="P75" s="97">
        <f>SUM(P71:P74)</f>
        <v>0</v>
      </c>
      <c r="Q75" s="4"/>
      <c r="R75" s="97">
        <f>SUM(R71:R74)</f>
        <v>0</v>
      </c>
      <c r="S75" s="4"/>
      <c r="T75" s="97">
        <f>SUM(T71:T74)</f>
        <v>0</v>
      </c>
      <c r="U75" s="4"/>
      <c r="V75" s="97">
        <f>SUM(V71:V74)</f>
        <v>0</v>
      </c>
      <c r="W75" s="4"/>
      <c r="X75" s="97">
        <f>SUM(X71:X74)</f>
        <v>0</v>
      </c>
      <c r="Y75" s="4"/>
      <c r="Z75" s="97">
        <f>SUM(Z71:Z74)</f>
        <v>0</v>
      </c>
      <c r="AA75" s="4"/>
      <c r="AB75" s="97">
        <f>SUM(AB71:AB74)</f>
        <v>0</v>
      </c>
      <c r="AC75" s="4"/>
      <c r="AD75" s="97">
        <f>SUM(AD71:AD74)</f>
        <v>0</v>
      </c>
      <c r="AE75" s="4"/>
      <c r="AG75" s="4" t="str">
        <f>IF(SUM(AG71:AG74)=0,"",SUM(AG71:AG74))</f>
        <v/>
      </c>
      <c r="AJ75" s="45"/>
    </row>
    <row r="76" spans="2:36" ht="3.75" customHeight="1" x14ac:dyDescent="0.25">
      <c r="B76" s="48"/>
      <c r="C76" s="48"/>
      <c r="D76" s="48"/>
      <c r="AJ76" s="45"/>
    </row>
    <row r="77" spans="2:36" ht="15" customHeight="1" x14ac:dyDescent="0.25">
      <c r="B77" s="201" t="s">
        <v>207</v>
      </c>
      <c r="C77" s="208" t="s">
        <v>51</v>
      </c>
      <c r="D77" s="50" t="s">
        <v>36</v>
      </c>
      <c r="F77" s="98">
        <f>'YTD Revenue'!F17</f>
        <v>62</v>
      </c>
      <c r="G77" s="32"/>
      <c r="H77" s="98">
        <f>'YTD Revenue'!H17</f>
        <v>183.22</v>
      </c>
      <c r="I77" s="32"/>
      <c r="J77" s="98">
        <f>'YTD Revenue'!J17</f>
        <v>0</v>
      </c>
      <c r="K77" s="32"/>
      <c r="L77" s="98">
        <f>'YTD Revenue'!L17</f>
        <v>0</v>
      </c>
      <c r="M77" s="32"/>
      <c r="N77" s="98">
        <f>'YTD Revenue'!N17</f>
        <v>0</v>
      </c>
      <c r="O77" s="32"/>
      <c r="P77" s="98">
        <f>'YTD Revenue'!P17</f>
        <v>0</v>
      </c>
      <c r="Q77" s="32"/>
      <c r="R77" s="98">
        <f>'YTD Revenue'!R17</f>
        <v>0</v>
      </c>
      <c r="S77" s="32"/>
      <c r="T77" s="98">
        <f>'YTD Revenue'!T17</f>
        <v>0</v>
      </c>
      <c r="U77" s="32"/>
      <c r="V77" s="98">
        <f>'YTD Revenue'!V17</f>
        <v>0</v>
      </c>
      <c r="W77" s="32"/>
      <c r="X77" s="98">
        <f>'YTD Revenue'!X17</f>
        <v>0</v>
      </c>
      <c r="Y77" s="32"/>
      <c r="Z77" s="98">
        <f>'YTD Revenue'!Z17</f>
        <v>0</v>
      </c>
      <c r="AA77" s="32"/>
      <c r="AB77" s="98">
        <f>'YTD Revenue'!AB17</f>
        <v>0</v>
      </c>
      <c r="AC77" s="32"/>
      <c r="AD77" s="98">
        <f>'YTD Revenue'!AD17</f>
        <v>0</v>
      </c>
      <c r="AE77" s="32"/>
      <c r="AF77" s="33"/>
      <c r="AG77" s="31">
        <f>SUM(F77:AD77)</f>
        <v>245.22</v>
      </c>
      <c r="AH77" s="167"/>
    </row>
    <row r="78" spans="2:36" x14ac:dyDescent="0.25">
      <c r="B78" s="201"/>
      <c r="C78" s="208"/>
      <c r="D78" s="50" t="s">
        <v>25</v>
      </c>
      <c r="F78" s="99">
        <f>'YTD Revenue'!F18</f>
        <v>107.5</v>
      </c>
      <c r="G78" s="32"/>
      <c r="H78" s="99">
        <f>'YTD Revenue'!H18</f>
        <v>589.94000000000005</v>
      </c>
      <c r="I78" s="32"/>
      <c r="J78" s="99">
        <f>'YTD Revenue'!J18</f>
        <v>0</v>
      </c>
      <c r="K78" s="32"/>
      <c r="L78" s="99">
        <f>'YTD Revenue'!L18</f>
        <v>0</v>
      </c>
      <c r="M78" s="32"/>
      <c r="N78" s="99">
        <f>'YTD Revenue'!N18</f>
        <v>0</v>
      </c>
      <c r="O78" s="32"/>
      <c r="P78" s="99">
        <f>'YTD Revenue'!P18</f>
        <v>0</v>
      </c>
      <c r="Q78" s="32"/>
      <c r="R78" s="99">
        <f>'YTD Revenue'!R18</f>
        <v>0</v>
      </c>
      <c r="S78" s="32"/>
      <c r="T78" s="99">
        <f>'YTD Revenue'!T18</f>
        <v>0</v>
      </c>
      <c r="U78" s="32"/>
      <c r="V78" s="99">
        <f>'YTD Revenue'!V18</f>
        <v>0</v>
      </c>
      <c r="W78" s="32"/>
      <c r="X78" s="99">
        <f>'YTD Revenue'!X18</f>
        <v>0</v>
      </c>
      <c r="Y78" s="32"/>
      <c r="Z78" s="99">
        <f>'YTD Revenue'!Z18</f>
        <v>0</v>
      </c>
      <c r="AA78" s="32"/>
      <c r="AB78" s="99">
        <f>'YTD Revenue'!AB18</f>
        <v>0</v>
      </c>
      <c r="AC78" s="32"/>
      <c r="AD78" s="99">
        <f>'YTD Revenue'!AD18</f>
        <v>0</v>
      </c>
      <c r="AE78" s="32"/>
      <c r="AF78" s="33"/>
      <c r="AG78" s="34">
        <f>SUM(F78:AD78)</f>
        <v>697.44</v>
      </c>
      <c r="AH78" s="167"/>
    </row>
    <row r="79" spans="2:36" x14ac:dyDescent="0.25">
      <c r="B79" s="201"/>
      <c r="C79" s="208"/>
      <c r="D79" s="50" t="s">
        <v>35</v>
      </c>
      <c r="F79" s="100">
        <f>'YTD Revenue'!F19</f>
        <v>41</v>
      </c>
      <c r="G79" s="32"/>
      <c r="H79" s="100">
        <f>'YTD Revenue'!H19</f>
        <v>145.5</v>
      </c>
      <c r="I79" s="32"/>
      <c r="J79" s="100">
        <f>'YTD Revenue'!J19</f>
        <v>0</v>
      </c>
      <c r="K79" s="32"/>
      <c r="L79" s="100">
        <f>'YTD Revenue'!L19</f>
        <v>0</v>
      </c>
      <c r="M79" s="32"/>
      <c r="N79" s="100">
        <f>'YTD Revenue'!N19</f>
        <v>0</v>
      </c>
      <c r="O79" s="32"/>
      <c r="P79" s="100">
        <f>'YTD Revenue'!P19</f>
        <v>0</v>
      </c>
      <c r="Q79" s="32"/>
      <c r="R79" s="100">
        <f>'YTD Revenue'!R19</f>
        <v>0</v>
      </c>
      <c r="S79" s="32"/>
      <c r="T79" s="100">
        <f>'YTD Revenue'!T19</f>
        <v>0</v>
      </c>
      <c r="U79" s="32"/>
      <c r="V79" s="100">
        <f>'YTD Revenue'!V19</f>
        <v>0</v>
      </c>
      <c r="W79" s="32"/>
      <c r="X79" s="100">
        <f>'YTD Revenue'!X19</f>
        <v>0</v>
      </c>
      <c r="Y79" s="32"/>
      <c r="Z79" s="100">
        <f>'YTD Revenue'!Z19</f>
        <v>0</v>
      </c>
      <c r="AA79" s="32"/>
      <c r="AB79" s="100">
        <f>'YTD Revenue'!AB19</f>
        <v>0</v>
      </c>
      <c r="AC79" s="32"/>
      <c r="AD79" s="100">
        <f>'YTD Revenue'!AD19</f>
        <v>0</v>
      </c>
      <c r="AE79" s="32"/>
      <c r="AF79" s="33"/>
      <c r="AG79" s="32">
        <f>SUM(F79:AD79)</f>
        <v>186.5</v>
      </c>
      <c r="AH79" s="167"/>
    </row>
    <row r="80" spans="2:36" x14ac:dyDescent="0.25">
      <c r="B80" s="201"/>
      <c r="C80" s="208"/>
      <c r="D80" s="50" t="s">
        <v>24</v>
      </c>
      <c r="F80" s="101">
        <f>'YTD Revenue'!F20</f>
        <v>10</v>
      </c>
      <c r="G80" s="32"/>
      <c r="H80" s="101">
        <f>'YTD Revenue'!H20</f>
        <v>23</v>
      </c>
      <c r="I80" s="32"/>
      <c r="J80" s="101">
        <f>'YTD Revenue'!J20</f>
        <v>0</v>
      </c>
      <c r="K80" s="32"/>
      <c r="L80" s="101">
        <f>'YTD Revenue'!L20</f>
        <v>0</v>
      </c>
      <c r="M80" s="32"/>
      <c r="N80" s="101">
        <f>'YTD Revenue'!N20</f>
        <v>0</v>
      </c>
      <c r="O80" s="32"/>
      <c r="P80" s="101">
        <f>'YTD Revenue'!P20</f>
        <v>0</v>
      </c>
      <c r="Q80" s="32"/>
      <c r="R80" s="101">
        <f>'YTD Revenue'!R20</f>
        <v>0</v>
      </c>
      <c r="S80" s="32"/>
      <c r="T80" s="101">
        <f>'YTD Revenue'!T20</f>
        <v>0</v>
      </c>
      <c r="U80" s="32"/>
      <c r="V80" s="101">
        <f>'YTD Revenue'!V20</f>
        <v>0</v>
      </c>
      <c r="W80" s="32"/>
      <c r="X80" s="101">
        <f>'YTD Revenue'!X20</f>
        <v>0</v>
      </c>
      <c r="Y80" s="32"/>
      <c r="Z80" s="101">
        <f>'YTD Revenue'!Z20</f>
        <v>0</v>
      </c>
      <c r="AA80" s="32"/>
      <c r="AB80" s="101">
        <f>'YTD Revenue'!AB20</f>
        <v>0</v>
      </c>
      <c r="AC80" s="32"/>
      <c r="AD80" s="101">
        <f>'YTD Revenue'!AD20</f>
        <v>0</v>
      </c>
      <c r="AE80" s="32"/>
      <c r="AF80" s="33"/>
      <c r="AG80" s="35">
        <f>SUM(F80:AD80)</f>
        <v>33</v>
      </c>
      <c r="AH80" s="167"/>
    </row>
    <row r="81" spans="2:34" ht="15.75" x14ac:dyDescent="0.25">
      <c r="B81" s="201"/>
      <c r="C81" s="49"/>
      <c r="D81" s="51"/>
      <c r="F81" s="97">
        <f>SUM(F77:F80)</f>
        <v>220.5</v>
      </c>
      <c r="G81" s="4"/>
      <c r="H81" s="97">
        <f>SUM(H77:H80)</f>
        <v>941.66000000000008</v>
      </c>
      <c r="I81" s="4"/>
      <c r="J81" s="97">
        <f>SUM(J77:J80)</f>
        <v>0</v>
      </c>
      <c r="K81" s="4"/>
      <c r="L81" s="97">
        <f>SUM(L77:L80)</f>
        <v>0</v>
      </c>
      <c r="M81" s="4"/>
      <c r="N81" s="97">
        <f>SUM(N77:N80)</f>
        <v>0</v>
      </c>
      <c r="O81" s="4"/>
      <c r="P81" s="97">
        <f>SUM(P77:P80)</f>
        <v>0</v>
      </c>
      <c r="Q81" s="4"/>
      <c r="R81" s="97">
        <f>SUM(R77:R80)</f>
        <v>0</v>
      </c>
      <c r="S81" s="4"/>
      <c r="T81" s="97">
        <f>SUM(T77:T80)</f>
        <v>0</v>
      </c>
      <c r="U81" s="4"/>
      <c r="V81" s="97">
        <f>SUM(V77:V80)</f>
        <v>0</v>
      </c>
      <c r="W81" s="4"/>
      <c r="X81" s="97">
        <f>SUM(X77:X80)</f>
        <v>0</v>
      </c>
      <c r="Y81" s="4"/>
      <c r="Z81" s="97">
        <f>SUM(Z77:Z80)</f>
        <v>0</v>
      </c>
      <c r="AA81" s="4"/>
      <c r="AB81" s="97">
        <f>SUM(AB77:AB80)</f>
        <v>0</v>
      </c>
      <c r="AC81" s="4"/>
      <c r="AD81" s="97">
        <f>SUM(AD77:AD80)</f>
        <v>0</v>
      </c>
      <c r="AE81" s="4"/>
      <c r="AG81" s="4">
        <f>IF(SUM(AG77:AG80)=0,"",SUM(AG77:AG80))</f>
        <v>1162.1600000000001</v>
      </c>
      <c r="AH81" s="167"/>
    </row>
    <row r="82" spans="2:34" ht="3.75" customHeight="1" x14ac:dyDescent="0.25">
      <c r="B82" s="201"/>
      <c r="C82" s="47"/>
      <c r="D82" s="48"/>
      <c r="AH82" s="167"/>
    </row>
    <row r="83" spans="2:34" x14ac:dyDescent="0.25">
      <c r="B83" s="201"/>
      <c r="C83" s="208" t="s">
        <v>202</v>
      </c>
      <c r="D83" s="50" t="s">
        <v>36</v>
      </c>
      <c r="F83" s="98">
        <f>'YTD Revenue'!F55</f>
        <v>12653.600000000004</v>
      </c>
      <c r="G83" s="32"/>
      <c r="H83" s="98">
        <f>'YTD Revenue'!H55</f>
        <v>7292.4100000000008</v>
      </c>
      <c r="I83" s="32"/>
      <c r="J83" s="98">
        <f>'YTD Revenue'!J55</f>
        <v>0</v>
      </c>
      <c r="K83" s="32"/>
      <c r="L83" s="98">
        <f>'YTD Revenue'!L55</f>
        <v>0</v>
      </c>
      <c r="M83" s="32"/>
      <c r="N83" s="98">
        <f>'YTD Revenue'!N55</f>
        <v>0</v>
      </c>
      <c r="O83" s="32"/>
      <c r="P83" s="98">
        <f>'YTD Revenue'!P55</f>
        <v>0</v>
      </c>
      <c r="Q83" s="32"/>
      <c r="R83" s="98">
        <f>'YTD Revenue'!R55</f>
        <v>0</v>
      </c>
      <c r="S83" s="32"/>
      <c r="T83" s="98">
        <f>'YTD Revenue'!T55</f>
        <v>0</v>
      </c>
      <c r="U83" s="32"/>
      <c r="V83" s="98">
        <f>'YTD Revenue'!V55</f>
        <v>0</v>
      </c>
      <c r="W83" s="32"/>
      <c r="X83" s="98">
        <f>'YTD Revenue'!X55</f>
        <v>0</v>
      </c>
      <c r="Y83" s="32"/>
      <c r="Z83" s="98">
        <f>'YTD Revenue'!Z55</f>
        <v>0</v>
      </c>
      <c r="AA83" s="32"/>
      <c r="AB83" s="98">
        <f>'YTD Revenue'!AB55</f>
        <v>0</v>
      </c>
      <c r="AC83" s="32"/>
      <c r="AD83" s="98">
        <f>'YTD Revenue'!AD55</f>
        <v>0</v>
      </c>
      <c r="AE83" s="32"/>
      <c r="AF83" s="33"/>
      <c r="AG83" s="31">
        <f>SUM(F83:AD83)</f>
        <v>19946.010000000006</v>
      </c>
      <c r="AH83" s="167"/>
    </row>
    <row r="84" spans="2:34" x14ac:dyDescent="0.25">
      <c r="B84" s="201"/>
      <c r="C84" s="208"/>
      <c r="D84" s="50" t="s">
        <v>25</v>
      </c>
      <c r="F84" s="99">
        <f>'YTD Revenue'!F56</f>
        <v>7630.27</v>
      </c>
      <c r="G84" s="32"/>
      <c r="H84" s="99">
        <f>'YTD Revenue'!H56</f>
        <v>7508.1799999999985</v>
      </c>
      <c r="I84" s="32"/>
      <c r="J84" s="99">
        <f>'YTD Revenue'!J56</f>
        <v>0</v>
      </c>
      <c r="K84" s="32"/>
      <c r="L84" s="99">
        <f>'YTD Revenue'!L56</f>
        <v>0</v>
      </c>
      <c r="M84" s="32"/>
      <c r="N84" s="99">
        <f>'YTD Revenue'!N56</f>
        <v>0</v>
      </c>
      <c r="O84" s="32"/>
      <c r="P84" s="99">
        <f>'YTD Revenue'!P56</f>
        <v>0</v>
      </c>
      <c r="Q84" s="32"/>
      <c r="R84" s="99">
        <f>'YTD Revenue'!R56</f>
        <v>0</v>
      </c>
      <c r="S84" s="32"/>
      <c r="T84" s="99">
        <f>'YTD Revenue'!T56</f>
        <v>0</v>
      </c>
      <c r="U84" s="32"/>
      <c r="V84" s="99">
        <f>'YTD Revenue'!V56</f>
        <v>0</v>
      </c>
      <c r="W84" s="32"/>
      <c r="X84" s="99">
        <f>'YTD Revenue'!X56</f>
        <v>0</v>
      </c>
      <c r="Y84" s="32"/>
      <c r="Z84" s="99">
        <f>'YTD Revenue'!Z56</f>
        <v>0</v>
      </c>
      <c r="AA84" s="32"/>
      <c r="AB84" s="99">
        <f>'YTD Revenue'!AB56</f>
        <v>0</v>
      </c>
      <c r="AC84" s="32"/>
      <c r="AD84" s="99">
        <f>'YTD Revenue'!AD56</f>
        <v>0</v>
      </c>
      <c r="AE84" s="32"/>
      <c r="AF84" s="33"/>
      <c r="AG84" s="34">
        <f>SUM(F84:AD84)</f>
        <v>15138.449999999999</v>
      </c>
      <c r="AH84" s="167"/>
    </row>
    <row r="85" spans="2:34" x14ac:dyDescent="0.25">
      <c r="B85" s="201"/>
      <c r="C85" s="208"/>
      <c r="D85" s="50" t="s">
        <v>35</v>
      </c>
      <c r="F85" s="100">
        <f>'YTD Revenue'!F57</f>
        <v>6351.3600000000006</v>
      </c>
      <c r="G85" s="32"/>
      <c r="H85" s="100">
        <f>'YTD Revenue'!H57</f>
        <v>7804.7000000000007</v>
      </c>
      <c r="I85" s="32"/>
      <c r="J85" s="100">
        <f>'YTD Revenue'!J57</f>
        <v>0</v>
      </c>
      <c r="K85" s="32"/>
      <c r="L85" s="100">
        <f>'YTD Revenue'!L57</f>
        <v>0</v>
      </c>
      <c r="M85" s="32"/>
      <c r="N85" s="100">
        <f>'YTD Revenue'!N57</f>
        <v>0</v>
      </c>
      <c r="O85" s="32"/>
      <c r="P85" s="100">
        <f>'YTD Revenue'!P57</f>
        <v>0</v>
      </c>
      <c r="Q85" s="32"/>
      <c r="R85" s="100">
        <f>'YTD Revenue'!R57</f>
        <v>0</v>
      </c>
      <c r="S85" s="32"/>
      <c r="T85" s="100">
        <f>'YTD Revenue'!T57</f>
        <v>0</v>
      </c>
      <c r="U85" s="32"/>
      <c r="V85" s="100">
        <f>'YTD Revenue'!V57</f>
        <v>0</v>
      </c>
      <c r="W85" s="32"/>
      <c r="X85" s="100">
        <f>'YTD Revenue'!X57</f>
        <v>0</v>
      </c>
      <c r="Y85" s="32"/>
      <c r="Z85" s="100">
        <f>'YTD Revenue'!Z57</f>
        <v>0</v>
      </c>
      <c r="AA85" s="32"/>
      <c r="AB85" s="100">
        <f>'YTD Revenue'!AB57</f>
        <v>0</v>
      </c>
      <c r="AC85" s="32"/>
      <c r="AD85" s="100">
        <f>'YTD Revenue'!AD57</f>
        <v>0</v>
      </c>
      <c r="AE85" s="32"/>
      <c r="AF85" s="33"/>
      <c r="AG85" s="32">
        <f>SUM(F85:AD85)</f>
        <v>14156.060000000001</v>
      </c>
      <c r="AH85" s="167"/>
    </row>
    <row r="86" spans="2:34" x14ac:dyDescent="0.25">
      <c r="B86" s="201"/>
      <c r="C86" s="208"/>
      <c r="D86" s="50" t="s">
        <v>24</v>
      </c>
      <c r="F86" s="101">
        <f>'YTD Revenue'!F58</f>
        <v>816.16999999999462</v>
      </c>
      <c r="G86" s="32"/>
      <c r="H86" s="101">
        <f>'YTD Revenue'!H58</f>
        <v>809.85000000000582</v>
      </c>
      <c r="I86" s="32"/>
      <c r="J86" s="101">
        <f>'YTD Revenue'!J58</f>
        <v>0</v>
      </c>
      <c r="K86" s="32"/>
      <c r="L86" s="101">
        <f>'YTD Revenue'!L58</f>
        <v>0</v>
      </c>
      <c r="M86" s="32"/>
      <c r="N86" s="101">
        <f>'YTD Revenue'!N58</f>
        <v>0</v>
      </c>
      <c r="O86" s="32"/>
      <c r="P86" s="101">
        <f>'YTD Revenue'!P58</f>
        <v>0</v>
      </c>
      <c r="Q86" s="32"/>
      <c r="R86" s="101">
        <f>'YTD Revenue'!R58</f>
        <v>0</v>
      </c>
      <c r="S86" s="32"/>
      <c r="T86" s="101">
        <f>'YTD Revenue'!T58</f>
        <v>0</v>
      </c>
      <c r="U86" s="32"/>
      <c r="V86" s="101">
        <f>'YTD Revenue'!V58</f>
        <v>0</v>
      </c>
      <c r="W86" s="32"/>
      <c r="X86" s="101">
        <f>'YTD Revenue'!X58</f>
        <v>0</v>
      </c>
      <c r="Y86" s="32"/>
      <c r="Z86" s="101">
        <f>'YTD Revenue'!Z58</f>
        <v>0</v>
      </c>
      <c r="AA86" s="32"/>
      <c r="AB86" s="101">
        <f>'YTD Revenue'!AB58</f>
        <v>0</v>
      </c>
      <c r="AC86" s="32"/>
      <c r="AD86" s="101">
        <f>'YTD Revenue'!AD58</f>
        <v>0</v>
      </c>
      <c r="AE86" s="32"/>
      <c r="AF86" s="33"/>
      <c r="AG86" s="35">
        <f>SUM(F86:AD86)</f>
        <v>1626.0200000000004</v>
      </c>
      <c r="AH86" s="167"/>
    </row>
    <row r="87" spans="2:34" ht="15.75" x14ac:dyDescent="0.25">
      <c r="B87" s="201"/>
      <c r="C87" s="46"/>
      <c r="D87" s="51"/>
      <c r="F87" s="97">
        <f>SUM(F83:F86)</f>
        <v>27451.399999999998</v>
      </c>
      <c r="G87" s="4"/>
      <c r="H87" s="97">
        <f>SUM(H83:H86)</f>
        <v>23415.140000000007</v>
      </c>
      <c r="I87" s="4"/>
      <c r="J87" s="97">
        <f>SUM(J83:J86)</f>
        <v>0</v>
      </c>
      <c r="K87" s="4"/>
      <c r="L87" s="97">
        <f>SUM(L83:L86)</f>
        <v>0</v>
      </c>
      <c r="M87" s="4"/>
      <c r="N87" s="97">
        <f>SUM(N83:N86)</f>
        <v>0</v>
      </c>
      <c r="O87" s="4"/>
      <c r="P87" s="97">
        <f>SUM(P83:P86)</f>
        <v>0</v>
      </c>
      <c r="Q87" s="4"/>
      <c r="R87" s="97">
        <f>SUM(R83:R86)</f>
        <v>0</v>
      </c>
      <c r="S87" s="4"/>
      <c r="T87" s="97">
        <f>SUM(T83:T86)</f>
        <v>0</v>
      </c>
      <c r="U87" s="4"/>
      <c r="V87" s="97">
        <f>SUM(V83:V86)</f>
        <v>0</v>
      </c>
      <c r="W87" s="4"/>
      <c r="X87" s="97">
        <f>SUM(X83:X86)</f>
        <v>0</v>
      </c>
      <c r="Y87" s="4"/>
      <c r="Z87" s="97">
        <f>SUM(Z83:Z86)</f>
        <v>0</v>
      </c>
      <c r="AA87" s="4"/>
      <c r="AB87" s="97">
        <f>SUM(AB83:AB86)</f>
        <v>0</v>
      </c>
      <c r="AC87" s="4"/>
      <c r="AD87" s="97">
        <f>SUM(AD83:AD86)</f>
        <v>0</v>
      </c>
      <c r="AE87" s="4"/>
      <c r="AG87" s="4">
        <f>IF(SUM(AG83:AG86)=0,"",SUM(AG83:AG86))</f>
        <v>50866.540000000008</v>
      </c>
      <c r="AH87" s="167"/>
    </row>
    <row r="88" spans="2:34" ht="3.75" customHeight="1" x14ac:dyDescent="0.25">
      <c r="B88" s="201"/>
      <c r="C88" s="47"/>
      <c r="D88" s="48"/>
      <c r="AH88" s="167"/>
    </row>
    <row r="89" spans="2:34" x14ac:dyDescent="0.25">
      <c r="B89" s="201"/>
      <c r="C89" s="208" t="s">
        <v>2</v>
      </c>
      <c r="D89" s="50" t="s">
        <v>36</v>
      </c>
      <c r="F89" s="98">
        <f>'YTD Revenue'!F61</f>
        <v>101748.81</v>
      </c>
      <c r="G89" s="32"/>
      <c r="H89" s="98">
        <f>'YTD Revenue'!H61</f>
        <v>89558.59</v>
      </c>
      <c r="I89" s="32"/>
      <c r="J89" s="98">
        <f>'YTD Revenue'!J61</f>
        <v>0</v>
      </c>
      <c r="K89" s="32"/>
      <c r="L89" s="98">
        <f>'YTD Revenue'!L61</f>
        <v>0</v>
      </c>
      <c r="M89" s="32"/>
      <c r="N89" s="98">
        <f>'YTD Revenue'!N61</f>
        <v>0</v>
      </c>
      <c r="O89" s="32"/>
      <c r="P89" s="98">
        <f>'YTD Revenue'!P61</f>
        <v>0</v>
      </c>
      <c r="Q89" s="32"/>
      <c r="R89" s="98">
        <f>'YTD Revenue'!R61</f>
        <v>0</v>
      </c>
      <c r="S89" s="32"/>
      <c r="T89" s="98">
        <f>'YTD Revenue'!T61</f>
        <v>0</v>
      </c>
      <c r="U89" s="32"/>
      <c r="V89" s="98">
        <f>'YTD Revenue'!V61</f>
        <v>0</v>
      </c>
      <c r="W89" s="32"/>
      <c r="X89" s="98">
        <f>'YTD Revenue'!X61</f>
        <v>0</v>
      </c>
      <c r="Y89" s="32"/>
      <c r="Z89" s="98">
        <f>'YTD Revenue'!Z61</f>
        <v>0</v>
      </c>
      <c r="AA89" s="32"/>
      <c r="AB89" s="98">
        <f>'YTD Revenue'!AB61</f>
        <v>0</v>
      </c>
      <c r="AC89" s="32"/>
      <c r="AD89" s="98">
        <f>'YTD Revenue'!AD61</f>
        <v>0</v>
      </c>
      <c r="AE89" s="32"/>
      <c r="AF89" s="33"/>
      <c r="AG89" s="31">
        <f>SUM(F89:AD89)</f>
        <v>191307.4</v>
      </c>
      <c r="AH89" s="167"/>
    </row>
    <row r="90" spans="2:34" x14ac:dyDescent="0.25">
      <c r="B90" s="201"/>
      <c r="C90" s="208"/>
      <c r="D90" s="50" t="s">
        <v>25</v>
      </c>
      <c r="F90" s="99">
        <f>'YTD Revenue'!F62</f>
        <v>84313.782500000001</v>
      </c>
      <c r="G90" s="32"/>
      <c r="H90" s="99">
        <f>'YTD Revenue'!H62</f>
        <v>76216.22</v>
      </c>
      <c r="I90" s="32"/>
      <c r="J90" s="99">
        <f>'YTD Revenue'!J62</f>
        <v>0</v>
      </c>
      <c r="K90" s="32"/>
      <c r="L90" s="99">
        <f>'YTD Revenue'!L62</f>
        <v>0</v>
      </c>
      <c r="M90" s="32"/>
      <c r="N90" s="99">
        <f>'YTD Revenue'!N62</f>
        <v>0</v>
      </c>
      <c r="O90" s="32"/>
      <c r="P90" s="99">
        <f>'YTD Revenue'!P62</f>
        <v>0</v>
      </c>
      <c r="Q90" s="32"/>
      <c r="R90" s="99">
        <f>'YTD Revenue'!R62</f>
        <v>0</v>
      </c>
      <c r="S90" s="32"/>
      <c r="T90" s="99">
        <f>'YTD Revenue'!T62</f>
        <v>0</v>
      </c>
      <c r="U90" s="32"/>
      <c r="V90" s="99">
        <f>'YTD Revenue'!V62</f>
        <v>0</v>
      </c>
      <c r="W90" s="32"/>
      <c r="X90" s="99">
        <f>'YTD Revenue'!X62</f>
        <v>0</v>
      </c>
      <c r="Y90" s="32"/>
      <c r="Z90" s="99">
        <f>'YTD Revenue'!Z62</f>
        <v>0</v>
      </c>
      <c r="AA90" s="32"/>
      <c r="AB90" s="99">
        <f>'YTD Revenue'!AB62</f>
        <v>0</v>
      </c>
      <c r="AC90" s="32"/>
      <c r="AD90" s="99">
        <f>'YTD Revenue'!AD62</f>
        <v>0</v>
      </c>
      <c r="AE90" s="32"/>
      <c r="AF90" s="33"/>
      <c r="AG90" s="34">
        <f>SUM(F90:AD90)</f>
        <v>160530.0025</v>
      </c>
      <c r="AH90" s="167"/>
    </row>
    <row r="91" spans="2:34" x14ac:dyDescent="0.25">
      <c r="B91" s="201"/>
      <c r="C91" s="208"/>
      <c r="D91" s="50" t="s">
        <v>35</v>
      </c>
      <c r="F91" s="100">
        <f>'YTD Revenue'!F63</f>
        <v>81179.75</v>
      </c>
      <c r="G91" s="32"/>
      <c r="H91" s="100">
        <f>'YTD Revenue'!H63</f>
        <v>80890.64</v>
      </c>
      <c r="I91" s="32"/>
      <c r="J91" s="100">
        <f>'YTD Revenue'!J63</f>
        <v>0</v>
      </c>
      <c r="K91" s="32"/>
      <c r="L91" s="100">
        <f>'YTD Revenue'!L63</f>
        <v>0</v>
      </c>
      <c r="M91" s="32"/>
      <c r="N91" s="100">
        <f>'YTD Revenue'!N63</f>
        <v>0</v>
      </c>
      <c r="O91" s="32"/>
      <c r="P91" s="100">
        <f>'YTD Revenue'!P63</f>
        <v>0</v>
      </c>
      <c r="Q91" s="32"/>
      <c r="R91" s="100">
        <f>'YTD Revenue'!R63</f>
        <v>0</v>
      </c>
      <c r="S91" s="32"/>
      <c r="T91" s="100">
        <f>'YTD Revenue'!T63</f>
        <v>0</v>
      </c>
      <c r="U91" s="32"/>
      <c r="V91" s="100">
        <f>'YTD Revenue'!V63</f>
        <v>0</v>
      </c>
      <c r="W91" s="32"/>
      <c r="X91" s="100">
        <f>'YTD Revenue'!X63</f>
        <v>0</v>
      </c>
      <c r="Y91" s="32"/>
      <c r="Z91" s="100">
        <f>'YTD Revenue'!Z63</f>
        <v>0</v>
      </c>
      <c r="AA91" s="32"/>
      <c r="AB91" s="100">
        <f>'YTD Revenue'!AB63</f>
        <v>0</v>
      </c>
      <c r="AC91" s="32"/>
      <c r="AD91" s="100">
        <f>'YTD Revenue'!AD63</f>
        <v>0</v>
      </c>
      <c r="AE91" s="32"/>
      <c r="AF91" s="33"/>
      <c r="AG91" s="32">
        <f>SUM(F91:AD91)</f>
        <v>162070.39000000001</v>
      </c>
      <c r="AH91" s="167"/>
    </row>
    <row r="92" spans="2:34" x14ac:dyDescent="0.25">
      <c r="B92" s="201"/>
      <c r="C92" s="208"/>
      <c r="D92" s="50" t="s">
        <v>24</v>
      </c>
      <c r="F92" s="101">
        <f>'YTD Revenue'!F64</f>
        <v>15854.189999999944</v>
      </c>
      <c r="G92" s="32"/>
      <c r="H92" s="101">
        <f>'YTD Revenue'!H64</f>
        <v>16603.929999999935</v>
      </c>
      <c r="I92" s="32"/>
      <c r="J92" s="101">
        <f>'YTD Revenue'!J64</f>
        <v>0</v>
      </c>
      <c r="K92" s="32"/>
      <c r="L92" s="101">
        <f>'YTD Revenue'!L64</f>
        <v>0</v>
      </c>
      <c r="M92" s="32"/>
      <c r="N92" s="101">
        <f>'YTD Revenue'!N64</f>
        <v>0</v>
      </c>
      <c r="O92" s="32"/>
      <c r="P92" s="101">
        <f>'YTD Revenue'!P64</f>
        <v>0</v>
      </c>
      <c r="Q92" s="32"/>
      <c r="R92" s="101">
        <f>'YTD Revenue'!R64</f>
        <v>0</v>
      </c>
      <c r="S92" s="32"/>
      <c r="T92" s="101">
        <f>'YTD Revenue'!T64</f>
        <v>0</v>
      </c>
      <c r="U92" s="32"/>
      <c r="V92" s="101">
        <f>'YTD Revenue'!V64</f>
        <v>0</v>
      </c>
      <c r="W92" s="32"/>
      <c r="X92" s="101">
        <f>'YTD Revenue'!X64</f>
        <v>0</v>
      </c>
      <c r="Y92" s="32"/>
      <c r="Z92" s="101">
        <f>'YTD Revenue'!Z64</f>
        <v>0</v>
      </c>
      <c r="AA92" s="32"/>
      <c r="AB92" s="101">
        <f>'YTD Revenue'!AB64</f>
        <v>0</v>
      </c>
      <c r="AC92" s="32"/>
      <c r="AD92" s="101">
        <f>'YTD Revenue'!AD64</f>
        <v>0</v>
      </c>
      <c r="AE92" s="32"/>
      <c r="AF92" s="33"/>
      <c r="AG92" s="35">
        <f>SUM(F92:AD92)</f>
        <v>32458.119999999879</v>
      </c>
      <c r="AH92" s="167"/>
    </row>
    <row r="93" spans="2:34" ht="15.75" x14ac:dyDescent="0.25">
      <c r="C93" s="30"/>
      <c r="D93" s="10"/>
      <c r="F93" s="97">
        <f>SUM(F89:F92)</f>
        <v>283096.53249999997</v>
      </c>
      <c r="G93" s="4"/>
      <c r="H93" s="97">
        <f>SUM(H89:H92)</f>
        <v>263269.37999999995</v>
      </c>
      <c r="I93" s="4"/>
      <c r="J93" s="97">
        <f>SUM(J89:J92)</f>
        <v>0</v>
      </c>
      <c r="K93" s="4"/>
      <c r="L93" s="97">
        <f>SUM(L89:L92)</f>
        <v>0</v>
      </c>
      <c r="M93" s="4"/>
      <c r="N93" s="97">
        <f>SUM(N89:N92)</f>
        <v>0</v>
      </c>
      <c r="O93" s="4"/>
      <c r="P93" s="97">
        <f>SUM(P89:P92)</f>
        <v>0</v>
      </c>
      <c r="Q93" s="4"/>
      <c r="R93" s="97">
        <f>SUM(R89:R92)</f>
        <v>0</v>
      </c>
      <c r="S93" s="4"/>
      <c r="T93" s="97">
        <f>SUM(T89:T92)</f>
        <v>0</v>
      </c>
      <c r="U93" s="4"/>
      <c r="V93" s="97">
        <f>SUM(V89:V92)</f>
        <v>0</v>
      </c>
      <c r="W93" s="4"/>
      <c r="X93" s="97">
        <f>SUM(X89:X92)</f>
        <v>0</v>
      </c>
      <c r="Y93" s="4"/>
      <c r="Z93" s="97">
        <f>SUM(Z89:Z92)</f>
        <v>0</v>
      </c>
      <c r="AA93" s="4"/>
      <c r="AB93" s="97">
        <f>SUM(AB89:AB92)</f>
        <v>0</v>
      </c>
      <c r="AC93" s="4"/>
      <c r="AD93" s="97">
        <f>SUM(AD89:AD92)</f>
        <v>0</v>
      </c>
      <c r="AE93" s="4"/>
      <c r="AG93" s="4">
        <f>IF(SUM(AG89:AG92)=0,"",SUM(AG89:AG92))</f>
        <v>546365.91249999986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4" t="str">
        <f>IF(OR(AND(COUNTA(F35:F38)&gt;0,F39&lt;&gt;F81),AND(COUNTA(F41:F44)&gt;0,F45&lt;&gt;F87),AND(COUNTA(F47:F50)&gt;0,F51&lt;&gt;F93),AND(COUNTA(F17:F20,F23:F26,F29:F32)&gt;0,F15+F27-F33-F21&lt;&gt;F81+F87)),"Needed","")</f>
        <v>Needed</v>
      </c>
      <c r="H98" s="54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4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4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4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4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4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4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4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4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4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4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4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objects="1" scenarios="1" selectLockedCells="1"/>
  <mergeCells count="20"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</mergeCells>
  <conditionalFormatting sqref="F5">
    <cfRule type="cellIs" dxfId="134" priority="633" operator="equal">
      <formula>"Preliminary"</formula>
    </cfRule>
  </conditionalFormatting>
  <conditionalFormatting sqref="H5">
    <cfRule type="cellIs" dxfId="133" priority="632" operator="equal">
      <formula>"Preliminary"</formula>
    </cfRule>
  </conditionalFormatting>
  <conditionalFormatting sqref="J5">
    <cfRule type="cellIs" dxfId="132" priority="631" operator="equal">
      <formula>"Preliminary"</formula>
    </cfRule>
  </conditionalFormatting>
  <conditionalFormatting sqref="L5">
    <cfRule type="cellIs" dxfId="131" priority="630" operator="equal">
      <formula>"Preliminary"</formula>
    </cfRule>
  </conditionalFormatting>
  <conditionalFormatting sqref="AD5">
    <cfRule type="cellIs" dxfId="130" priority="621" operator="equal">
      <formula>"Preliminary"</formula>
    </cfRule>
  </conditionalFormatting>
  <conditionalFormatting sqref="N5">
    <cfRule type="cellIs" dxfId="129" priority="629" operator="equal">
      <formula>"Preliminary"</formula>
    </cfRule>
  </conditionalFormatting>
  <conditionalFormatting sqref="P5">
    <cfRule type="cellIs" dxfId="128" priority="628" operator="equal">
      <formula>"Preliminary"</formula>
    </cfRule>
  </conditionalFormatting>
  <conditionalFormatting sqref="R5">
    <cfRule type="cellIs" dxfId="127" priority="627" operator="equal">
      <formula>"Preliminary"</formula>
    </cfRule>
  </conditionalFormatting>
  <conditionalFormatting sqref="T5">
    <cfRule type="cellIs" dxfId="126" priority="626" operator="equal">
      <formula>"Preliminary"</formula>
    </cfRule>
  </conditionalFormatting>
  <conditionalFormatting sqref="V5">
    <cfRule type="cellIs" dxfId="125" priority="625" operator="equal">
      <formula>"Preliminary"</formula>
    </cfRule>
  </conditionalFormatting>
  <conditionalFormatting sqref="X5">
    <cfRule type="cellIs" dxfId="124" priority="624" operator="equal">
      <formula>"Preliminary"</formula>
    </cfRule>
  </conditionalFormatting>
  <conditionalFormatting sqref="Z5">
    <cfRule type="cellIs" dxfId="123" priority="623" operator="equal">
      <formula>"Preliminary"</formula>
    </cfRule>
  </conditionalFormatting>
  <conditionalFormatting sqref="AB5">
    <cfRule type="cellIs" dxfId="122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121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90" r:id="rId4" name="AdjustButton13">
          <controlPr defaultSize="0" print="0" autoLine="0" r:id="rId5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4" name="AdjustButton13"/>
      </mc:Fallback>
    </mc:AlternateContent>
    <mc:AlternateContent xmlns:mc="http://schemas.openxmlformats.org/markup-compatibility/2006">
      <mc:Choice Requires="x14">
        <control shapeId="7188" r:id="rId6" name="AdjustButton12">
          <controlPr defaultSize="0" print="0" autoLine="0" r:id="rId7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6" name="AdjustButton12"/>
      </mc:Fallback>
    </mc:AlternateContent>
    <mc:AlternateContent xmlns:mc="http://schemas.openxmlformats.org/markup-compatibility/2006">
      <mc:Choice Requires="x14">
        <control shapeId="7186" r:id="rId8" name="AdjustButton11">
          <controlPr defaultSize="0" print="0" autoLine="0" r:id="rId9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8" name="AdjustButton11"/>
      </mc:Fallback>
    </mc:AlternateContent>
    <mc:AlternateContent xmlns:mc="http://schemas.openxmlformats.org/markup-compatibility/2006">
      <mc:Choice Requires="x14">
        <control shapeId="7185" r:id="rId10" name="AdjustButton10">
          <controlPr defaultSize="0" print="0" autoLine="0" r:id="rId11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10" name="AdjustButton10"/>
      </mc:Fallback>
    </mc:AlternateContent>
    <mc:AlternateContent xmlns:mc="http://schemas.openxmlformats.org/markup-compatibility/2006">
      <mc:Choice Requires="x14">
        <control shapeId="7184" r:id="rId12" name="AdjustButton9">
          <controlPr defaultSize="0" print="0" autoLine="0" r:id="rId1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12" name="AdjustButton9"/>
      </mc:Fallback>
    </mc:AlternateContent>
    <mc:AlternateContent xmlns:mc="http://schemas.openxmlformats.org/markup-compatibility/2006">
      <mc:Choice Requires="x14">
        <control shapeId="7183" r:id="rId14" name="AdjustButton8">
          <controlPr defaultSize="0" print="0" autoLine="0" r:id="rId15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14" name="AdjustButton8"/>
      </mc:Fallback>
    </mc:AlternateContent>
    <mc:AlternateContent xmlns:mc="http://schemas.openxmlformats.org/markup-compatibility/2006">
      <mc:Choice Requires="x14">
        <control shapeId="7182" r:id="rId16" name="AdjustButton7">
          <controlPr defaultSize="0" print="0" autoLine="0" r:id="rId17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6" name="AdjustButton7"/>
      </mc:Fallback>
    </mc:AlternateContent>
    <mc:AlternateContent xmlns:mc="http://schemas.openxmlformats.org/markup-compatibility/2006">
      <mc:Choice Requires="x14">
        <control shapeId="7181" r:id="rId18" name="AdjustButton6">
          <controlPr defaultSize="0" print="0" autoLine="0" r:id="rId19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8" name="AdjustButton6"/>
      </mc:Fallback>
    </mc:AlternateContent>
    <mc:AlternateContent xmlns:mc="http://schemas.openxmlformats.org/markup-compatibility/2006">
      <mc:Choice Requires="x14">
        <control shapeId="7180" r:id="rId20" name="AdjustButton5">
          <controlPr defaultSize="0" print="0" autoLine="0" r:id="rId21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20" name="AdjustButton5"/>
      </mc:Fallback>
    </mc:AlternateContent>
    <mc:AlternateContent xmlns:mc="http://schemas.openxmlformats.org/markup-compatibility/2006">
      <mc:Choice Requires="x14">
        <control shapeId="7178" r:id="rId22" name="AdjustButton4">
          <controlPr defaultSize="0" print="0" autoLine="0" r:id="rId2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22" name="AdjustButton4"/>
      </mc:Fallback>
    </mc:AlternateContent>
    <mc:AlternateContent xmlns:mc="http://schemas.openxmlformats.org/markup-compatibility/2006">
      <mc:Choice Requires="x14">
        <control shapeId="7176" r:id="rId24" name="AdjustButton3">
          <controlPr defaultSize="0" print="0" autoLine="0" r:id="rId25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24" name="AdjustButton3"/>
      </mc:Fallback>
    </mc:AlternateContent>
    <mc:AlternateContent xmlns:mc="http://schemas.openxmlformats.org/markup-compatibility/2006">
      <mc:Choice Requires="x14">
        <control shapeId="7175" r:id="rId26" name="AdjustButton2">
          <controlPr defaultSize="0" print="0" autoLine="0" r:id="rId27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26" name="AdjustButton2"/>
      </mc:Fallback>
    </mc:AlternateContent>
    <mc:AlternateContent xmlns:mc="http://schemas.openxmlformats.org/markup-compatibility/2006">
      <mc:Choice Requires="x14">
        <control shapeId="7174" r:id="rId28" name="AdjustButton1">
          <controlPr defaultSize="0" print="0" autoLine="0" r:id="rId29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28" name="AdjustButton1"/>
      </mc:Fallback>
    </mc:AlternateContent>
    <mc:AlternateContent xmlns:mc="http://schemas.openxmlformats.org/markup-compatibility/2006">
      <mc:Choice Requires="x14">
        <control shapeId="7171" r:id="rId30" name="NewFileButton">
          <controlPr defaultSize="0" print="0" autoLine="0" r:id="rId31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30" name="NewFil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Revenue'!C1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1" t="str">
        <f>Transactions!U1</f>
        <v/>
      </c>
      <c r="S1" s="211"/>
    </row>
    <row r="2" spans="2:19" ht="15.75" x14ac:dyDescent="0.25">
      <c r="C2" s="1" t="s">
        <v>191</v>
      </c>
      <c r="N2" s="10" t="str">
        <f>"To:  " &amp; TEXT(SUBTOTAL(104,CustomerData[To]),"mmmm dd, yyyy")</f>
        <v>To:  February 28, 2022</v>
      </c>
      <c r="R2" s="211"/>
      <c r="S2" s="211"/>
    </row>
    <row r="3" spans="2:19" x14ac:dyDescent="0.25">
      <c r="C3" s="64">
        <f>Transactions!$B$3</f>
        <v>44887.394606481481</v>
      </c>
      <c r="D3" s="120"/>
      <c r="E3" s="120"/>
      <c r="F3" s="64"/>
      <c r="G3" s="43"/>
      <c r="H3" s="43"/>
      <c r="I3" s="43"/>
      <c r="J3" s="43"/>
      <c r="K3" s="43"/>
      <c r="L3" s="43"/>
      <c r="M3" s="43"/>
      <c r="N3" s="79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64"/>
      <c r="C4" s="64"/>
      <c r="D4" s="64"/>
      <c r="E4" s="64"/>
      <c r="F4" s="64"/>
      <c r="G4" s="43"/>
      <c r="H4" s="43"/>
      <c r="I4" s="43"/>
      <c r="J4" s="43"/>
      <c r="K4" s="43"/>
      <c r="L4" s="43"/>
      <c r="M4" s="43"/>
      <c r="N4" s="79"/>
    </row>
    <row r="5" spans="2:19" x14ac:dyDescent="0.25">
      <c r="C5" s="63" t="str">
        <f>IF(N3="(Filtered)","Subtotals:","Totals:")</f>
        <v>Totals:</v>
      </c>
      <c r="D5" s="63"/>
      <c r="J5" s="86">
        <f>SUBTOTAL(109,CustomerData[Events])</f>
        <v>107</v>
      </c>
      <c r="K5" s="86">
        <f>SUBTOTAL(109,CustomerData[Bars])</f>
        <v>269</v>
      </c>
      <c r="L5" s="83">
        <f>SUBTOTAL(109,CustomerData[Hotel])</f>
        <v>7448</v>
      </c>
      <c r="M5" s="83">
        <f>SUBTOTAL(109,CustomerData[EPO])</f>
        <v>13134.92</v>
      </c>
      <c r="N5" s="83">
        <f>SUBTOTAL(109,CustomerData[Group])</f>
        <v>572569.91249999998</v>
      </c>
      <c r="O5" s="84"/>
      <c r="P5" s="85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110</v>
      </c>
      <c r="C7" s="11" t="s">
        <v>18</v>
      </c>
      <c r="D7" s="11" t="s">
        <v>121</v>
      </c>
      <c r="E7" s="5" t="s">
        <v>26</v>
      </c>
      <c r="F7" s="5" t="s">
        <v>27</v>
      </c>
      <c r="G7" s="5" t="s">
        <v>83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14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>Y</v>
      </c>
      <c r="H8" s="153">
        <f>_xlfn.MINIFS(MainData[Date],MainData[GroupID],CustomerData[[#This Row],[GroupID]])</f>
        <v>44599</v>
      </c>
      <c r="I8" s="153">
        <f>_xlfn.MAXIFS(MainData[Date],MainData[GroupID],CustomerData[[#This Row],[GroupID]])</f>
        <v>44599</v>
      </c>
      <c r="J8" s="152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28">
        <f>SUMIFS(MainData[ExtendedPrice],MainData[GroupID],CustomerData[[#This Row],[GroupID]],MainData[Billable?],"Y",MainData[BillTo],"Hotel")</f>
        <v>0</v>
      </c>
      <c r="M8" s="128">
        <f>SUMIFS(MainData[ExtendedPrice],MainData[GroupID],CustomerData[[#This Row],[GroupID]],MainData[Billable?],"Y",MainData[BillTo],"EPO")</f>
        <v>0</v>
      </c>
      <c r="N8" s="128">
        <f>SUMIFS(MainData[ExtendedPrice],MainData[GroupID],CustomerData[[#This Row],[GroupID]],MainData[Billable?],"Y",MainData[BillTo],"Group")</f>
        <v>515.5</v>
      </c>
    </row>
    <row r="9" spans="2:19" x14ac:dyDescent="0.25">
      <c r="B9" s="114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53">
        <f>_xlfn.MINIFS(MainData[Date],MainData[GroupID],CustomerData[[#This Row],[GroupID]])</f>
        <v>44598</v>
      </c>
      <c r="I9" s="153">
        <f>_xlfn.MAXIFS(MainData[Date],MainData[GroupID],CustomerData[[#This Row],[GroupID]])</f>
        <v>44598</v>
      </c>
      <c r="J9" s="152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28">
        <f>SUMIFS(MainData[ExtendedPrice],MainData[GroupID],CustomerData[[#This Row],[GroupID]],MainData[Billable?],"Y",MainData[BillTo],"Hotel")</f>
        <v>0</v>
      </c>
      <c r="M9" s="128">
        <f>SUMIFS(MainData[ExtendedPrice],MainData[GroupID],CustomerData[[#This Row],[GroupID]],MainData[Billable?],"Y",MainData[BillTo],"EPO")</f>
        <v>102.84</v>
      </c>
      <c r="N9" s="128">
        <f>SUMIFS(MainData[ExtendedPrice],MainData[GroupID],CustomerData[[#This Row],[GroupID]],MainData[Billable?],"Y",MainData[BillTo],"Group")</f>
        <v>100</v>
      </c>
    </row>
    <row r="10" spans="2:19" x14ac:dyDescent="0.25">
      <c r="B10" s="114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53">
        <f>_xlfn.MINIFS(MainData[Date],MainData[GroupID],CustomerData[[#This Row],[GroupID]])</f>
        <v>44605</v>
      </c>
      <c r="I10" s="153">
        <f>_xlfn.MAXIFS(MainData[Date],MainData[GroupID],CustomerData[[#This Row],[GroupID]])</f>
        <v>44605</v>
      </c>
      <c r="J10" s="152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28">
        <f>SUMIFS(MainData[ExtendedPrice],MainData[GroupID],CustomerData[[#This Row],[GroupID]],MainData[Billable?],"Y",MainData[BillTo],"Hotel")</f>
        <v>0</v>
      </c>
      <c r="M10" s="128">
        <f>SUMIFS(MainData[ExtendedPrice],MainData[GroupID],CustomerData[[#This Row],[GroupID]],MainData[Billable?],"Y",MainData[BillTo],"EPO")</f>
        <v>0</v>
      </c>
      <c r="N10" s="128">
        <f>SUMIFS(MainData[ExtendedPrice],MainData[GroupID],CustomerData[[#This Row],[GroupID]],MainData[Billable?],"Y",MainData[BillTo],"Group")</f>
        <v>1648</v>
      </c>
    </row>
    <row r="11" spans="2:19" x14ac:dyDescent="0.25">
      <c r="B11" s="114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53">
        <f>_xlfn.MINIFS(MainData[Date],MainData[GroupID],CustomerData[[#This Row],[GroupID]])</f>
        <v>44594</v>
      </c>
      <c r="I11" s="153">
        <f>_xlfn.MAXIFS(MainData[Date],MainData[GroupID],CustomerData[[#This Row],[GroupID]])</f>
        <v>44596</v>
      </c>
      <c r="J11" s="152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28">
        <f>SUMIFS(MainData[ExtendedPrice],MainData[GroupID],CustomerData[[#This Row],[GroupID]],MainData[Billable?],"Y",MainData[BillTo],"Hotel")</f>
        <v>2165</v>
      </c>
      <c r="M11" s="128">
        <f>SUMIFS(MainData[ExtendedPrice],MainData[GroupID],CustomerData[[#This Row],[GroupID]],MainData[Billable?],"Y",MainData[BillTo],"EPO")</f>
        <v>0</v>
      </c>
      <c r="N11" s="128">
        <f>SUMIFS(MainData[ExtendedPrice],MainData[GroupID],CustomerData[[#This Row],[GroupID]],MainData[Billable?],"Y",MainData[BillTo],"Group")</f>
        <v>4306</v>
      </c>
    </row>
    <row r="12" spans="2:19" x14ac:dyDescent="0.25">
      <c r="B12" s="114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John Jigsaw Kramer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53">
        <f>_xlfn.MINIFS(MainData[Date],MainData[GroupID],CustomerData[[#This Row],[GroupID]])</f>
        <v>44603</v>
      </c>
      <c r="I12" s="153">
        <f>_xlfn.MAXIFS(MainData[Date],MainData[GroupID],CustomerData[[#This Row],[GroupID]])</f>
        <v>44603</v>
      </c>
      <c r="J12" s="152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28">
        <f>SUMIFS(MainData[ExtendedPrice],MainData[GroupID],CustomerData[[#This Row],[GroupID]],MainData[Billable?],"Y",MainData[BillTo],"Hotel")</f>
        <v>0</v>
      </c>
      <c r="M12" s="128">
        <f>SUMIFS(MainData[ExtendedPrice],MainData[GroupID],CustomerData[[#This Row],[GroupID]],MainData[Billable?],"Y",MainData[BillTo],"EPO")</f>
        <v>9.5500000000000007</v>
      </c>
      <c r="N12" s="128">
        <f>SUMIFS(MainData[ExtendedPrice],MainData[GroupID],CustomerData[[#This Row],[GroupID]],MainData[Billable?],"Y",MainData[BillTo],"Group")</f>
        <v>1521</v>
      </c>
    </row>
    <row r="13" spans="2:19" x14ac:dyDescent="0.25">
      <c r="B13" s="114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Jethro Bodine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53">
        <f>_xlfn.MINIFS(MainData[Date],MainData[GroupID],CustomerData[[#This Row],[GroupID]])</f>
        <v>44587</v>
      </c>
      <c r="I13" s="153">
        <f>_xlfn.MAXIFS(MainData[Date],MainData[GroupID],CustomerData[[#This Row],[GroupID]])</f>
        <v>44591</v>
      </c>
      <c r="J13" s="152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28">
        <f>SUMIFS(MainData[ExtendedPrice],MainData[GroupID],CustomerData[[#This Row],[GroupID]],MainData[Billable?],"Y",MainData[BillTo],"Hotel")</f>
        <v>0</v>
      </c>
      <c r="M13" s="128">
        <f>SUMIFS(MainData[ExtendedPrice],MainData[GroupID],CustomerData[[#This Row],[GroupID]],MainData[Billable?],"Y",MainData[BillTo],"EPO")</f>
        <v>0</v>
      </c>
      <c r="N13" s="128">
        <f>SUMIFS(MainData[ExtendedPrice],MainData[GroupID],CustomerData[[#This Row],[GroupID]],MainData[Billable?],"Y",MainData[BillTo],"Group")</f>
        <v>33510.75</v>
      </c>
    </row>
    <row r="14" spans="2:19" x14ac:dyDescent="0.25">
      <c r="B14" s="114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53">
        <f>_xlfn.MINIFS(MainData[Date],MainData[GroupID],CustomerData[[#This Row],[GroupID]])</f>
        <v>44566</v>
      </c>
      <c r="I14" s="153">
        <f>_xlfn.MAXIFS(MainData[Date],MainData[GroupID],CustomerData[[#This Row],[GroupID]])</f>
        <v>44567</v>
      </c>
      <c r="J14" s="152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28">
        <f>SUMIFS(MainData[ExtendedPrice],MainData[GroupID],CustomerData[[#This Row],[GroupID]],MainData[Billable?],"Y",MainData[BillTo],"Hotel")</f>
        <v>0</v>
      </c>
      <c r="M14" s="128">
        <f>SUMIFS(MainData[ExtendedPrice],MainData[GroupID],CustomerData[[#This Row],[GroupID]],MainData[Billable?],"Y",MainData[BillTo],"EPO")</f>
        <v>0</v>
      </c>
      <c r="N14" s="128">
        <f>SUMIFS(MainData[ExtendedPrice],MainData[GroupID],CustomerData[[#This Row],[GroupID]],MainData[Billable?],"Y",MainData[BillTo],"Group")</f>
        <v>51204.352499999994</v>
      </c>
    </row>
    <row r="15" spans="2:19" x14ac:dyDescent="0.25">
      <c r="B15" s="114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53">
        <f>_xlfn.MINIFS(MainData[Date],MainData[GroupID],CustomerData[[#This Row],[GroupID]])</f>
        <v>44599</v>
      </c>
      <c r="I15" s="153">
        <f>_xlfn.MAXIFS(MainData[Date],MainData[GroupID],CustomerData[[#This Row],[GroupID]])</f>
        <v>44599</v>
      </c>
      <c r="J15" s="152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28">
        <f>SUMIFS(MainData[ExtendedPrice],MainData[GroupID],CustomerData[[#This Row],[GroupID]],MainData[Billable?],"Y",MainData[BillTo],"Hotel")</f>
        <v>0</v>
      </c>
      <c r="M15" s="128">
        <f>SUMIFS(MainData[ExtendedPrice],MainData[GroupID],CustomerData[[#This Row],[GroupID]],MainData[Billable?],"Y",MainData[BillTo],"EPO")</f>
        <v>0</v>
      </c>
      <c r="N15" s="128">
        <f>SUMIFS(MainData[ExtendedPrice],MainData[GroupID],CustomerData[[#This Row],[GroupID]],MainData[Billable?],"Y",MainData[BillTo],"Group")</f>
        <v>388</v>
      </c>
    </row>
    <row r="16" spans="2:19" x14ac:dyDescent="0.25">
      <c r="B16" s="114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Kelly Kapoor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53">
        <f>_xlfn.MINIFS(MainData[Date],MainData[GroupID],CustomerData[[#This Row],[GroupID]])</f>
        <v>44603</v>
      </c>
      <c r="I16" s="153">
        <f>_xlfn.MAXIFS(MainData[Date],MainData[GroupID],CustomerData[[#This Row],[GroupID]])</f>
        <v>44603</v>
      </c>
      <c r="J16" s="152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28">
        <f>SUMIFS(MainData[ExtendedPrice],MainData[GroupID],CustomerData[[#This Row],[GroupID]],MainData[Billable?],"Y",MainData[BillTo],"Hotel")</f>
        <v>0</v>
      </c>
      <c r="M16" s="128">
        <f>SUMIFS(MainData[ExtendedPrice],MainData[GroupID],CustomerData[[#This Row],[GroupID]],MainData[Billable?],"Y",MainData[BillTo],"EPO")</f>
        <v>0</v>
      </c>
      <c r="N16" s="128">
        <f>SUMIFS(MainData[ExtendedPrice],MainData[GroupID],CustomerData[[#This Row],[GroupID]],MainData[Billable?],"Y",MainData[BillTo],"Group")</f>
        <v>3794</v>
      </c>
    </row>
    <row r="17" spans="2:14" x14ac:dyDescent="0.25">
      <c r="B17" s="114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N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Mary Shelley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53">
        <f>_xlfn.MINIFS(MainData[Date],MainData[GroupID],CustomerData[[#This Row],[GroupID]])</f>
        <v>44597</v>
      </c>
      <c r="I17" s="153">
        <f>_xlfn.MAXIFS(MainData[Date],MainData[GroupID],CustomerData[[#This Row],[GroupID]])</f>
        <v>44597</v>
      </c>
      <c r="J17" s="152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28">
        <f>SUMIFS(MainData[ExtendedPrice],MainData[GroupID],CustomerData[[#This Row],[GroupID]],MainData[Billable?],"Y",MainData[BillTo],"Hotel")</f>
        <v>0</v>
      </c>
      <c r="M17" s="128">
        <f>SUMIFS(MainData[ExtendedPrice],MainData[GroupID],CustomerData[[#This Row],[GroupID]],MainData[Billable?],"Y",MainData[BillTo],"EPO")</f>
        <v>0</v>
      </c>
      <c r="N17" s="128">
        <f>SUMIFS(MainData[ExtendedPrice],MainData[GroupID],CustomerData[[#This Row],[GroupID]],MainData[Billable?],"Y",MainData[BillTo],"Group")</f>
        <v>1363</v>
      </c>
    </row>
    <row r="18" spans="2:14" x14ac:dyDescent="0.25">
      <c r="B18" s="114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53">
        <f>_xlfn.MINIFS(MainData[Date],MainData[GroupID],CustomerData[[#This Row],[GroupID]])</f>
        <v>44598</v>
      </c>
      <c r="I18" s="153">
        <f>_xlfn.MAXIFS(MainData[Date],MainData[GroupID],CustomerData[[#This Row],[GroupID]])</f>
        <v>44598</v>
      </c>
      <c r="J18" s="152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28">
        <f>SUMIFS(MainData[ExtendedPrice],MainData[GroupID],CustomerData[[#This Row],[GroupID]],MainData[Billable?],"Y",MainData[BillTo],"Hotel")</f>
        <v>809</v>
      </c>
      <c r="M18" s="128">
        <f>SUMIFS(MainData[ExtendedPrice],MainData[GroupID],CustomerData[[#This Row],[GroupID]],MainData[Billable?],"Y",MainData[BillTo],"EPO")</f>
        <v>0</v>
      </c>
      <c r="N18" s="128">
        <f>SUMIFS(MainData[ExtendedPrice],MainData[GroupID],CustomerData[[#This Row],[GroupID]],MainData[Billable?],"Y",MainData[BillTo],"Group")</f>
        <v>0</v>
      </c>
    </row>
    <row r="19" spans="2:14" x14ac:dyDescent="0.25">
      <c r="B19" s="114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53">
        <f>_xlfn.MINIFS(MainData[Date],MainData[GroupID],CustomerData[[#This Row],[GroupID]])</f>
        <v>44602</v>
      </c>
      <c r="I19" s="153">
        <f>_xlfn.MAXIFS(MainData[Date],MainData[GroupID],CustomerData[[#This Row],[GroupID]])</f>
        <v>44602</v>
      </c>
      <c r="J19" s="152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28">
        <f>SUMIFS(MainData[ExtendedPrice],MainData[GroupID],CustomerData[[#This Row],[GroupID]],MainData[Billable?],"Y",MainData[BillTo],"Hotel")</f>
        <v>868</v>
      </c>
      <c r="M19" s="128">
        <f>SUMIFS(MainData[ExtendedPrice],MainData[GroupID],CustomerData[[#This Row],[GroupID]],MainData[Billable?],"Y",MainData[BillTo],"EPO")</f>
        <v>0</v>
      </c>
      <c r="N19" s="128">
        <f>SUMIFS(MainData[ExtendedPrice],MainData[GroupID],CustomerData[[#This Row],[GroupID]],MainData[Billable?],"Y",MainData[BillTo],"Group")</f>
        <v>0</v>
      </c>
    </row>
    <row r="20" spans="2:14" x14ac:dyDescent="0.25">
      <c r="B20" s="114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53">
        <f>_xlfn.MINIFS(MainData[Date],MainData[GroupID],CustomerData[[#This Row],[GroupID]])</f>
        <v>44611</v>
      </c>
      <c r="I20" s="153">
        <f>_xlfn.MAXIFS(MainData[Date],MainData[GroupID],CustomerData[[#This Row],[GroupID]])</f>
        <v>44611</v>
      </c>
      <c r="J20" s="152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28">
        <f>SUMIFS(MainData[ExtendedPrice],MainData[GroupID],CustomerData[[#This Row],[GroupID]],MainData[Billable?],"Y",MainData[BillTo],"Hotel")</f>
        <v>1125</v>
      </c>
      <c r="M20" s="128">
        <f>SUMIFS(MainData[ExtendedPrice],MainData[GroupID],CustomerData[[#This Row],[GroupID]],MainData[Billable?],"Y",MainData[BillTo],"EPO")</f>
        <v>0</v>
      </c>
      <c r="N20" s="128">
        <f>SUMIFS(MainData[ExtendedPrice],MainData[GroupID],CustomerData[[#This Row],[GroupID]],MainData[Billable?],"Y",MainData[BillTo],"Group")</f>
        <v>0</v>
      </c>
    </row>
    <row r="21" spans="2:14" x14ac:dyDescent="0.25">
      <c r="B21" s="114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53">
        <f>_xlfn.MINIFS(MainData[Date],MainData[GroupID],CustomerData[[#This Row],[GroupID]])</f>
        <v>44568</v>
      </c>
      <c r="I21" s="153">
        <f>_xlfn.MAXIFS(MainData[Date],MainData[GroupID],CustomerData[[#This Row],[GroupID]])</f>
        <v>44568</v>
      </c>
      <c r="J21" s="152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28">
        <f>SUMIFS(MainData[ExtendedPrice],MainData[GroupID],CustomerData[[#This Row],[GroupID]],MainData[Billable?],"Y",MainData[BillTo],"Hotel")</f>
        <v>704</v>
      </c>
      <c r="M21" s="128">
        <f>SUMIFS(MainData[ExtendedPrice],MainData[GroupID],CustomerData[[#This Row],[GroupID]],MainData[Billable?],"Y",MainData[BillTo],"EPO")</f>
        <v>0</v>
      </c>
      <c r="N21" s="128">
        <f>SUMIFS(MainData[ExtendedPrice],MainData[GroupID],CustomerData[[#This Row],[GroupID]],MainData[Billable?],"Y",MainData[BillTo],"Group")</f>
        <v>12610</v>
      </c>
    </row>
    <row r="22" spans="2:14" x14ac:dyDescent="0.25">
      <c r="B22" s="114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53">
        <f>_xlfn.MINIFS(MainData[Date],MainData[GroupID],CustomerData[[#This Row],[GroupID]])</f>
        <v>44589</v>
      </c>
      <c r="I22" s="153">
        <f>_xlfn.MAXIFS(MainData[Date],MainData[GroupID],CustomerData[[#This Row],[GroupID]])</f>
        <v>44589</v>
      </c>
      <c r="J22" s="152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28">
        <f>SUMIFS(MainData[ExtendedPrice],MainData[GroupID],CustomerData[[#This Row],[GroupID]],MainData[Billable?],"Y",MainData[BillTo],"Hotel")</f>
        <v>0</v>
      </c>
      <c r="M22" s="128">
        <f>SUMIFS(MainData[ExtendedPrice],MainData[GroupID],CustomerData[[#This Row],[GroupID]],MainData[Billable?],"Y",MainData[BillTo],"EPO")</f>
        <v>0</v>
      </c>
      <c r="N22" s="128">
        <f>SUMIFS(MainData[ExtendedPrice],MainData[GroupID],CustomerData[[#This Row],[GroupID]],MainData[Billable?],"Y",MainData[BillTo],"Group")</f>
        <v>8693</v>
      </c>
    </row>
    <row r="23" spans="2:14" x14ac:dyDescent="0.25">
      <c r="B23" s="114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53">
        <f>_xlfn.MINIFS(MainData[Date],MainData[GroupID],CustomerData[[#This Row],[GroupID]])</f>
        <v>44610</v>
      </c>
      <c r="I23" s="153">
        <f>_xlfn.MAXIFS(MainData[Date],MainData[GroupID],CustomerData[[#This Row],[GroupID]])</f>
        <v>44611</v>
      </c>
      <c r="J23" s="152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28">
        <f>SUMIFS(MainData[ExtendedPrice],MainData[GroupID],CustomerData[[#This Row],[GroupID]],MainData[Billable?],"Y",MainData[BillTo],"Hotel")</f>
        <v>0</v>
      </c>
      <c r="M23" s="128">
        <f>SUMIFS(MainData[ExtendedPrice],MainData[GroupID],CustomerData[[#This Row],[GroupID]],MainData[Billable?],"Y",MainData[BillTo],"EPO")</f>
        <v>0</v>
      </c>
      <c r="N23" s="128">
        <f>SUMIFS(MainData[ExtendedPrice],MainData[GroupID],CustomerData[[#This Row],[GroupID]],MainData[Billable?],"Y",MainData[BillTo],"Group")</f>
        <v>38429.600000000006</v>
      </c>
    </row>
    <row r="24" spans="2:14" x14ac:dyDescent="0.25">
      <c r="B24" s="114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53">
        <f>_xlfn.MINIFS(MainData[Date],MainData[GroupID],CustomerData[[#This Row],[GroupID]])</f>
        <v>44595</v>
      </c>
      <c r="I24" s="153">
        <f>_xlfn.MAXIFS(MainData[Date],MainData[GroupID],CustomerData[[#This Row],[GroupID]])</f>
        <v>44595</v>
      </c>
      <c r="J24" s="152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28">
        <f>SUMIFS(MainData[ExtendedPrice],MainData[GroupID],CustomerData[[#This Row],[GroupID]],MainData[Billable?],"Y",MainData[BillTo],"Hotel")</f>
        <v>0</v>
      </c>
      <c r="M24" s="128">
        <f>SUMIFS(MainData[ExtendedPrice],MainData[GroupID],CustomerData[[#This Row],[GroupID]],MainData[Billable?],"Y",MainData[BillTo],"EPO")</f>
        <v>0</v>
      </c>
      <c r="N24" s="128">
        <f>SUMIFS(MainData[ExtendedPrice],MainData[GroupID],CustomerData[[#This Row],[GroupID]],MainData[Billable?],"Y",MainData[BillTo],"Group")</f>
        <v>1068</v>
      </c>
    </row>
    <row r="25" spans="2:14" x14ac:dyDescent="0.25">
      <c r="B25" s="114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53">
        <f>_xlfn.MINIFS(MainData[Date],MainData[GroupID],CustomerData[[#This Row],[GroupID]])</f>
        <v>44607</v>
      </c>
      <c r="I25" s="153">
        <f>_xlfn.MAXIFS(MainData[Date],MainData[GroupID],CustomerData[[#This Row],[GroupID]])</f>
        <v>44607</v>
      </c>
      <c r="J25" s="152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28">
        <f>SUMIFS(MainData[ExtendedPrice],MainData[GroupID],CustomerData[[#This Row],[GroupID]],MainData[Billable?],"Y",MainData[BillTo],"Hotel")</f>
        <v>0</v>
      </c>
      <c r="M25" s="128">
        <f>SUMIFS(MainData[ExtendedPrice],MainData[GroupID],CustomerData[[#This Row],[GroupID]],MainData[Billable?],"Y",MainData[BillTo],"EPO")</f>
        <v>0</v>
      </c>
      <c r="N25" s="128">
        <f>SUMIFS(MainData[ExtendedPrice],MainData[GroupID],CustomerData[[#This Row],[GroupID]],MainData[Billable?],"Y",MainData[BillTo],"Group")</f>
        <v>2760</v>
      </c>
    </row>
    <row r="26" spans="2:14" x14ac:dyDescent="0.25">
      <c r="B26" s="114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53">
        <f>_xlfn.MINIFS(MainData[Date],MainData[GroupID],CustomerData[[#This Row],[GroupID]])</f>
        <v>44617</v>
      </c>
      <c r="I26" s="153">
        <f>_xlfn.MAXIFS(MainData[Date],MainData[GroupID],CustomerData[[#This Row],[GroupID]])</f>
        <v>44617</v>
      </c>
      <c r="J26" s="152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6" s="128">
        <f>SUMIFS(MainData[ExtendedPrice],MainData[GroupID],CustomerData[[#This Row],[GroupID]],MainData[Billable?],"Y",MainData[BillTo],"Hotel")</f>
        <v>41</v>
      </c>
      <c r="M26" s="128">
        <f>SUMIFS(MainData[ExtendedPrice],MainData[GroupID],CustomerData[[#This Row],[GroupID]],MainData[Billable?],"Y",MainData[BillTo],"EPO")</f>
        <v>0</v>
      </c>
      <c r="N26" s="128">
        <f>SUMIFS(MainData[ExtendedPrice],MainData[GroupID],CustomerData[[#This Row],[GroupID]],MainData[Billable?],"Y",MainData[BillTo],"Group")</f>
        <v>0</v>
      </c>
    </row>
    <row r="27" spans="2:14" x14ac:dyDescent="0.25">
      <c r="B27" s="114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53">
        <f>_xlfn.MINIFS(MainData[Date],MainData[GroupID],CustomerData[[#This Row],[GroupID]])</f>
        <v>44588</v>
      </c>
      <c r="I27" s="153">
        <f>_xlfn.MAXIFS(MainData[Date],MainData[GroupID],CustomerData[[#This Row],[GroupID]])</f>
        <v>44590</v>
      </c>
      <c r="J27" s="152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28">
        <f>SUMIFS(MainData[ExtendedPrice],MainData[GroupID],CustomerData[[#This Row],[GroupID]],MainData[Billable?],"Y",MainData[BillTo],"Hotel")</f>
        <v>0</v>
      </c>
      <c r="M27" s="128">
        <f>SUMIFS(MainData[ExtendedPrice],MainData[GroupID],CustomerData[[#This Row],[GroupID]],MainData[Billable?],"Y",MainData[BillTo],"EPO")</f>
        <v>0</v>
      </c>
      <c r="N27" s="128">
        <f>SUMIFS(MainData[ExtendedPrice],MainData[GroupID],CustomerData[[#This Row],[GroupID]],MainData[Billable?],"Y",MainData[BillTo],"Group")</f>
        <v>5724.5</v>
      </c>
    </row>
    <row r="28" spans="2:14" x14ac:dyDescent="0.25">
      <c r="B28" s="114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53">
        <f>_xlfn.MINIFS(MainData[Date],MainData[GroupID],CustomerData[[#This Row],[GroupID]])</f>
        <v>44594</v>
      </c>
      <c r="I28" s="153">
        <f>_xlfn.MAXIFS(MainData[Date],MainData[GroupID],CustomerData[[#This Row],[GroupID]])</f>
        <v>44598</v>
      </c>
      <c r="J28" s="152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11</v>
      </c>
      <c r="L28" s="128">
        <f>SUMIFS(MainData[ExtendedPrice],MainData[GroupID],CustomerData[[#This Row],[GroupID]],MainData[Billable?],"Y",MainData[BillTo],"Hotel")</f>
        <v>41</v>
      </c>
      <c r="M28" s="128">
        <f>SUMIFS(MainData[ExtendedPrice],MainData[GroupID],CustomerData[[#This Row],[GroupID]],MainData[Billable?],"Y",MainData[BillTo],"EPO")</f>
        <v>1694.04</v>
      </c>
      <c r="N28" s="128">
        <f>SUMIFS(MainData[ExtendedPrice],MainData[GroupID],CustomerData[[#This Row],[GroupID]],MainData[Billable?],"Y",MainData[BillTo],"Group")</f>
        <v>5567.5</v>
      </c>
    </row>
    <row r="29" spans="2:14" x14ac:dyDescent="0.25">
      <c r="B29" s="114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53">
        <f>_xlfn.MINIFS(MainData[Date],MainData[GroupID],CustomerData[[#This Row],[GroupID]])</f>
        <v>44596</v>
      </c>
      <c r="I29" s="153">
        <f>_xlfn.MAXIFS(MainData[Date],MainData[GroupID],CustomerData[[#This Row],[GroupID]])</f>
        <v>44596</v>
      </c>
      <c r="J29" s="152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28">
        <f>SUMIFS(MainData[ExtendedPrice],MainData[GroupID],CustomerData[[#This Row],[GroupID]],MainData[Billable?],"Y",MainData[BillTo],"Hotel")</f>
        <v>0</v>
      </c>
      <c r="M29" s="128">
        <f>SUMIFS(MainData[ExtendedPrice],MainData[GroupID],CustomerData[[#This Row],[GroupID]],MainData[Billable?],"Y",MainData[BillTo],"EPO")</f>
        <v>0</v>
      </c>
      <c r="N29" s="128">
        <f>SUMIFS(MainData[ExtendedPrice],MainData[GroupID],CustomerData[[#This Row],[GroupID]],MainData[Billable?],"Y",MainData[BillTo],"Group")</f>
        <v>14127</v>
      </c>
    </row>
    <row r="30" spans="2:14" x14ac:dyDescent="0.25">
      <c r="B30" s="114">
        <v>10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Meteoric Airlines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Tasha Yar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Melinda May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53">
        <f>_xlfn.MINIFS(MainData[Date],MainData[GroupID],CustomerData[[#This Row],[GroupID]])</f>
        <v>44571</v>
      </c>
      <c r="I30" s="153">
        <f>_xlfn.MAXIFS(MainData[Date],MainData[GroupID],CustomerData[[#This Row],[GroupID]])</f>
        <v>44574</v>
      </c>
      <c r="J30" s="152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16</v>
      </c>
      <c r="L30" s="128">
        <f>SUMIFS(MainData[ExtendedPrice],MainData[GroupID],CustomerData[[#This Row],[GroupID]],MainData[Billable?],"Y",MainData[BillTo],"Hotel")</f>
        <v>41</v>
      </c>
      <c r="M30" s="128">
        <f>SUMIFS(MainData[ExtendedPrice],MainData[GroupID],CustomerData[[#This Row],[GroupID]],MainData[Billable?],"Y",MainData[BillTo],"EPO")</f>
        <v>0</v>
      </c>
      <c r="N30" s="128">
        <f>SUMIFS(MainData[ExtendedPrice],MainData[GroupID],CustomerData[[#This Row],[GroupID]],MainData[Billable?],"Y",MainData[BillTo],"Group")</f>
        <v>26506</v>
      </c>
    </row>
    <row r="31" spans="2:14" x14ac:dyDescent="0.25">
      <c r="B31" s="114">
        <v>4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Worf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Daisy Johnson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53">
        <f>_xlfn.MINIFS(MainData[Date],MainData[GroupID],CustomerData[[#This Row],[GroupID]])</f>
        <v>44574</v>
      </c>
      <c r="I31" s="153">
        <f>_xlfn.MAXIFS(MainData[Date],MainData[GroupID],CustomerData[[#This Row],[GroupID]])</f>
        <v>44574</v>
      </c>
      <c r="J31" s="152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1" s="128">
        <f>SUMIFS(MainData[ExtendedPrice],MainData[GroupID],CustomerData[[#This Row],[GroupID]],MainData[Billable?],"Y",MainData[BillTo],"Hotel")</f>
        <v>0</v>
      </c>
      <c r="M31" s="128">
        <f>SUMIFS(MainData[ExtendedPrice],MainData[GroupID],CustomerData[[#This Row],[GroupID]],MainData[Billable?],"Y",MainData[BillTo],"EPO")</f>
        <v>17.25</v>
      </c>
      <c r="N31" s="128">
        <f>SUMIFS(MainData[ExtendedPrice],MainData[GroupID],CustomerData[[#This Row],[GroupID]],MainData[Billable?],"Y",MainData[BillTo],"Group")</f>
        <v>100</v>
      </c>
    </row>
    <row r="32" spans="2:14" x14ac:dyDescent="0.25">
      <c r="B32" s="114">
        <v>29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Seven of Nine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53">
        <f>_xlfn.MINIFS(MainData[Date],MainData[GroupID],CustomerData[[#This Row],[GroupID]])</f>
        <v>44601</v>
      </c>
      <c r="I32" s="153">
        <f>_xlfn.MAXIFS(MainData[Date],MainData[GroupID],CustomerData[[#This Row],[GroupID]])</f>
        <v>44602</v>
      </c>
      <c r="J32" s="152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2" s="128">
        <f>SUMIFS(MainData[ExtendedPrice],MainData[GroupID],CustomerData[[#This Row],[GroupID]],MainData[Billable?],"Y",MainData[BillTo],"Hotel")</f>
        <v>0</v>
      </c>
      <c r="M32" s="128">
        <f>SUMIFS(MainData[ExtendedPrice],MainData[GroupID],CustomerData[[#This Row],[GroupID]],MainData[Billable?],"Y",MainData[BillTo],"EPO")</f>
        <v>0</v>
      </c>
      <c r="N32" s="128">
        <f>SUMIFS(MainData[ExtendedPrice],MainData[GroupID],CustomerData[[#This Row],[GroupID]],MainData[Billable?],"Y",MainData[BillTo],"Group")</f>
        <v>17494</v>
      </c>
    </row>
    <row r="33" spans="2:14" x14ac:dyDescent="0.25">
      <c r="B33" s="114">
        <v>37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Tuvok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Leo Fitz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53">
        <f>_xlfn.MINIFS(MainData[Date],MainData[GroupID],CustomerData[[#This Row],[GroupID]])</f>
        <v>44586</v>
      </c>
      <c r="I33" s="153">
        <f>_xlfn.MAXIFS(MainData[Date],MainData[GroupID],CustomerData[[#This Row],[GroupID]])</f>
        <v>44586</v>
      </c>
      <c r="J33" s="152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3" s="128">
        <f>SUMIFS(MainData[ExtendedPrice],MainData[GroupID],CustomerData[[#This Row],[GroupID]],MainData[Billable?],"Y",MainData[BillTo],"Hotel")</f>
        <v>0</v>
      </c>
      <c r="M33" s="128">
        <f>SUMIFS(MainData[ExtendedPrice],MainData[GroupID],CustomerData[[#This Row],[GroupID]],MainData[Billable?],"Y",MainData[BillTo],"EPO")</f>
        <v>665.75</v>
      </c>
      <c r="N33" s="128">
        <f>SUMIFS(MainData[ExtendedPrice],MainData[GroupID],CustomerData[[#This Row],[GroupID]],MainData[Billable?],"Y",MainData[BillTo],"Group")</f>
        <v>3950</v>
      </c>
    </row>
    <row r="34" spans="2:14" x14ac:dyDescent="0.25">
      <c r="B34" s="114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53">
        <f>_xlfn.MINIFS(MainData[Date],MainData[GroupID],CustomerData[[#This Row],[GroupID]])</f>
        <v>44610</v>
      </c>
      <c r="I34" s="153">
        <f>_xlfn.MAXIFS(MainData[Date],MainData[GroupID],CustomerData[[#This Row],[GroupID]])</f>
        <v>44615</v>
      </c>
      <c r="J34" s="152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20</v>
      </c>
      <c r="L34" s="128">
        <f>SUMIFS(MainData[ExtendedPrice],MainData[GroupID],CustomerData[[#This Row],[GroupID]],MainData[Billable?],"Y",MainData[BillTo],"Hotel")</f>
        <v>41</v>
      </c>
      <c r="M34" s="128">
        <f>SUMIFS(MainData[ExtendedPrice],MainData[GroupID],CustomerData[[#This Row],[GroupID]],MainData[Billable?],"Y",MainData[BillTo],"EPO")</f>
        <v>9922.09</v>
      </c>
      <c r="N34" s="128">
        <f>SUMIFS(MainData[ExtendedPrice],MainData[GroupID],CustomerData[[#This Row],[GroupID]],MainData[Billable?],"Y",MainData[BillTo],"Group")</f>
        <v>1972</v>
      </c>
    </row>
    <row r="35" spans="2:14" x14ac:dyDescent="0.25">
      <c r="B35" s="114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53">
        <f>_xlfn.MINIFS(MainData[Date],MainData[GroupID],CustomerData[[#This Row],[GroupID]])</f>
        <v>44586</v>
      </c>
      <c r="I35" s="153">
        <f>_xlfn.MAXIFS(MainData[Date],MainData[GroupID],CustomerData[[#This Row],[GroupID]])</f>
        <v>44586</v>
      </c>
      <c r="J35" s="152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28">
        <f>SUMIFS(MainData[ExtendedPrice],MainData[GroupID],CustomerData[[#This Row],[GroupID]],MainData[Billable?],"Y",MainData[BillTo],"Hotel")</f>
        <v>0</v>
      </c>
      <c r="M35" s="128">
        <f>SUMIFS(MainData[ExtendedPrice],MainData[GroupID],CustomerData[[#This Row],[GroupID]],MainData[Billable?],"Y",MainData[BillTo],"EPO")</f>
        <v>254.92</v>
      </c>
      <c r="N35" s="128">
        <f>SUMIFS(MainData[ExtendedPrice],MainData[GroupID],CustomerData[[#This Row],[GroupID]],MainData[Billable?],"Y",MainData[BillTo],"Group")</f>
        <v>4370</v>
      </c>
    </row>
    <row r="36" spans="2:14" x14ac:dyDescent="0.25">
      <c r="B36" s="114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53">
        <f>_xlfn.MINIFS(MainData[Date],MainData[GroupID],CustomerData[[#This Row],[GroupID]])</f>
        <v>44614</v>
      </c>
      <c r="I36" s="153">
        <f>_xlfn.MAXIFS(MainData[Date],MainData[GroupID],CustomerData[[#This Row],[GroupID]])</f>
        <v>44616</v>
      </c>
      <c r="J36" s="152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28">
        <f>SUMIFS(MainData[ExtendedPrice],MainData[GroupID],CustomerData[[#This Row],[GroupID]],MainData[Billable?],"Y",MainData[BillTo],"Hotel")</f>
        <v>0</v>
      </c>
      <c r="M36" s="128">
        <f>SUMIFS(MainData[ExtendedPrice],MainData[GroupID],CustomerData[[#This Row],[GroupID]],MainData[Billable?],"Y",MainData[BillTo],"EPO")</f>
        <v>0</v>
      </c>
      <c r="N36" s="128">
        <f>SUMIFS(MainData[ExtendedPrice],MainData[GroupID],CustomerData[[#This Row],[GroupID]],MainData[Billable?],"Y",MainData[BillTo],"Group")</f>
        <v>3844</v>
      </c>
    </row>
    <row r="37" spans="2:14" x14ac:dyDescent="0.25">
      <c r="B37" s="114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53">
        <f>_xlfn.MINIFS(MainData[Date],MainData[GroupID],CustomerData[[#This Row],[GroupID]])</f>
        <v>44617</v>
      </c>
      <c r="I37" s="153">
        <f>_xlfn.MAXIFS(MainData[Date],MainData[GroupID],CustomerData[[#This Row],[GroupID]])</f>
        <v>44617</v>
      </c>
      <c r="J37" s="152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28">
        <f>SUMIFS(MainData[ExtendedPrice],MainData[GroupID],CustomerData[[#This Row],[GroupID]],MainData[Billable?],"Y",MainData[BillTo],"Hotel")</f>
        <v>0</v>
      </c>
      <c r="M37" s="128">
        <f>SUMIFS(MainData[ExtendedPrice],MainData[GroupID],CustomerData[[#This Row],[GroupID]],MainData[Billable?],"Y",MainData[BillTo],"EPO")</f>
        <v>0</v>
      </c>
      <c r="N37" s="128">
        <f>SUMIFS(MainData[ExtendedPrice],MainData[GroupID],CustomerData[[#This Row],[GroupID]],MainData[Billable?],"Y",MainData[BillTo],"Group")</f>
        <v>17493</v>
      </c>
    </row>
    <row r="38" spans="2:14" x14ac:dyDescent="0.25">
      <c r="B38" s="114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53">
        <f>_xlfn.MINIFS(MainData[Date],MainData[GroupID],CustomerData[[#This Row],[GroupID]])</f>
        <v>44588</v>
      </c>
      <c r="I38" s="153">
        <f>_xlfn.MAXIFS(MainData[Date],MainData[GroupID],CustomerData[[#This Row],[GroupID]])</f>
        <v>44590</v>
      </c>
      <c r="J38" s="152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28">
        <f>SUMIFS(MainData[ExtendedPrice],MainData[GroupID],CustomerData[[#This Row],[GroupID]],MainData[Billable?],"Y",MainData[BillTo],"Hotel")</f>
        <v>0</v>
      </c>
      <c r="M38" s="128">
        <f>SUMIFS(MainData[ExtendedPrice],MainData[GroupID],CustomerData[[#This Row],[GroupID]],MainData[Billable?],"Y",MainData[BillTo],"EPO")</f>
        <v>0</v>
      </c>
      <c r="N38" s="128">
        <f>SUMIFS(MainData[ExtendedPrice],MainData[GroupID],CustomerData[[#This Row],[GroupID]],MainData[Billable?],"Y",MainData[BillTo],"Group")</f>
        <v>8140</v>
      </c>
    </row>
    <row r="39" spans="2:14" x14ac:dyDescent="0.25">
      <c r="B39" s="114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53">
        <f>_xlfn.MINIFS(MainData[Date],MainData[GroupID],CustomerData[[#This Row],[GroupID]])</f>
        <v>44578</v>
      </c>
      <c r="I39" s="153">
        <f>_xlfn.MAXIFS(MainData[Date],MainData[GroupID],CustomerData[[#This Row],[GroupID]])</f>
        <v>44584</v>
      </c>
      <c r="J39" s="152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36</v>
      </c>
      <c r="L39" s="128">
        <f>SUMIFS(MainData[ExtendedPrice],MainData[GroupID],CustomerData[[#This Row],[GroupID]],MainData[Billable?],"Y",MainData[BillTo],"Hotel")</f>
        <v>1099</v>
      </c>
      <c r="M39" s="128">
        <f>SUMIFS(MainData[ExtendedPrice],MainData[GroupID],CustomerData[[#This Row],[GroupID]],MainData[Billable?],"Y",MainData[BillTo],"EPO")</f>
        <v>0</v>
      </c>
      <c r="N39" s="128">
        <f>SUMIFS(MainData[ExtendedPrice],MainData[GroupID],CustomerData[[#This Row],[GroupID]],MainData[Billable?],"Y",MainData[BillTo],"Group")</f>
        <v>95022.93</v>
      </c>
    </row>
    <row r="40" spans="2:14" x14ac:dyDescent="0.25">
      <c r="B40" s="114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53">
        <f>_xlfn.MINIFS(MainData[Date],MainData[GroupID],CustomerData[[#This Row],[GroupID]])</f>
        <v>44576</v>
      </c>
      <c r="I40" s="153">
        <f>_xlfn.MAXIFS(MainData[Date],MainData[GroupID],CustomerData[[#This Row],[GroupID]])</f>
        <v>44576</v>
      </c>
      <c r="J40" s="152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28">
        <f>SUMIFS(MainData[ExtendedPrice],MainData[GroupID],CustomerData[[#This Row],[GroupID]],MainData[Billable?],"Y",MainData[BillTo],"Hotel")</f>
        <v>0</v>
      </c>
      <c r="M40" s="128">
        <f>SUMIFS(MainData[ExtendedPrice],MainData[GroupID],CustomerData[[#This Row],[GroupID]],MainData[Billable?],"Y",MainData[BillTo],"EPO")</f>
        <v>0</v>
      </c>
      <c r="N40" s="128">
        <f>SUMIFS(MainData[ExtendedPrice],MainData[GroupID],CustomerData[[#This Row],[GroupID]],MainData[Billable?],"Y",MainData[BillTo],"Group")</f>
        <v>24944</v>
      </c>
    </row>
    <row r="41" spans="2:14" x14ac:dyDescent="0.25">
      <c r="B41" s="114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53">
        <f>_xlfn.MINIFS(MainData[Date],MainData[GroupID],CustomerData[[#This Row],[GroupID]])</f>
        <v>44606</v>
      </c>
      <c r="I41" s="153">
        <f>_xlfn.MAXIFS(MainData[Date],MainData[GroupID],CustomerData[[#This Row],[GroupID]])</f>
        <v>44606</v>
      </c>
      <c r="J41" s="152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28">
        <f>SUMIFS(MainData[ExtendedPrice],MainData[GroupID],CustomerData[[#This Row],[GroupID]],MainData[Billable?],"Y",MainData[BillTo],"Hotel")</f>
        <v>100</v>
      </c>
      <c r="M41" s="128">
        <f>SUMIFS(MainData[ExtendedPrice],MainData[GroupID],CustomerData[[#This Row],[GroupID]],MainData[Billable?],"Y",MainData[BillTo],"EPO")</f>
        <v>0</v>
      </c>
      <c r="N41" s="128">
        <f>SUMIFS(MainData[ExtendedPrice],MainData[GroupID],CustomerData[[#This Row],[GroupID]],MainData[Billable?],"Y",MainData[BillTo],"Group")</f>
        <v>0</v>
      </c>
    </row>
    <row r="42" spans="2:14" x14ac:dyDescent="0.25">
      <c r="B42" s="114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53">
        <f>_xlfn.MINIFS(MainData[Date],MainData[GroupID],CustomerData[[#This Row],[GroupID]])</f>
        <v>44617</v>
      </c>
      <c r="I42" s="153">
        <f>_xlfn.MAXIFS(MainData[Date],MainData[GroupID],CustomerData[[#This Row],[GroupID]])</f>
        <v>44617</v>
      </c>
      <c r="J42" s="152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2" s="128">
        <f>SUMIFS(MainData[ExtendedPrice],MainData[GroupID],CustomerData[[#This Row],[GroupID]],MainData[Billable?],"Y",MainData[BillTo],"Hotel")</f>
        <v>41</v>
      </c>
      <c r="M42" s="128">
        <f>SUMIFS(MainData[ExtendedPrice],MainData[GroupID],CustomerData[[#This Row],[GroupID]],MainData[Billable?],"Y",MainData[BillTo],"EPO")</f>
        <v>0</v>
      </c>
      <c r="N42" s="128">
        <f>SUMIFS(MainData[ExtendedPrice],MainData[GroupID],CustomerData[[#This Row],[GroupID]],MainData[Billable?],"Y",MainData[BillTo],"Group")</f>
        <v>0</v>
      </c>
    </row>
    <row r="43" spans="2:14" x14ac:dyDescent="0.25">
      <c r="B43" s="114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53">
        <f>_xlfn.MINIFS(MainData[Date],MainData[GroupID],CustomerData[[#This Row],[GroupID]])</f>
        <v>44618</v>
      </c>
      <c r="I43" s="153">
        <f>_xlfn.MAXIFS(MainData[Date],MainData[GroupID],CustomerData[[#This Row],[GroupID]])</f>
        <v>44620</v>
      </c>
      <c r="J43" s="152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43" s="128">
        <f>SUMIFS(MainData[ExtendedPrice],MainData[GroupID],CustomerData[[#This Row],[GroupID]],MainData[Billable?],"Y",MainData[BillTo],"Hotel")</f>
        <v>250</v>
      </c>
      <c r="M43" s="128">
        <f>SUMIFS(MainData[ExtendedPrice],MainData[GroupID],CustomerData[[#This Row],[GroupID]],MainData[Billable?],"Y",MainData[BillTo],"EPO")</f>
        <v>400</v>
      </c>
      <c r="N43" s="128">
        <f>SUMIFS(MainData[ExtendedPrice],MainData[GroupID],CustomerData[[#This Row],[GroupID]],MainData[Billable?],"Y",MainData[BillTo],"Group")</f>
        <v>8484</v>
      </c>
    </row>
    <row r="44" spans="2:14" x14ac:dyDescent="0.25">
      <c r="B44" s="114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53">
        <f>_xlfn.MINIFS(MainData[Date],MainData[GroupID],CustomerData[[#This Row],[GroupID]])</f>
        <v>44573</v>
      </c>
      <c r="I44" s="153">
        <f>_xlfn.MAXIFS(MainData[Date],MainData[GroupID],CustomerData[[#This Row],[GroupID]])</f>
        <v>44576</v>
      </c>
      <c r="J44" s="152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13</v>
      </c>
      <c r="L44" s="128">
        <f>SUMIFS(MainData[ExtendedPrice],MainData[GroupID],CustomerData[[#This Row],[GroupID]],MainData[Billable?],"Y",MainData[BillTo],"Hotel")</f>
        <v>41</v>
      </c>
      <c r="M44" s="128">
        <f>SUMIFS(MainData[ExtendedPrice],MainData[GroupID],CustomerData[[#This Row],[GroupID]],MainData[Billable?],"Y",MainData[BillTo],"EPO")</f>
        <v>0</v>
      </c>
      <c r="N44" s="128">
        <f>SUMIFS(MainData[ExtendedPrice],MainData[GroupID],CustomerData[[#This Row],[GroupID]],MainData[Billable?],"Y",MainData[BillTo],"Group")</f>
        <v>19157</v>
      </c>
    </row>
    <row r="45" spans="2:14" x14ac:dyDescent="0.25">
      <c r="B45" s="114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Jeff Spicoli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53">
        <f>_xlfn.MINIFS(MainData[Date],MainData[GroupID],CustomerData[[#This Row],[GroupID]])</f>
        <v>44572</v>
      </c>
      <c r="I45" s="153">
        <f>_xlfn.MAXIFS(MainData[Date],MainData[GroupID],CustomerData[[#This Row],[GroupID]])</f>
        <v>44572</v>
      </c>
      <c r="J45" s="152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28">
        <f>SUMIFS(MainData[ExtendedPrice],MainData[GroupID],CustomerData[[#This Row],[GroupID]],MainData[Billable?],"Y",MainData[BillTo],"Hotel")</f>
        <v>0</v>
      </c>
      <c r="M45" s="128">
        <f>SUMIFS(MainData[ExtendedPrice],MainData[GroupID],CustomerData[[#This Row],[GroupID]],MainData[Billable?],"Y",MainData[BillTo],"EPO")</f>
        <v>68.48</v>
      </c>
      <c r="N45" s="128">
        <f>SUMIFS(MainData[ExtendedPrice],MainData[GroupID],CustomerData[[#This Row],[GroupID]],MainData[Billable?],"Y",MainData[BillTo],"Group")</f>
        <v>664</v>
      </c>
    </row>
    <row r="46" spans="2:14" x14ac:dyDescent="0.25">
      <c r="B46" s="114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John Blutarsky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53">
        <f>_xlfn.MINIFS(MainData[Date],MainData[GroupID],CustomerData[[#This Row],[GroupID]])</f>
        <v>44584</v>
      </c>
      <c r="I46" s="153">
        <f>_xlfn.MAXIFS(MainData[Date],MainData[GroupID],CustomerData[[#This Row],[GroupID]])</f>
        <v>44584</v>
      </c>
      <c r="J46" s="152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6" s="128">
        <f>SUMIFS(MainData[ExtendedPrice],MainData[GroupID],CustomerData[[#This Row],[GroupID]],MainData[Billable?],"Y",MainData[BillTo],"Hotel")</f>
        <v>41</v>
      </c>
      <c r="M46" s="128">
        <f>SUMIFS(MainData[ExtendedPrice],MainData[GroupID],CustomerData[[#This Row],[GroupID]],MainData[Billable?],"Y",MainData[BillTo],"EPO")</f>
        <v>0</v>
      </c>
      <c r="N46" s="128">
        <f>SUMIFS(MainData[ExtendedPrice],MainData[GroupID],CustomerData[[#This Row],[GroupID]],MainData[Billable?],"Y",MainData[BillTo],"Group")</f>
        <v>0</v>
      </c>
    </row>
    <row r="47" spans="2:14" x14ac:dyDescent="0.25">
      <c r="B47" s="114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53">
        <f>_xlfn.MINIFS(MainData[Date],MainData[GroupID],CustomerData[[#This Row],[GroupID]])</f>
        <v>44599</v>
      </c>
      <c r="I47" s="153">
        <f>_xlfn.MAXIFS(MainData[Date],MainData[GroupID],CustomerData[[#This Row],[GroupID]])</f>
        <v>44599</v>
      </c>
      <c r="J47" s="152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28">
        <f>SUMIFS(MainData[ExtendedPrice],MainData[GroupID],CustomerData[[#This Row],[GroupID]],MainData[Billable?],"Y",MainData[BillTo],"Hotel")</f>
        <v>0</v>
      </c>
      <c r="M47" s="128">
        <f>SUMIFS(MainData[ExtendedPrice],MainData[GroupID],CustomerData[[#This Row],[GroupID]],MainData[Billable?],"Y",MainData[BillTo],"EPO")</f>
        <v>0</v>
      </c>
      <c r="N47" s="128">
        <f>SUMIFS(MainData[ExtendedPrice],MainData[GroupID],CustomerData[[#This Row],[GroupID]],MainData[Billable?],"Y",MainData[BillTo],"Group")</f>
        <v>3548.4800000000005</v>
      </c>
    </row>
    <row r="48" spans="2:14" x14ac:dyDescent="0.25">
      <c r="B48" s="114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53">
        <f>_xlfn.MINIFS(MainData[Date],MainData[GroupID],CustomerData[[#This Row],[GroupID]])</f>
        <v>44614</v>
      </c>
      <c r="I48" s="153">
        <f>_xlfn.MAXIFS(MainData[Date],MainData[GroupID],CustomerData[[#This Row],[GroupID]])</f>
        <v>44614</v>
      </c>
      <c r="J48" s="152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28">
        <f>SUMIFS(MainData[ExtendedPrice],MainData[GroupID],CustomerData[[#This Row],[GroupID]],MainData[Billable?],"Y",MainData[BillTo],"Hotel")</f>
        <v>0</v>
      </c>
      <c r="M48" s="128">
        <f>SUMIFS(MainData[ExtendedPrice],MainData[GroupID],CustomerData[[#This Row],[GroupID]],MainData[Billable?],"Y",MainData[BillTo],"EPO")</f>
        <v>0</v>
      </c>
      <c r="N48" s="128">
        <f>SUMIFS(MainData[ExtendedPrice],MainData[GroupID],CustomerData[[#This Row],[GroupID]],MainData[Billable?],"Y",MainData[BillTo],"Group")</f>
        <v>440</v>
      </c>
    </row>
    <row r="49" spans="2:14" x14ac:dyDescent="0.25">
      <c r="B49" s="114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53">
        <f>_xlfn.MINIFS(MainData[Date],MainData[GroupID],CustomerData[[#This Row],[GroupID]])</f>
        <v>44601</v>
      </c>
      <c r="I49" s="153">
        <f>_xlfn.MAXIFS(MainData[Date],MainData[GroupID],CustomerData[[#This Row],[GroupID]])</f>
        <v>44604</v>
      </c>
      <c r="J49" s="152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22</v>
      </c>
      <c r="L49" s="128">
        <f>SUMIFS(MainData[ExtendedPrice],MainData[GroupID],CustomerData[[#This Row],[GroupID]],MainData[Billable?],"Y",MainData[BillTo],"Hotel")</f>
        <v>41</v>
      </c>
      <c r="M49" s="128">
        <f>SUMIFS(MainData[ExtendedPrice],MainData[GroupID],CustomerData[[#This Row],[GroupID]],MainData[Billable?],"Y",MainData[BillTo],"EPO")</f>
        <v>0</v>
      </c>
      <c r="N49" s="128">
        <f>SUMIFS(MainData[ExtendedPrice],MainData[GroupID],CustomerData[[#This Row],[GroupID]],MainData[Billable?],"Y",MainData[BillTo],"Group")</f>
        <v>118411.99999999999</v>
      </c>
    </row>
    <row r="50" spans="2:14" x14ac:dyDescent="0.25">
      <c r="B50" s="114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53">
        <f>_xlfn.MINIFS(MainData[Date],MainData[GroupID],CustomerData[[#This Row],[GroupID]])</f>
        <v>44597</v>
      </c>
      <c r="I50" s="153">
        <f>_xlfn.MAXIFS(MainData[Date],MainData[GroupID],CustomerData[[#This Row],[GroupID]])</f>
        <v>44598</v>
      </c>
      <c r="J50" s="152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28">
        <f>SUMIFS(MainData[ExtendedPrice],MainData[GroupID],CustomerData[[#This Row],[GroupID]],MainData[Billable?],"Y",MainData[BillTo],"Hotel")</f>
        <v>0</v>
      </c>
      <c r="M50" s="128">
        <f>SUMIFS(MainData[ExtendedPrice],MainData[GroupID],CustomerData[[#This Row],[GroupID]],MainData[Billable?],"Y",MainData[BillTo],"EPO")</f>
        <v>0</v>
      </c>
      <c r="N50" s="128">
        <f>SUMIFS(MainData[ExtendedPrice],MainData[GroupID],CustomerData[[#This Row],[GroupID]],MainData[Billable?],"Y",MainData[BillTo],"Group")</f>
        <v>30698.3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78" r:id="rId4" name="ClearFiltersButton">
          <controlPr defaultSize="0" print="0" autoLine="0" r:id="rId5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4" name="ClearFilters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80" r:id="rId8" name="RefreshDataButton">
          <controlPr defaultSize="0" print="0" autoLine="0" r:id="rId9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8" name="RefreshData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TEXT(SUBTOTAL(105,EventData[Date]), "mmmm dd, yyyy")</f>
        <v>From:  January 05, 2022</v>
      </c>
      <c r="P1" s="211" t="str">
        <f>Transactions!U1</f>
        <v/>
      </c>
      <c r="Q1" s="211"/>
    </row>
    <row r="2" spans="2:19" ht="15.75" x14ac:dyDescent="0.25">
      <c r="C2" s="1" t="s">
        <v>192</v>
      </c>
      <c r="L2" s="10" t="str">
        <f>"To:  " &amp; TEXT(SUBTOTAL(104,EventData[Date]),"mmmm dd, yyyy")</f>
        <v>To:  February 28, 2022</v>
      </c>
      <c r="P2" s="211"/>
      <c r="Q2" s="211"/>
    </row>
    <row r="3" spans="2:19" x14ac:dyDescent="0.25">
      <c r="C3" s="199">
        <f>Transactions!$B$3</f>
        <v>44887.394606481481</v>
      </c>
      <c r="D3" s="199"/>
      <c r="E3" s="199"/>
      <c r="F3" s="64"/>
      <c r="G3" s="64"/>
      <c r="H3" s="64"/>
      <c r="I3" s="64"/>
      <c r="J3" s="64"/>
      <c r="K3" s="64"/>
      <c r="L3" s="79" t="str">
        <f>IF(SUBTOTAL(102,EventData[Date])&lt;&gt;COUNT(EventData[Date]),"(Filtered)","(Includes All Events and Dates)")</f>
        <v>(Includes All Events and Dates)</v>
      </c>
    </row>
    <row r="4" spans="2:19" x14ac:dyDescent="0.25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</row>
    <row r="5" spans="2:19" x14ac:dyDescent="0.25">
      <c r="C5" s="63" t="str">
        <f>IF(L3="(Filtered)","Subtotals:","Totals:")</f>
        <v>Totals:</v>
      </c>
      <c r="H5" s="86">
        <f>SUBTOTAL(109,EventData[Checks])</f>
        <v>126</v>
      </c>
      <c r="I5" s="83">
        <f>SUBTOTAL(109,EventData[Rental])</f>
        <v>2000</v>
      </c>
      <c r="J5" s="83">
        <f>SUBTOTAL(109,EventData[Labor])</f>
        <v>24120</v>
      </c>
      <c r="K5" s="83">
        <f>SUBTOTAL(109,EventData[Food])</f>
        <v>0</v>
      </c>
      <c r="L5" s="83">
        <f>SUBTOTAL(109,EventData[Beverage])</f>
        <v>566948.83250000002</v>
      </c>
      <c r="P5" s="10"/>
    </row>
    <row r="6" spans="2:19" x14ac:dyDescent="0.25">
      <c r="B6" s="123"/>
      <c r="C6" s="124" t="str">
        <f>SUBTOTAL(103,EventData[EO'#]) &amp; IF(SUBTOTAL(103,EventData[EO'#])=1," Event", " Events")</f>
        <v>107 Events</v>
      </c>
      <c r="D6" s="124"/>
      <c r="E6" s="124"/>
      <c r="F6" s="124"/>
      <c r="G6" s="125"/>
      <c r="H6" s="126" t="s">
        <v>119</v>
      </c>
      <c r="I6" s="127" t="s">
        <v>120</v>
      </c>
      <c r="J6" s="124"/>
      <c r="K6" s="124"/>
      <c r="L6" s="125"/>
      <c r="M6" s="121"/>
      <c r="P6" s="10"/>
    </row>
    <row r="7" spans="2:19" x14ac:dyDescent="0.25">
      <c r="B7" s="122" t="s">
        <v>113</v>
      </c>
      <c r="C7" s="122" t="s">
        <v>0</v>
      </c>
      <c r="D7" s="122" t="s">
        <v>82</v>
      </c>
      <c r="E7" s="122" t="s">
        <v>18</v>
      </c>
      <c r="F7" s="122" t="s">
        <v>175</v>
      </c>
      <c r="G7" s="122" t="s">
        <v>118</v>
      </c>
      <c r="H7" s="122" t="s">
        <v>115</v>
      </c>
      <c r="I7" s="122" t="s">
        <v>123</v>
      </c>
      <c r="J7" s="122" t="s">
        <v>116</v>
      </c>
      <c r="K7" s="122" t="s">
        <v>117</v>
      </c>
      <c r="L7" s="122" t="s">
        <v>29</v>
      </c>
      <c r="P7" s="10"/>
      <c r="Q7" s="10"/>
    </row>
    <row r="8" spans="2:19" x14ac:dyDescent="0.25">
      <c r="B8" s="114">
        <v>86</v>
      </c>
      <c r="C8" s="154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55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>Reception/Dinner</v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8" s="107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28">
        <f>SUMIFS(MainData[ExtendedPrice],MainData[EventID],EventData[[#This Row],[EventID]],MainData[Billable?],"Y",MainData[Category],I$7)</f>
        <v>0</v>
      </c>
      <c r="J8" s="128">
        <f>SUMIFS(MainData[ExtendedPrice],MainData[EventID],EventData[[#This Row],[EventID]],MainData[Billable?],"Y",MainData[Category],J$7)</f>
        <v>100</v>
      </c>
      <c r="K8" s="128">
        <f>SUMIFS(MainData[ExtendedPrice],MainData[EventID],EventData[[#This Row],[EventID]],MainData[Billable?],"Y",MainData[Category],K$7)</f>
        <v>0</v>
      </c>
      <c r="L8" s="128">
        <f>SUMIFS(MainData[ExtendedPrice],MainData[EventID],EventData[[#This Row],[EventID]],MainData[Billable?],"Y",MainData[Category],L$7)</f>
        <v>1189.0999999999999</v>
      </c>
      <c r="P8" s="13"/>
      <c r="Q8" s="14"/>
      <c r="S8" s="41"/>
    </row>
    <row r="9" spans="2:19" x14ac:dyDescent="0.25">
      <c r="B9" s="114">
        <v>87</v>
      </c>
      <c r="C9" s="154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55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>Reception</v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" s="107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28">
        <f>SUMIFS(MainData[ExtendedPrice],MainData[EventID],EventData[[#This Row],[EventID]],MainData[Billable?],"Y",MainData[Category],I$7)</f>
        <v>0</v>
      </c>
      <c r="J9" s="128">
        <f>SUMIFS(MainData[ExtendedPrice],MainData[EventID],EventData[[#This Row],[EventID]],MainData[Billable?],"Y",MainData[Category],J$7)</f>
        <v>1600</v>
      </c>
      <c r="K9" s="128">
        <f>SUMIFS(MainData[ExtendedPrice],MainData[EventID],EventData[[#This Row],[EventID]],MainData[Billable?],"Y",MainData[Category],K$7)</f>
        <v>0</v>
      </c>
      <c r="L9" s="128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14">
        <v>98</v>
      </c>
      <c r="C10" s="154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55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>Reception/Dinner</v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10" s="107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28">
        <f>SUMIFS(MainData[ExtendedPrice],MainData[EventID],EventData[[#This Row],[EventID]],MainData[Billable?],"Y",MainData[Category],I$7)</f>
        <v>0</v>
      </c>
      <c r="J10" s="128">
        <f>SUMIFS(MainData[ExtendedPrice],MainData[EventID],EventData[[#This Row],[EventID]],MainData[Billable?],"Y",MainData[Category],J$7)</f>
        <v>400</v>
      </c>
      <c r="K10" s="128">
        <f>SUMIFS(MainData[ExtendedPrice],MainData[EventID],EventData[[#This Row],[EventID]],MainData[Billable?],"Y",MainData[Category],K$7)</f>
        <v>0</v>
      </c>
      <c r="L10" s="128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14">
        <v>99</v>
      </c>
      <c r="C11" s="154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55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>Reception</v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1" s="107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28">
        <f>SUMIFS(MainData[ExtendedPrice],MainData[EventID],EventData[[#This Row],[EventID]],MainData[Billable?],"Y",MainData[Category],I$7)</f>
        <v>0</v>
      </c>
      <c r="J11" s="128">
        <f>SUMIFS(MainData[ExtendedPrice],MainData[EventID],EventData[[#This Row],[EventID]],MainData[Billable?],"Y",MainData[Category],J$7)</f>
        <v>0</v>
      </c>
      <c r="K11" s="128">
        <f>SUMIFS(MainData[ExtendedPrice],MainData[EventID],EventData[[#This Row],[EventID]],MainData[Billable?],"Y",MainData[Category],K$7)</f>
        <v>0</v>
      </c>
      <c r="L11" s="128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14">
        <v>17</v>
      </c>
      <c r="C12" s="154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55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>Precon Meeting</v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9</v>
      </c>
      <c r="H12" s="107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28">
        <f>SUMIFS(MainData[ExtendedPrice],MainData[EventID],EventData[[#This Row],[EventID]],MainData[Billable?],"Y",MainData[Category],I$7)</f>
        <v>0</v>
      </c>
      <c r="J12" s="128">
        <f>SUMIFS(MainData[ExtendedPrice],MainData[EventID],EventData[[#This Row],[EventID]],MainData[Billable?],"Y",MainData[Category],J$7)</f>
        <v>0</v>
      </c>
      <c r="K12" s="128">
        <f>SUMIFS(MainData[ExtendedPrice],MainData[EventID],EventData[[#This Row],[EventID]],MainData[Billable?],"Y",MainData[Category],K$7)</f>
        <v>0</v>
      </c>
      <c r="L12" s="128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14">
        <v>81</v>
      </c>
      <c r="C13" s="154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55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>Reception/Dinner</v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3" s="107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28">
        <f>SUMIFS(MainData[ExtendedPrice],MainData[EventID],EventData[[#This Row],[EventID]],MainData[Billable?],"Y",MainData[Category],I$7)</f>
        <v>0</v>
      </c>
      <c r="J13" s="128">
        <f>SUMIFS(MainData[ExtendedPrice],MainData[EventID],EventData[[#This Row],[EventID]],MainData[Billable?],"Y",MainData[Category],J$7)</f>
        <v>100</v>
      </c>
      <c r="K13" s="128">
        <f>SUMIFS(MainData[ExtendedPrice],MainData[EventID],EventData[[#This Row],[EventID]],MainData[Billable?],"Y",MainData[Category],K$7)</f>
        <v>0</v>
      </c>
      <c r="L13" s="128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14">
        <v>15</v>
      </c>
      <c r="C14" s="154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55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>Reception</v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14" s="107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28">
        <f>SUMIFS(MainData[ExtendedPrice],MainData[EventID],EventData[[#This Row],[EventID]],MainData[Billable?],"Y",MainData[Category],I$7)</f>
        <v>0</v>
      </c>
      <c r="J14" s="128">
        <f>SUMIFS(MainData[ExtendedPrice],MainData[EventID],EventData[[#This Row],[EventID]],MainData[Billable?],"Y",MainData[Category],J$7)</f>
        <v>600</v>
      </c>
      <c r="K14" s="128">
        <f>SUMIFS(MainData[ExtendedPrice],MainData[EventID],EventData[[#This Row],[EventID]],MainData[Billable?],"Y",MainData[Category],K$7)</f>
        <v>0</v>
      </c>
      <c r="L14" s="128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14">
        <v>64</v>
      </c>
      <c r="C15" s="154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55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>Precon Meeting</v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3</v>
      </c>
      <c r="H15" s="107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28">
        <f>SUMIFS(MainData[ExtendedPrice],MainData[EventID],EventData[[#This Row],[EventID]],MainData[Billable?],"Y",MainData[Category],I$7)</f>
        <v>0</v>
      </c>
      <c r="J15" s="128">
        <f>SUMIFS(MainData[ExtendedPrice],MainData[EventID],EventData[[#This Row],[EventID]],MainData[Billable?],"Y",MainData[Category],J$7)</f>
        <v>0</v>
      </c>
      <c r="K15" s="128">
        <f>SUMIFS(MainData[ExtendedPrice],MainData[EventID],EventData[[#This Row],[EventID]],MainData[Billable?],"Y",MainData[Category],K$7)</f>
        <v>0</v>
      </c>
      <c r="L15" s="128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14">
        <v>7</v>
      </c>
      <c r="C16" s="154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55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>Dinner</v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16" s="107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28">
        <f>SUMIFS(MainData[ExtendedPrice],MainData[EventID],EventData[[#This Row],[EventID]],MainData[Billable?],"Y",MainData[Category],I$7)</f>
        <v>0</v>
      </c>
      <c r="J16" s="128">
        <f>SUMIFS(MainData[ExtendedPrice],MainData[EventID],EventData[[#This Row],[EventID]],MainData[Billable?],"Y",MainData[Category],J$7)</f>
        <v>100</v>
      </c>
      <c r="K16" s="128">
        <f>SUMIFS(MainData[ExtendedPrice],MainData[EventID],EventData[[#This Row],[EventID]],MainData[Billable?],"Y",MainData[Category],K$7)</f>
        <v>0</v>
      </c>
      <c r="L16" s="128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14">
        <v>65</v>
      </c>
      <c r="C17" s="154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55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>Reception</v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7" s="107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28">
        <f>SUMIFS(MainData[ExtendedPrice],MainData[EventID],EventData[[#This Row],[EventID]],MainData[Billable?],"Y",MainData[Category],I$7)</f>
        <v>0</v>
      </c>
      <c r="J17" s="128">
        <f>SUMIFS(MainData[ExtendedPrice],MainData[EventID],EventData[[#This Row],[EventID]],MainData[Billable?],"Y",MainData[Category],J$7)</f>
        <v>200</v>
      </c>
      <c r="K17" s="128">
        <f>SUMIFS(MainData[ExtendedPrice],MainData[EventID],EventData[[#This Row],[EventID]],MainData[Billable?],"Y",MainData[Category],K$7)</f>
        <v>0</v>
      </c>
      <c r="L17" s="128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14">
        <v>16</v>
      </c>
      <c r="C18" s="154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55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>Reception/Dinner</v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8" s="107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28">
        <f>SUMIFS(MainData[ExtendedPrice],MainData[EventID],EventData[[#This Row],[EventID]],MainData[Billable?],"Y",MainData[Category],I$7)</f>
        <v>0</v>
      </c>
      <c r="J18" s="128">
        <f>SUMIFS(MainData[ExtendedPrice],MainData[EventID],EventData[[#This Row],[EventID]],MainData[Billable?],"Y",MainData[Category],J$7)</f>
        <v>700</v>
      </c>
      <c r="K18" s="128">
        <f>SUMIFS(MainData[ExtendedPrice],MainData[EventID],EventData[[#This Row],[EventID]],MainData[Billable?],"Y",MainData[Category],K$7)</f>
        <v>0</v>
      </c>
      <c r="L18" s="128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14">
        <v>18</v>
      </c>
      <c r="C19" s="154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55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>Reception</v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9" s="107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28">
        <f>SUMIFS(MainData[ExtendedPrice],MainData[EventID],EventData[[#This Row],[EventID]],MainData[Billable?],"Y",MainData[Category],I$7)</f>
        <v>0</v>
      </c>
      <c r="J19" s="128">
        <f>SUMIFS(MainData[ExtendedPrice],MainData[EventID],EventData[[#This Row],[EventID]],MainData[Billable?],"Y",MainData[Category],J$7)</f>
        <v>100</v>
      </c>
      <c r="K19" s="128">
        <f>SUMIFS(MainData[ExtendedPrice],MainData[EventID],EventData[[#This Row],[EventID]],MainData[Billable?],"Y",MainData[Category],K$7)</f>
        <v>0</v>
      </c>
      <c r="L19" s="128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14">
        <v>19</v>
      </c>
      <c r="C20" s="154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55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>Reception</v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20" s="107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28">
        <f>SUMIFS(MainData[ExtendedPrice],MainData[EventID],EventData[[#This Row],[EventID]],MainData[Billable?],"Y",MainData[Category],I$7)</f>
        <v>0</v>
      </c>
      <c r="J20" s="128">
        <f>SUMIFS(MainData[ExtendedPrice],MainData[EventID],EventData[[#This Row],[EventID]],MainData[Billable?],"Y",MainData[Category],J$7)</f>
        <v>100</v>
      </c>
      <c r="K20" s="128">
        <f>SUMIFS(MainData[ExtendedPrice],MainData[EventID],EventData[[#This Row],[EventID]],MainData[Billable?],"Y",MainData[Category],K$7)</f>
        <v>0</v>
      </c>
      <c r="L20" s="128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14">
        <v>66</v>
      </c>
      <c r="C21" s="154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55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>Reception</v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1" s="107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28">
        <f>SUMIFS(MainData[ExtendedPrice],MainData[EventID],EventData[[#This Row],[EventID]],MainData[Billable?],"Y",MainData[Category],I$7)</f>
        <v>0</v>
      </c>
      <c r="J21" s="128">
        <f>SUMIFS(MainData[ExtendedPrice],MainData[EventID],EventData[[#This Row],[EventID]],MainData[Billable?],"Y",MainData[Category],J$7)</f>
        <v>500</v>
      </c>
      <c r="K21" s="128">
        <f>SUMIFS(MainData[ExtendedPrice],MainData[EventID],EventData[[#This Row],[EventID]],MainData[Billable?],"Y",MainData[Category],K$7)</f>
        <v>0</v>
      </c>
      <c r="L21" s="128">
        <f>SUMIFS(MainData[ExtendedPrice],MainData[EventID],EventData[[#This Row],[EventID]],MainData[Billable?],"Y",MainData[Category],L$7)</f>
        <v>8558</v>
      </c>
    </row>
    <row r="22" spans="2:17" x14ac:dyDescent="0.25">
      <c r="B22" s="114">
        <v>59</v>
      </c>
      <c r="C22" s="154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55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>Reception/Dinner</v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2" s="107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28">
        <f>SUMIFS(MainData[ExtendedPrice],MainData[EventID],EventData[[#This Row],[EventID]],MainData[Billable?],"Y",MainData[Category],I$7)</f>
        <v>0</v>
      </c>
      <c r="J22" s="128">
        <f>SUMIFS(MainData[ExtendedPrice],MainData[EventID],EventData[[#This Row],[EventID]],MainData[Billable?],"Y",MainData[Category],J$7)</f>
        <v>800</v>
      </c>
      <c r="K22" s="128">
        <f>SUMIFS(MainData[ExtendedPrice],MainData[EventID],EventData[[#This Row],[EventID]],MainData[Billable?],"Y",MainData[Category],K$7)</f>
        <v>0</v>
      </c>
      <c r="L22" s="128">
        <f>SUMIFS(MainData[ExtendedPrice],MainData[EventID],EventData[[#This Row],[EventID]],MainData[Billable?],"Y",MainData[Category],L$7)</f>
        <v>24144</v>
      </c>
    </row>
    <row r="23" spans="2:17" x14ac:dyDescent="0.25">
      <c r="B23" s="114">
        <v>67</v>
      </c>
      <c r="C23" s="154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55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>Reception</v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3" s="107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28">
        <f>SUMIFS(MainData[ExtendedPrice],MainData[EventID],EventData[[#This Row],[EventID]],MainData[Billable?],"Y",MainData[Category],I$7)</f>
        <v>0</v>
      </c>
      <c r="J23" s="128">
        <f>SUMIFS(MainData[ExtendedPrice],MainData[EventID],EventData[[#This Row],[EventID]],MainData[Billable?],"Y",MainData[Category],J$7)</f>
        <v>500</v>
      </c>
      <c r="K23" s="128">
        <f>SUMIFS(MainData[ExtendedPrice],MainData[EventID],EventData[[#This Row],[EventID]],MainData[Billable?],"Y",MainData[Category],K$7)</f>
        <v>0</v>
      </c>
      <c r="L23" s="128">
        <f>SUMIFS(MainData[ExtendedPrice],MainData[EventID],EventData[[#This Row],[EventID]],MainData[Billable?],"Y",MainData[Category],L$7)</f>
        <v>7007</v>
      </c>
    </row>
    <row r="24" spans="2:17" x14ac:dyDescent="0.25">
      <c r="B24" s="114">
        <v>71</v>
      </c>
      <c r="C24" s="154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55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>Precon Meeting</v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24" s="107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28">
        <f>SUMIFS(MainData[ExtendedPrice],MainData[EventID],EventData[[#This Row],[EventID]],MainData[Billable?],"Y",MainData[Category],I$7)</f>
        <v>0</v>
      </c>
      <c r="J24" s="128">
        <f>SUMIFS(MainData[ExtendedPrice],MainData[EventID],EventData[[#This Row],[EventID]],MainData[Billable?],"Y",MainData[Category],J$7)</f>
        <v>0</v>
      </c>
      <c r="K24" s="128">
        <f>SUMIFS(MainData[ExtendedPrice],MainData[EventID],EventData[[#This Row],[EventID]],MainData[Billable?],"Y",MainData[Category],K$7)</f>
        <v>0</v>
      </c>
      <c r="L24" s="128">
        <f>SUMIFS(MainData[ExtendedPrice],MainData[EventID],EventData[[#This Row],[EventID]],MainData[Billable?],"Y",MainData[Category],L$7)</f>
        <v>41</v>
      </c>
    </row>
    <row r="25" spans="2:17" x14ac:dyDescent="0.25">
      <c r="B25" s="114">
        <v>78</v>
      </c>
      <c r="C25" s="154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55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>Reception</v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25" s="107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28">
        <f>SUMIFS(MainData[ExtendedPrice],MainData[EventID],EventData[[#This Row],[EventID]],MainData[Billable?],"Y",MainData[Category],I$7)</f>
        <v>0</v>
      </c>
      <c r="J25" s="128">
        <f>SUMIFS(MainData[ExtendedPrice],MainData[EventID],EventData[[#This Row],[EventID]],MainData[Billable?],"Y",MainData[Category],J$7)</f>
        <v>0</v>
      </c>
      <c r="K25" s="128">
        <f>SUMIFS(MainData[ExtendedPrice],MainData[EventID],EventData[[#This Row],[EventID]],MainData[Billable?],"Y",MainData[Category],K$7)</f>
        <v>0</v>
      </c>
      <c r="L25" s="128">
        <f>SUMIFS(MainData[ExtendedPrice],MainData[EventID],EventData[[#This Row],[EventID]],MainData[Billable?],"Y",MainData[Category],L$7)</f>
        <v>1058</v>
      </c>
    </row>
    <row r="26" spans="2:17" x14ac:dyDescent="0.25">
      <c r="B26" s="114">
        <v>69</v>
      </c>
      <c r="C26" s="154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55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>Reception</v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26" s="107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28">
        <f>SUMIFS(MainData[ExtendedPrice],MainData[EventID],EventData[[#This Row],[EventID]],MainData[Billable?],"Y",MainData[Category],I$7)</f>
        <v>0</v>
      </c>
      <c r="J26" s="128">
        <f>SUMIFS(MainData[ExtendedPrice],MainData[EventID],EventData[[#This Row],[EventID]],MainData[Billable?],"Y",MainData[Category],J$7)</f>
        <v>400</v>
      </c>
      <c r="K26" s="128">
        <f>SUMIFS(MainData[ExtendedPrice],MainData[EventID],EventData[[#This Row],[EventID]],MainData[Billable?],"Y",MainData[Category],K$7)</f>
        <v>0</v>
      </c>
      <c r="L26" s="128">
        <f>SUMIFS(MainData[ExtendedPrice],MainData[EventID],EventData[[#This Row],[EventID]],MainData[Billable?],"Y",MainData[Category],L$7)</f>
        <v>5654.65</v>
      </c>
    </row>
    <row r="27" spans="2:17" x14ac:dyDescent="0.25">
      <c r="B27" s="114">
        <v>70</v>
      </c>
      <c r="C27" s="154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55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>Reception</v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Foyer</v>
      </c>
      <c r="H27" s="107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28">
        <f>SUMIFS(MainData[ExtendedPrice],MainData[EventID],EventData[[#This Row],[EventID]],MainData[Billable?],"Y",MainData[Category],I$7)</f>
        <v>0</v>
      </c>
      <c r="J27" s="128">
        <f>SUMIFS(MainData[ExtendedPrice],MainData[EventID],EventData[[#This Row],[EventID]],MainData[Billable?],"Y",MainData[Category],J$7)</f>
        <v>1400</v>
      </c>
      <c r="K27" s="128">
        <f>SUMIFS(MainData[ExtendedPrice],MainData[EventID],EventData[[#This Row],[EventID]],MainData[Billable?],"Y",MainData[Category],K$7)</f>
        <v>0</v>
      </c>
      <c r="L27" s="128">
        <f>SUMIFS(MainData[ExtendedPrice],MainData[EventID],EventData[[#This Row],[EventID]],MainData[Billable?],"Y",MainData[Category],L$7)</f>
        <v>35591.29</v>
      </c>
    </row>
    <row r="28" spans="2:17" x14ac:dyDescent="0.25">
      <c r="B28" s="114">
        <v>77</v>
      </c>
      <c r="C28" s="154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55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>Dinner</v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8" s="107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28">
        <f>SUMIFS(MainData[ExtendedPrice],MainData[EventID],EventData[[#This Row],[EventID]],MainData[Billable?],"Y",MainData[Category],I$7)</f>
        <v>0</v>
      </c>
      <c r="J28" s="128">
        <f>SUMIFS(MainData[ExtendedPrice],MainData[EventID],EventData[[#This Row],[EventID]],MainData[Billable?],"Y",MainData[Category],J$7)</f>
        <v>100</v>
      </c>
      <c r="K28" s="128">
        <f>SUMIFS(MainData[ExtendedPrice],MainData[EventID],EventData[[#This Row],[EventID]],MainData[Billable?],"Y",MainData[Category],K$7)</f>
        <v>0</v>
      </c>
      <c r="L28" s="128">
        <f>SUMIFS(MainData[ExtendedPrice],MainData[EventID],EventData[[#This Row],[EventID]],MainData[Billable?],"Y",MainData[Category],L$7)</f>
        <v>9456</v>
      </c>
    </row>
    <row r="29" spans="2:17" x14ac:dyDescent="0.25">
      <c r="B29" s="114">
        <v>68</v>
      </c>
      <c r="C29" s="154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55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>Dinner/Meeting</v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29" s="107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28">
        <f>SUMIFS(MainData[ExtendedPrice],MainData[EventID],EventData[[#This Row],[EventID]],MainData[Billable?],"Y",MainData[Category],I$7)</f>
        <v>0</v>
      </c>
      <c r="J29" s="128">
        <f>SUMIFS(MainData[ExtendedPrice],MainData[EventID],EventData[[#This Row],[EventID]],MainData[Billable?],"Y",MainData[Category],J$7)</f>
        <v>100</v>
      </c>
      <c r="K29" s="128">
        <f>SUMIFS(MainData[ExtendedPrice],MainData[EventID],EventData[[#This Row],[EventID]],MainData[Billable?],"Y",MainData[Category],K$7)</f>
        <v>0</v>
      </c>
      <c r="L29" s="128">
        <f>SUMIFS(MainData[ExtendedPrice],MainData[EventID],EventData[[#This Row],[EventID]],MainData[Billable?],"Y",MainData[Category],L$7)</f>
        <v>220</v>
      </c>
    </row>
    <row r="30" spans="2:17" x14ac:dyDescent="0.25">
      <c r="B30" s="114">
        <v>74</v>
      </c>
      <c r="C30" s="154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55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>Dinner/Meeting</v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30" s="107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28">
        <f>SUMIFS(MainData[ExtendedPrice],MainData[EventID],EventData[[#This Row],[EventID]],MainData[Billable?],"Y",MainData[Category],I$7)</f>
        <v>0</v>
      </c>
      <c r="J30" s="128">
        <f>SUMIFS(MainData[ExtendedPrice],MainData[EventID],EventData[[#This Row],[EventID]],MainData[Billable?],"Y",MainData[Category],J$7)</f>
        <v>100</v>
      </c>
      <c r="K30" s="128">
        <f>SUMIFS(MainData[ExtendedPrice],MainData[EventID],EventData[[#This Row],[EventID]],MainData[Billable?],"Y",MainData[Category],K$7)</f>
        <v>0</v>
      </c>
      <c r="L30" s="128">
        <f>SUMIFS(MainData[ExtendedPrice],MainData[EventID],EventData[[#This Row],[EventID]],MainData[Billable?],"Y",MainData[Category],L$7)</f>
        <v>1433.68</v>
      </c>
    </row>
    <row r="31" spans="2:17" x14ac:dyDescent="0.25">
      <c r="B31" s="114">
        <v>75</v>
      </c>
      <c r="C31" s="154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55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>Dinner/Meeting</v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C</v>
      </c>
      <c r="H31" s="107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28">
        <f>SUMIFS(MainData[ExtendedPrice],MainData[EventID],EventData[[#This Row],[EventID]],MainData[Billable?],"Y",MainData[Category],I$7)</f>
        <v>0</v>
      </c>
      <c r="J31" s="128">
        <f>SUMIFS(MainData[ExtendedPrice],MainData[EventID],EventData[[#This Row],[EventID]],MainData[Billable?],"Y",MainData[Category],J$7)</f>
        <v>100</v>
      </c>
      <c r="K31" s="128">
        <f>SUMIFS(MainData[ExtendedPrice],MainData[EventID],EventData[[#This Row],[EventID]],MainData[Billable?],"Y",MainData[Category],K$7)</f>
        <v>0</v>
      </c>
      <c r="L31" s="128">
        <f>SUMIFS(MainData[ExtendedPrice],MainData[EventID],EventData[[#This Row],[EventID]],MainData[Billable?],"Y",MainData[Category],L$7)</f>
        <v>602.91</v>
      </c>
    </row>
    <row r="32" spans="2:17" x14ac:dyDescent="0.25">
      <c r="B32" s="114">
        <v>79</v>
      </c>
      <c r="C32" s="154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55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>Dinner/Meeting</v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D</v>
      </c>
      <c r="H32" s="107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28">
        <f>SUMIFS(MainData[ExtendedPrice],MainData[EventID],EventData[[#This Row],[EventID]],MainData[Billable?],"Y",MainData[Category],I$7)</f>
        <v>0</v>
      </c>
      <c r="J32" s="128">
        <f>SUMIFS(MainData[ExtendedPrice],MainData[EventID],EventData[[#This Row],[EventID]],MainData[Billable?],"Y",MainData[Category],J$7)</f>
        <v>100</v>
      </c>
      <c r="K32" s="128">
        <f>SUMIFS(MainData[ExtendedPrice],MainData[EventID],EventData[[#This Row],[EventID]],MainData[Billable?],"Y",MainData[Category],K$7)</f>
        <v>0</v>
      </c>
      <c r="L32" s="128">
        <f>SUMIFS(MainData[ExtendedPrice],MainData[EventID],EventData[[#This Row],[EventID]],MainData[Billable?],"Y",MainData[Category],L$7)</f>
        <v>456</v>
      </c>
    </row>
    <row r="33" spans="2:12" x14ac:dyDescent="0.25">
      <c r="B33" s="114">
        <v>72</v>
      </c>
      <c r="C33" s="154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55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>Reception</v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33" s="107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28">
        <f>SUMIFS(MainData[ExtendedPrice],MainData[EventID],EventData[[#This Row],[EventID]],MainData[Billable?],"Y",MainData[Category],I$7)</f>
        <v>0</v>
      </c>
      <c r="J33" s="128">
        <f>SUMIFS(MainData[ExtendedPrice],MainData[EventID],EventData[[#This Row],[EventID]],MainData[Billable?],"Y",MainData[Category],J$7)</f>
        <v>900</v>
      </c>
      <c r="K33" s="128">
        <f>SUMIFS(MainData[ExtendedPrice],MainData[EventID],EventData[[#This Row],[EventID]],MainData[Billable?],"Y",MainData[Category],K$7)</f>
        <v>0</v>
      </c>
      <c r="L33" s="128">
        <f>SUMIFS(MainData[ExtendedPrice],MainData[EventID],EventData[[#This Row],[EventID]],MainData[Billable?],"Y",MainData[Category],L$7)</f>
        <v>36527.839999999997</v>
      </c>
    </row>
    <row r="34" spans="2:12" x14ac:dyDescent="0.25">
      <c r="B34" s="114">
        <v>73</v>
      </c>
      <c r="C34" s="154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55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>Reception</v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 Foyer</v>
      </c>
      <c r="H34" s="107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28">
        <f>SUMIFS(MainData[ExtendedPrice],MainData[EventID],EventData[[#This Row],[EventID]],MainData[Billable?],"Y",MainData[Category],I$7)</f>
        <v>0</v>
      </c>
      <c r="J34" s="128">
        <f>SUMIFS(MainData[ExtendedPrice],MainData[EventID],EventData[[#This Row],[EventID]],MainData[Billable?],"Y",MainData[Category],J$7)</f>
        <v>100</v>
      </c>
      <c r="K34" s="128">
        <f>SUMIFS(MainData[ExtendedPrice],MainData[EventID],EventData[[#This Row],[EventID]],MainData[Billable?],"Y",MainData[Category],K$7)</f>
        <v>0</v>
      </c>
      <c r="L34" s="128">
        <f>SUMIFS(MainData[ExtendedPrice],MainData[EventID],EventData[[#This Row],[EventID]],MainData[Billable?],"Y",MainData[Category],L$7)</f>
        <v>1231.58</v>
      </c>
    </row>
    <row r="35" spans="2:12" x14ac:dyDescent="0.25">
      <c r="B35" s="114">
        <v>8</v>
      </c>
      <c r="C35" s="154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55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>Precon Meeting</v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8</v>
      </c>
      <c r="H35" s="107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28">
        <f>SUMIFS(MainData[ExtendedPrice],MainData[EventID],EventData[[#This Row],[EventID]],MainData[Billable?],"Y",MainData[Category],I$7)</f>
        <v>0</v>
      </c>
      <c r="J35" s="128">
        <f>SUMIFS(MainData[ExtendedPrice],MainData[EventID],EventData[[#This Row],[EventID]],MainData[Billable?],"Y",MainData[Category],J$7)</f>
        <v>0</v>
      </c>
      <c r="K35" s="128">
        <f>SUMIFS(MainData[ExtendedPrice],MainData[EventID],EventData[[#This Row],[EventID]],MainData[Billable?],"Y",MainData[Category],K$7)</f>
        <v>0</v>
      </c>
      <c r="L35" s="128">
        <f>SUMIFS(MainData[ExtendedPrice],MainData[EventID],EventData[[#This Row],[EventID]],MainData[Billable?],"Y",MainData[Category],L$7)</f>
        <v>41</v>
      </c>
    </row>
    <row r="36" spans="2:12" x14ac:dyDescent="0.25">
      <c r="B36" s="114">
        <v>76</v>
      </c>
      <c r="C36" s="154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55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>Dinner/Meeting</v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36" s="107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28">
        <f>SUMIFS(MainData[ExtendedPrice],MainData[EventID],EventData[[#This Row],[EventID]],MainData[Billable?],"Y",MainData[Category],I$7)</f>
        <v>0</v>
      </c>
      <c r="J36" s="128">
        <f>SUMIFS(MainData[ExtendedPrice],MainData[EventID],EventData[[#This Row],[EventID]],MainData[Billable?],"Y",MainData[Category],J$7)</f>
        <v>100</v>
      </c>
      <c r="K36" s="128">
        <f>SUMIFS(MainData[ExtendedPrice],MainData[EventID],EventData[[#This Row],[EventID]],MainData[Billable?],"Y",MainData[Category],K$7)</f>
        <v>0</v>
      </c>
      <c r="L36" s="128">
        <f>SUMIFS(MainData[ExtendedPrice],MainData[EventID],EventData[[#This Row],[EventID]],MainData[Billable?],"Y",MainData[Category],L$7)</f>
        <v>448.98</v>
      </c>
    </row>
    <row r="37" spans="2:12" x14ac:dyDescent="0.25">
      <c r="B37" s="114">
        <v>93</v>
      </c>
      <c r="C37" s="154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55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>Reception</v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37" s="107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28">
        <f>SUMIFS(MainData[ExtendedPrice],MainData[EventID],EventData[[#This Row],[EventID]],MainData[Billable?],"Y",MainData[Category],I$7)</f>
        <v>0</v>
      </c>
      <c r="J37" s="128">
        <f>SUMIFS(MainData[ExtendedPrice],MainData[EventID],EventData[[#This Row],[EventID]],MainData[Billable?],"Y",MainData[Category],J$7)</f>
        <v>100</v>
      </c>
      <c r="K37" s="128">
        <f>SUMIFS(MainData[ExtendedPrice],MainData[EventID],EventData[[#This Row],[EventID]],MainData[Billable?],"Y",MainData[Category],K$7)</f>
        <v>0</v>
      </c>
      <c r="L37" s="128">
        <f>SUMIFS(MainData[ExtendedPrice],MainData[EventID],EventData[[#This Row],[EventID]],MainData[Billable?],"Y",MainData[Category],L$7)</f>
        <v>1450</v>
      </c>
    </row>
    <row r="38" spans="2:12" x14ac:dyDescent="0.25">
      <c r="B38" s="114">
        <v>94</v>
      </c>
      <c r="C38" s="154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55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>Reception/Dinner</v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38" s="107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28">
        <f>SUMIFS(MainData[ExtendedPrice],MainData[EventID],EventData[[#This Row],[EventID]],MainData[Billable?],"Y",MainData[Category],I$7)</f>
        <v>0</v>
      </c>
      <c r="J38" s="128">
        <f>SUMIFS(MainData[ExtendedPrice],MainData[EventID],EventData[[#This Row],[EventID]],MainData[Billable?],"Y",MainData[Category],J$7)</f>
        <v>200</v>
      </c>
      <c r="K38" s="128">
        <f>SUMIFS(MainData[ExtendedPrice],MainData[EventID],EventData[[#This Row],[EventID]],MainData[Billable?],"Y",MainData[Category],K$7)</f>
        <v>0</v>
      </c>
      <c r="L38" s="128">
        <f>SUMIFS(MainData[ExtendedPrice],MainData[EventID],EventData[[#This Row],[EventID]],MainData[Billable?],"Y",MainData[Category],L$7)</f>
        <v>2865.75</v>
      </c>
    </row>
    <row r="39" spans="2:12" x14ac:dyDescent="0.25">
      <c r="B39" s="114">
        <v>42</v>
      </c>
      <c r="C39" s="154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55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>Reception/Dinner</v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39" s="107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28">
        <f>SUMIFS(MainData[ExtendedPrice],MainData[EventID],EventData[[#This Row],[EventID]],MainData[Billable?],"Y",MainData[Category],I$7)</f>
        <v>0</v>
      </c>
      <c r="J39" s="128">
        <f>SUMIFS(MainData[ExtendedPrice],MainData[EventID],EventData[[#This Row],[EventID]],MainData[Billable?],"Y",MainData[Category],J$7)</f>
        <v>300</v>
      </c>
      <c r="K39" s="128">
        <f>SUMIFS(MainData[ExtendedPrice],MainData[EventID],EventData[[#This Row],[EventID]],MainData[Billable?],"Y",MainData[Category],K$7)</f>
        <v>0</v>
      </c>
      <c r="L39" s="128">
        <f>SUMIFS(MainData[ExtendedPrice],MainData[EventID],EventData[[#This Row],[EventID]],MainData[Billable?],"Y",MainData[Category],L$7)</f>
        <v>4324.92</v>
      </c>
    </row>
    <row r="40" spans="2:12" x14ac:dyDescent="0.25">
      <c r="B40" s="114">
        <v>23</v>
      </c>
      <c r="C40" s="154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55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>Hospitality</v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0" s="107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28">
        <f>SUMIFS(MainData[ExtendedPrice],MainData[EventID],EventData[[#This Row],[EventID]],MainData[Billable?],"Y",MainData[Category],I$7)</f>
        <v>0</v>
      </c>
      <c r="J40" s="128">
        <f>SUMIFS(MainData[ExtendedPrice],MainData[EventID],EventData[[#This Row],[EventID]],MainData[Billable?],"Y",MainData[Category],J$7)</f>
        <v>0</v>
      </c>
      <c r="K40" s="128">
        <f>SUMIFS(MainData[ExtendedPrice],MainData[EventID],EventData[[#This Row],[EventID]],MainData[Billable?],"Y",MainData[Category],K$7)</f>
        <v>0</v>
      </c>
      <c r="L40" s="128">
        <f>SUMIFS(MainData[ExtendedPrice],MainData[EventID],EventData[[#This Row],[EventID]],MainData[Billable?],"Y",MainData[Category],L$7)</f>
        <v>50</v>
      </c>
    </row>
    <row r="41" spans="2:12" x14ac:dyDescent="0.25">
      <c r="B41" s="114">
        <v>60</v>
      </c>
      <c r="C41" s="154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55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>Reception/Dinner</v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41" s="107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28">
        <f>SUMIFS(MainData[ExtendedPrice],MainData[EventID],EventData[[#This Row],[EventID]],MainData[Billable?],"Y",MainData[Category],I$7)</f>
        <v>0</v>
      </c>
      <c r="J41" s="128">
        <f>SUMIFS(MainData[ExtendedPrice],MainData[EventID],EventData[[#This Row],[EventID]],MainData[Billable?],"Y",MainData[Category],J$7)</f>
        <v>100</v>
      </c>
      <c r="K41" s="128">
        <f>SUMIFS(MainData[ExtendedPrice],MainData[EventID],EventData[[#This Row],[EventID]],MainData[Billable?],"Y",MainData[Category],K$7)</f>
        <v>0</v>
      </c>
      <c r="L41" s="128">
        <f>SUMIFS(MainData[ExtendedPrice],MainData[EventID],EventData[[#This Row],[EventID]],MainData[Billable?],"Y",MainData[Category],L$7)</f>
        <v>912.5</v>
      </c>
    </row>
    <row r="42" spans="2:12" x14ac:dyDescent="0.25">
      <c r="B42" s="114">
        <v>24</v>
      </c>
      <c r="C42" s="154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55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>Hospitality</v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2" s="107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28">
        <f>SUMIFS(MainData[ExtendedPrice],MainData[EventID],EventData[[#This Row],[EventID]],MainData[Billable?],"Y",MainData[Category],I$7)</f>
        <v>0</v>
      </c>
      <c r="J42" s="128">
        <f>SUMIFS(MainData[ExtendedPrice],MainData[EventID],EventData[[#This Row],[EventID]],MainData[Billable?],"Y",MainData[Category],J$7)</f>
        <v>0</v>
      </c>
      <c r="K42" s="128">
        <f>SUMIFS(MainData[ExtendedPrice],MainData[EventID],EventData[[#This Row],[EventID]],MainData[Billable?],"Y",MainData[Category],K$7)</f>
        <v>0</v>
      </c>
      <c r="L42" s="128">
        <f>SUMIFS(MainData[ExtendedPrice],MainData[EventID],EventData[[#This Row],[EventID]],MainData[Billable?],"Y",MainData[Category],L$7)</f>
        <v>50</v>
      </c>
    </row>
    <row r="43" spans="2:12" x14ac:dyDescent="0.25">
      <c r="B43" s="114">
        <v>6</v>
      </c>
      <c r="C43" s="154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55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>Reception</v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43" s="107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28">
        <f>SUMIFS(MainData[ExtendedPrice],MainData[EventID],EventData[[#This Row],[EventID]],MainData[Billable?],"Y",MainData[Category],I$7)</f>
        <v>0</v>
      </c>
      <c r="J43" s="128">
        <f>SUMIFS(MainData[ExtendedPrice],MainData[EventID],EventData[[#This Row],[EventID]],MainData[Billable?],"Y",MainData[Category],J$7)</f>
        <v>100</v>
      </c>
      <c r="K43" s="128">
        <f>SUMIFS(MainData[ExtendedPrice],MainData[EventID],EventData[[#This Row],[EventID]],MainData[Billable?],"Y",MainData[Category],K$7)</f>
        <v>0</v>
      </c>
      <c r="L43" s="128">
        <f>SUMIFS(MainData[ExtendedPrice],MainData[EventID],EventData[[#This Row],[EventID]],MainData[Billable?],"Y",MainData[Category],L$7)</f>
        <v>1063.5</v>
      </c>
    </row>
    <row r="44" spans="2:12" x14ac:dyDescent="0.25">
      <c r="B44" s="114">
        <v>20</v>
      </c>
      <c r="C44" s="154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55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>Hospitality</v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4" s="107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28">
        <f>SUMIFS(MainData[ExtendedPrice],MainData[EventID],EventData[[#This Row],[EventID]],MainData[Billable?],"Y",MainData[Category],I$7)</f>
        <v>0</v>
      </c>
      <c r="J44" s="128">
        <f>SUMIFS(MainData[ExtendedPrice],MainData[EventID],EventData[[#This Row],[EventID]],MainData[Billable?],"Y",MainData[Category],J$7)</f>
        <v>0</v>
      </c>
      <c r="K44" s="128">
        <f>SUMIFS(MainData[ExtendedPrice],MainData[EventID],EventData[[#This Row],[EventID]],MainData[Billable?],"Y",MainData[Category],K$7)</f>
        <v>0</v>
      </c>
      <c r="L44" s="128">
        <f>SUMIFS(MainData[ExtendedPrice],MainData[EventID],EventData[[#This Row],[EventID]],MainData[Billable?],"Y",MainData[Category],L$7)</f>
        <v>50</v>
      </c>
    </row>
    <row r="45" spans="2:12" x14ac:dyDescent="0.25">
      <c r="B45" s="114">
        <v>4</v>
      </c>
      <c r="C45" s="154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55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>Meeting</v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Ambassador's Suite</v>
      </c>
      <c r="H45" s="107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28">
        <f>SUMIFS(MainData[ExtendedPrice],MainData[EventID],EventData[[#This Row],[EventID]],MainData[Billable?],"Y",MainData[Category],I$7)</f>
        <v>0</v>
      </c>
      <c r="J45" s="128">
        <f>SUMIFS(MainData[ExtendedPrice],MainData[EventID],EventData[[#This Row],[EventID]],MainData[Billable?],"Y",MainData[Category],J$7)</f>
        <v>100</v>
      </c>
      <c r="K45" s="128">
        <f>SUMIFS(MainData[ExtendedPrice],MainData[EventID],EventData[[#This Row],[EventID]],MainData[Billable?],"Y",MainData[Category],K$7)</f>
        <v>0</v>
      </c>
      <c r="L45" s="128">
        <f>SUMIFS(MainData[ExtendedPrice],MainData[EventID],EventData[[#This Row],[EventID]],MainData[Billable?],"Y",MainData[Category],L$7)</f>
        <v>1195.5</v>
      </c>
    </row>
    <row r="46" spans="2:12" x14ac:dyDescent="0.25">
      <c r="B46" s="114">
        <v>45</v>
      </c>
      <c r="C46" s="154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55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>Reception/Dinner</v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46" s="107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28">
        <f>SUMIFS(MainData[ExtendedPrice],MainData[EventID],EventData[[#This Row],[EventID]],MainData[Billable?],"Y",MainData[Category],I$7)</f>
        <v>0</v>
      </c>
      <c r="J46" s="128">
        <f>SUMIFS(MainData[ExtendedPrice],MainData[EventID],EventData[[#This Row],[EventID]],MainData[Billable?],"Y",MainData[Category],J$7)</f>
        <v>200</v>
      </c>
      <c r="K46" s="128">
        <f>SUMIFS(MainData[ExtendedPrice],MainData[EventID],EventData[[#This Row],[EventID]],MainData[Billable?],"Y",MainData[Category],K$7)</f>
        <v>0</v>
      </c>
      <c r="L46" s="128">
        <f>SUMIFS(MainData[ExtendedPrice],MainData[EventID],EventData[[#This Row],[EventID]],MainData[Billable?],"Y",MainData[Category],L$7)</f>
        <v>8493</v>
      </c>
    </row>
    <row r="47" spans="2:12" x14ac:dyDescent="0.25">
      <c r="B47" s="114">
        <v>61</v>
      </c>
      <c r="C47" s="154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55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>Dinner</v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7" s="107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28">
        <f>SUMIFS(MainData[ExtendedPrice],MainData[EventID],EventData[[#This Row],[EventID]],MainData[Billable?],"Y",MainData[Category],I$7)</f>
        <v>0</v>
      </c>
      <c r="J47" s="128">
        <f>SUMIFS(MainData[ExtendedPrice],MainData[EventID],EventData[[#This Row],[EventID]],MainData[Billable?],"Y",MainData[Category],J$7)</f>
        <v>300</v>
      </c>
      <c r="K47" s="128">
        <f>SUMIFS(MainData[ExtendedPrice],MainData[EventID],EventData[[#This Row],[EventID]],MainData[Billable?],"Y",MainData[Category],K$7)</f>
        <v>0</v>
      </c>
      <c r="L47" s="128">
        <f>SUMIFS(MainData[ExtendedPrice],MainData[EventID],EventData[[#This Row],[EventID]],MainData[Billable?],"Y",MainData[Category],L$7)</f>
        <v>5182.5</v>
      </c>
    </row>
    <row r="48" spans="2:12" x14ac:dyDescent="0.25">
      <c r="B48" s="114">
        <v>62</v>
      </c>
      <c r="C48" s="154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55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>Dinner</v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8" s="107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28">
        <f>SUMIFS(MainData[ExtendedPrice],MainData[EventID],EventData[[#This Row],[EventID]],MainData[Billable?],"Y",MainData[Category],I$7)</f>
        <v>0</v>
      </c>
      <c r="J48" s="128">
        <f>SUMIFS(MainData[ExtendedPrice],MainData[EventID],EventData[[#This Row],[EventID]],MainData[Billable?],"Y",MainData[Category],J$7)</f>
        <v>100</v>
      </c>
      <c r="K48" s="128">
        <f>SUMIFS(MainData[ExtendedPrice],MainData[EventID],EventData[[#This Row],[EventID]],MainData[Billable?],"Y",MainData[Category],K$7)</f>
        <v>0</v>
      </c>
      <c r="L48" s="128">
        <f>SUMIFS(MainData[ExtendedPrice],MainData[EventID],EventData[[#This Row],[EventID]],MainData[Billable?],"Y",MainData[Category],L$7)</f>
        <v>426.5</v>
      </c>
    </row>
    <row r="49" spans="2:12" x14ac:dyDescent="0.25">
      <c r="B49" s="114">
        <v>21</v>
      </c>
      <c r="C49" s="154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55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>Hospitality</v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9" s="107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28">
        <f>SUMIFS(MainData[ExtendedPrice],MainData[EventID],EventData[[#This Row],[EventID]],MainData[Billable?],"Y",MainData[Category],I$7)</f>
        <v>0</v>
      </c>
      <c r="J49" s="128">
        <f>SUMIFS(MainData[ExtendedPrice],MainData[EventID],EventData[[#This Row],[EventID]],MainData[Billable?],"Y",MainData[Category],J$7)</f>
        <v>0</v>
      </c>
      <c r="K49" s="128">
        <f>SUMIFS(MainData[ExtendedPrice],MainData[EventID],EventData[[#This Row],[EventID]],MainData[Billable?],"Y",MainData[Category],K$7)</f>
        <v>0</v>
      </c>
      <c r="L49" s="128">
        <f>SUMIFS(MainData[ExtendedPrice],MainData[EventID],EventData[[#This Row],[EventID]],MainData[Billable?],"Y",MainData[Category],L$7)</f>
        <v>50</v>
      </c>
    </row>
    <row r="50" spans="2:12" x14ac:dyDescent="0.25">
      <c r="B50" s="114">
        <v>5</v>
      </c>
      <c r="C50" s="154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55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>Reception/Dinner</v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0" s="107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28">
        <f>SUMIFS(MainData[ExtendedPrice],MainData[EventID],EventData[[#This Row],[EventID]],MainData[Billable?],"Y",MainData[Category],I$7)</f>
        <v>0</v>
      </c>
      <c r="J50" s="128">
        <f>SUMIFS(MainData[ExtendedPrice],MainData[EventID],EventData[[#This Row],[EventID]],MainData[Billable?],"Y",MainData[Category],J$7)</f>
        <v>100</v>
      </c>
      <c r="K50" s="128">
        <f>SUMIFS(MainData[ExtendedPrice],MainData[EventID],EventData[[#This Row],[EventID]],MainData[Billable?],"Y",MainData[Category],K$7)</f>
        <v>0</v>
      </c>
      <c r="L50" s="128">
        <f>SUMIFS(MainData[ExtendedPrice],MainData[EventID],EventData[[#This Row],[EventID]],MainData[Billable?],"Y",MainData[Category],L$7)</f>
        <v>3165.5</v>
      </c>
    </row>
    <row r="51" spans="2:12" x14ac:dyDescent="0.25">
      <c r="B51" s="114">
        <v>63</v>
      </c>
      <c r="C51" s="154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55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>Reception/Dinner</v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51" s="107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28">
        <f>SUMIFS(MainData[ExtendedPrice],MainData[EventID],EventData[[#This Row],[EventID]],MainData[Billable?],"Y",MainData[Category],I$7)</f>
        <v>0</v>
      </c>
      <c r="J51" s="128">
        <f>SUMIFS(MainData[ExtendedPrice],MainData[EventID],EventData[[#This Row],[EventID]],MainData[Billable?],"Y",MainData[Category],J$7)</f>
        <v>100</v>
      </c>
      <c r="K51" s="128">
        <f>SUMIFS(MainData[ExtendedPrice],MainData[EventID],EventData[[#This Row],[EventID]],MainData[Billable?],"Y",MainData[Category],K$7)</f>
        <v>0</v>
      </c>
      <c r="L51" s="128">
        <f>SUMIFS(MainData[ExtendedPrice],MainData[EventID],EventData[[#This Row],[EventID]],MainData[Billable?],"Y",MainData[Category],L$7)</f>
        <v>1018.5</v>
      </c>
    </row>
    <row r="52" spans="2:12" x14ac:dyDescent="0.25">
      <c r="B52" s="114">
        <v>25</v>
      </c>
      <c r="C52" s="154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55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>Reception</v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52" s="107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28">
        <f>SUMIFS(MainData[ExtendedPrice],MainData[EventID],EventData[[#This Row],[EventID]],MainData[Billable?],"Y",MainData[Category],I$7)</f>
        <v>0</v>
      </c>
      <c r="J52" s="128">
        <f>SUMIFS(MainData[ExtendedPrice],MainData[EventID],EventData[[#This Row],[EventID]],MainData[Billable?],"Y",MainData[Category],J$7)</f>
        <v>600</v>
      </c>
      <c r="K52" s="128">
        <f>SUMIFS(MainData[ExtendedPrice],MainData[EventID],EventData[[#This Row],[EventID]],MainData[Billable?],"Y",MainData[Category],K$7)</f>
        <v>0</v>
      </c>
      <c r="L52" s="128">
        <f>SUMIFS(MainData[ExtendedPrice],MainData[EventID],EventData[[#This Row],[EventID]],MainData[Billable?],"Y",MainData[Category],L$7)</f>
        <v>30865</v>
      </c>
    </row>
    <row r="53" spans="2:12" x14ac:dyDescent="0.25">
      <c r="B53" s="114">
        <v>22</v>
      </c>
      <c r="C53" s="154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55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>Hospitality</v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53" s="107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28">
        <f>SUMIFS(MainData[ExtendedPrice],MainData[EventID],EventData[[#This Row],[EventID]],MainData[Billable?],"Y",MainData[Category],I$7)</f>
        <v>0</v>
      </c>
      <c r="J53" s="128">
        <f>SUMIFS(MainData[ExtendedPrice],MainData[EventID],EventData[[#This Row],[EventID]],MainData[Billable?],"Y",MainData[Category],J$7)</f>
        <v>0</v>
      </c>
      <c r="K53" s="128">
        <f>SUMIFS(MainData[ExtendedPrice],MainData[EventID],EventData[[#This Row],[EventID]],MainData[Billable?],"Y",MainData[Category],K$7)</f>
        <v>0</v>
      </c>
      <c r="L53" s="128">
        <f>SUMIFS(MainData[ExtendedPrice],MainData[EventID],EventData[[#This Row],[EventID]],MainData[Billable?],"Y",MainData[Category],L$7)</f>
        <v>1845.75</v>
      </c>
    </row>
    <row r="54" spans="2:12" x14ac:dyDescent="0.25">
      <c r="B54" s="114">
        <v>103</v>
      </c>
      <c r="C54" s="154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55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>Precon Meeting</v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4</v>
      </c>
      <c r="H54" s="107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28">
        <f>SUMIFS(MainData[ExtendedPrice],MainData[EventID],EventData[[#This Row],[EventID]],MainData[Billable?],"Y",MainData[Category],I$7)</f>
        <v>0</v>
      </c>
      <c r="J54" s="128">
        <f>SUMIFS(MainData[ExtendedPrice],MainData[EventID],EventData[[#This Row],[EventID]],MainData[Billable?],"Y",MainData[Category],J$7)</f>
        <v>0</v>
      </c>
      <c r="K54" s="128">
        <f>SUMIFS(MainData[ExtendedPrice],MainData[EventID],EventData[[#This Row],[EventID]],MainData[Billable?],"Y",MainData[Category],K$7)</f>
        <v>0</v>
      </c>
      <c r="L54" s="128">
        <f>SUMIFS(MainData[ExtendedPrice],MainData[EventID],EventData[[#This Row],[EventID]],MainData[Billable?],"Y",MainData[Category],L$7)</f>
        <v>41</v>
      </c>
    </row>
    <row r="55" spans="2:12" x14ac:dyDescent="0.25">
      <c r="B55" s="114">
        <v>11</v>
      </c>
      <c r="C55" s="154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55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>Reception</v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</v>
      </c>
      <c r="H55" s="107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28">
        <f>SUMIFS(MainData[ExtendedPrice],MainData[EventID],EventData[[#This Row],[EventID]],MainData[Billable?],"Y",MainData[Category],I$7)</f>
        <v>0</v>
      </c>
      <c r="J55" s="128">
        <f>SUMIFS(MainData[ExtendedPrice],MainData[EventID],EventData[[#This Row],[EventID]],MainData[Billable?],"Y",MainData[Category],J$7)</f>
        <v>0</v>
      </c>
      <c r="K55" s="128">
        <f>SUMIFS(MainData[ExtendedPrice],MainData[EventID],EventData[[#This Row],[EventID]],MainData[Billable?],"Y",MainData[Category],K$7)</f>
        <v>0</v>
      </c>
      <c r="L55" s="128">
        <f>SUMIFS(MainData[ExtendedPrice],MainData[EventID],EventData[[#This Row],[EventID]],MainData[Billable?],"Y",MainData[Category],L$7)</f>
        <v>2165</v>
      </c>
    </row>
    <row r="56" spans="2:12" x14ac:dyDescent="0.25">
      <c r="B56" s="114">
        <v>105</v>
      </c>
      <c r="C56" s="154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55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>Dinner/Dance</v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56" s="107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28">
        <f>SUMIFS(MainData[ExtendedPrice],MainData[EventID],EventData[[#This Row],[EventID]],MainData[Billable?],"Y",MainData[Category],I$7)</f>
        <v>0</v>
      </c>
      <c r="J56" s="128">
        <f>SUMIFS(MainData[ExtendedPrice],MainData[EventID],EventData[[#This Row],[EventID]],MainData[Billable?],"Y",MainData[Category],J$7)</f>
        <v>300</v>
      </c>
      <c r="K56" s="128">
        <f>SUMIFS(MainData[ExtendedPrice],MainData[EventID],EventData[[#This Row],[EventID]],MainData[Billable?],"Y",MainData[Category],K$7)</f>
        <v>0</v>
      </c>
      <c r="L56" s="128">
        <f>SUMIFS(MainData[ExtendedPrice],MainData[EventID],EventData[[#This Row],[EventID]],MainData[Billable?],"Y",MainData[Category],L$7)</f>
        <v>2584.81</v>
      </c>
    </row>
    <row r="57" spans="2:12" x14ac:dyDescent="0.25">
      <c r="B57" s="114">
        <v>13</v>
      </c>
      <c r="C57" s="154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55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>Reception</v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</v>
      </c>
      <c r="H57" s="107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28">
        <f>SUMIFS(MainData[ExtendedPrice],MainData[EventID],EventData[[#This Row],[EventID]],MainData[Billable?],"Y",MainData[Category],I$7)</f>
        <v>0</v>
      </c>
      <c r="J57" s="128">
        <f>SUMIFS(MainData[ExtendedPrice],MainData[EventID],EventData[[#This Row],[EventID]],MainData[Billable?],"Y",MainData[Category],J$7)</f>
        <v>100</v>
      </c>
      <c r="K57" s="128">
        <f>SUMIFS(MainData[ExtendedPrice],MainData[EventID],EventData[[#This Row],[EventID]],MainData[Billable?],"Y",MainData[Category],K$7)</f>
        <v>0</v>
      </c>
      <c r="L57" s="128">
        <f>SUMIFS(MainData[ExtendedPrice],MainData[EventID],EventData[[#This Row],[EventID]],MainData[Billable?],"Y",MainData[Category],L$7)</f>
        <v>526</v>
      </c>
    </row>
    <row r="58" spans="2:12" x14ac:dyDescent="0.25">
      <c r="B58" s="114">
        <v>10</v>
      </c>
      <c r="C58" s="154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55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>Reception</v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8" s="107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28">
        <f>SUMIFS(MainData[ExtendedPrice],MainData[EventID],EventData[[#This Row],[EventID]],MainData[Billable?],"Y",MainData[Category],I$7)</f>
        <v>0</v>
      </c>
      <c r="J58" s="128">
        <f>SUMIFS(MainData[ExtendedPrice],MainData[EventID],EventData[[#This Row],[EventID]],MainData[Billable?],"Y",MainData[Category],J$7)</f>
        <v>100</v>
      </c>
      <c r="K58" s="128">
        <f>SUMIFS(MainData[ExtendedPrice],MainData[EventID],EventData[[#This Row],[EventID]],MainData[Billable?],"Y",MainData[Category],K$7)</f>
        <v>0</v>
      </c>
      <c r="L58" s="128">
        <f>SUMIFS(MainData[ExtendedPrice],MainData[EventID],EventData[[#This Row],[EventID]],MainData[Billable?],"Y",MainData[Category],L$7)</f>
        <v>968</v>
      </c>
    </row>
    <row r="59" spans="2:12" x14ac:dyDescent="0.25">
      <c r="B59" s="114">
        <v>102</v>
      </c>
      <c r="C59" s="154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55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>Reception/Dinner</v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59" s="107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28">
        <f>SUMIFS(MainData[ExtendedPrice],MainData[EventID],EventData[[#This Row],[EventID]],MainData[Billable?],"Y",MainData[Category],I$7)</f>
        <v>0</v>
      </c>
      <c r="J59" s="128">
        <f>SUMIFS(MainData[ExtendedPrice],MainData[EventID],EventData[[#This Row],[EventID]],MainData[Billable?],"Y",MainData[Category],J$7)</f>
        <v>400</v>
      </c>
      <c r="K59" s="128">
        <f>SUMIFS(MainData[ExtendedPrice],MainData[EventID],EventData[[#This Row],[EventID]],MainData[Billable?],"Y",MainData[Category],K$7)</f>
        <v>0</v>
      </c>
      <c r="L59" s="128">
        <f>SUMIFS(MainData[ExtendedPrice],MainData[EventID],EventData[[#This Row],[EventID]],MainData[Billable?],"Y",MainData[Category],L$7)</f>
        <v>13727</v>
      </c>
    </row>
    <row r="60" spans="2:12" x14ac:dyDescent="0.25">
      <c r="B60" s="114">
        <v>106</v>
      </c>
      <c r="C60" s="154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55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>Dinner/Dance</v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60" s="107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28">
        <f>SUMIFS(MainData[ExtendedPrice],MainData[EventID],EventData[[#This Row],[EventID]],MainData[Billable?],"Y",MainData[Category],I$7)</f>
        <v>0</v>
      </c>
      <c r="J60" s="128">
        <f>SUMIFS(MainData[ExtendedPrice],MainData[EventID],EventData[[#This Row],[EventID]],MainData[Billable?],"Y",MainData[Category],J$7)</f>
        <v>300</v>
      </c>
      <c r="K60" s="128">
        <f>SUMIFS(MainData[ExtendedPrice],MainData[EventID],EventData[[#This Row],[EventID]],MainData[Billable?],"Y",MainData[Category],K$7)</f>
        <v>0</v>
      </c>
      <c r="L60" s="128">
        <f>SUMIFS(MainData[ExtendedPrice],MainData[EventID],EventData[[#This Row],[EventID]],MainData[Billable?],"Y",MainData[Category],L$7)</f>
        <v>3168.38</v>
      </c>
    </row>
    <row r="61" spans="2:12" x14ac:dyDescent="0.25">
      <c r="B61" s="114">
        <v>12</v>
      </c>
      <c r="C61" s="154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55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>Reception/Dinner</v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61" s="107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28">
        <f>SUMIFS(MainData[ExtendedPrice],MainData[EventID],EventData[[#This Row],[EventID]],MainData[Billable?],"Y",MainData[Category],I$7)</f>
        <v>0</v>
      </c>
      <c r="J61" s="128">
        <f>SUMIFS(MainData[ExtendedPrice],MainData[EventID],EventData[[#This Row],[EventID]],MainData[Billable?],"Y",MainData[Category],J$7)</f>
        <v>200</v>
      </c>
      <c r="K61" s="128">
        <f>SUMIFS(MainData[ExtendedPrice],MainData[EventID],EventData[[#This Row],[EventID]],MainData[Billable?],"Y",MainData[Category],K$7)</f>
        <v>0</v>
      </c>
      <c r="L61" s="128">
        <f>SUMIFS(MainData[ExtendedPrice],MainData[EventID],EventData[[#This Row],[EventID]],MainData[Billable?],"Y",MainData[Category],L$7)</f>
        <v>3480</v>
      </c>
    </row>
    <row r="62" spans="2:12" x14ac:dyDescent="0.25">
      <c r="B62" s="114">
        <v>1</v>
      </c>
      <c r="C62" s="154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55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>Reception</v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2" s="107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28">
        <f>SUMIFS(MainData[ExtendedPrice],MainData[EventID],EventData[[#This Row],[EventID]],MainData[Billable?],"Y",MainData[Category],I$7)</f>
        <v>0</v>
      </c>
      <c r="J62" s="128">
        <f>SUMIFS(MainData[ExtendedPrice],MainData[EventID],EventData[[#This Row],[EventID]],MainData[Billable?],"Y",MainData[Category],J$7)</f>
        <v>700</v>
      </c>
      <c r="K62" s="128">
        <f>SUMIFS(MainData[ExtendedPrice],MainData[EventID],EventData[[#This Row],[EventID]],MainData[Billable?],"Y",MainData[Category],K$7)</f>
        <v>0</v>
      </c>
      <c r="L62" s="128">
        <f>SUMIFS(MainData[ExtendedPrice],MainData[EventID],EventData[[#This Row],[EventID]],MainData[Billable?],"Y",MainData[Category],L$7)</f>
        <v>16649.3</v>
      </c>
    </row>
    <row r="63" spans="2:12" x14ac:dyDescent="0.25">
      <c r="B63" s="114">
        <v>80</v>
      </c>
      <c r="C63" s="154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55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>Dinner/Dance</v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63" s="107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28">
        <f>SUMIFS(MainData[ExtendedPrice],MainData[EventID],EventData[[#This Row],[EventID]],MainData[Billable?],"Y",MainData[Category],I$7)</f>
        <v>0</v>
      </c>
      <c r="J63" s="128">
        <f>SUMIFS(MainData[ExtendedPrice],MainData[EventID],EventData[[#This Row],[EventID]],MainData[Billable?],"Y",MainData[Category],J$7)</f>
        <v>100</v>
      </c>
      <c r="K63" s="128">
        <f>SUMIFS(MainData[ExtendedPrice],MainData[EventID],EventData[[#This Row],[EventID]],MainData[Billable?],"Y",MainData[Category],K$7)</f>
        <v>0</v>
      </c>
      <c r="L63" s="128">
        <f>SUMIFS(MainData[ExtendedPrice],MainData[EventID],EventData[[#This Row],[EventID]],MainData[Billable?],"Y",MainData[Category],L$7)</f>
        <v>1263</v>
      </c>
    </row>
    <row r="64" spans="2:12" x14ac:dyDescent="0.25">
      <c r="B64" s="114">
        <v>107</v>
      </c>
      <c r="C64" s="154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55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>Dance</v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4" s="107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28">
        <f>SUMIFS(MainData[ExtendedPrice],MainData[EventID],EventData[[#This Row],[EventID]],MainData[Billable?],"Y",MainData[Category],I$7)</f>
        <v>0</v>
      </c>
      <c r="J64" s="128">
        <f>SUMIFS(MainData[ExtendedPrice],MainData[EventID],EventData[[#This Row],[EventID]],MainData[Billable?],"Y",MainData[Category],J$7)</f>
        <v>20</v>
      </c>
      <c r="K64" s="128">
        <f>SUMIFS(MainData[ExtendedPrice],MainData[EventID],EventData[[#This Row],[EventID]],MainData[Billable?],"Y",MainData[Category],K$7)</f>
        <v>0</v>
      </c>
      <c r="L64" s="128">
        <f>SUMIFS(MainData[ExtendedPrice],MainData[EventID],EventData[[#This Row],[EventID]],MainData[Billable?],"Y",MainData[Category],L$7)</f>
        <v>512.77</v>
      </c>
    </row>
    <row r="65" spans="2:12" x14ac:dyDescent="0.25">
      <c r="B65" s="114">
        <v>104</v>
      </c>
      <c r="C65" s="154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55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>Dance</v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5" s="107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28">
        <f>SUMIFS(MainData[ExtendedPrice],MainData[EventID],EventData[[#This Row],[EventID]],MainData[Billable?],"Y",MainData[Category],I$7)</f>
        <v>0</v>
      </c>
      <c r="J65" s="128">
        <f>SUMIFS(MainData[ExtendedPrice],MainData[EventID],EventData[[#This Row],[EventID]],MainData[Billable?],"Y",MainData[Category],J$7)</f>
        <v>200</v>
      </c>
      <c r="K65" s="128">
        <f>SUMIFS(MainData[ExtendedPrice],MainData[EventID],EventData[[#This Row],[EventID]],MainData[Billable?],"Y",MainData[Category],K$7)</f>
        <v>0</v>
      </c>
      <c r="L65" s="128">
        <f>SUMIFS(MainData[ExtendedPrice],MainData[EventID],EventData[[#This Row],[EventID]],MainData[Billable?],"Y",MainData[Category],L$7)</f>
        <v>175.58</v>
      </c>
    </row>
    <row r="66" spans="2:12" x14ac:dyDescent="0.25">
      <c r="B66" s="114">
        <v>2</v>
      </c>
      <c r="C66" s="154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55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>Reception</v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6" s="107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28">
        <f>SUMIFS(MainData[ExtendedPrice],MainData[EventID],EventData[[#This Row],[EventID]],MainData[Billable?],"Y",MainData[Category],I$7)</f>
        <v>0</v>
      </c>
      <c r="J66" s="128">
        <f>SUMIFS(MainData[ExtendedPrice],MainData[EventID],EventData[[#This Row],[EventID]],MainData[Billable?],"Y",MainData[Category],J$7)</f>
        <v>700</v>
      </c>
      <c r="K66" s="128">
        <f>SUMIFS(MainData[ExtendedPrice],MainData[EventID],EventData[[#This Row],[EventID]],MainData[Billable?],"Y",MainData[Category],K$7)</f>
        <v>0</v>
      </c>
      <c r="L66" s="128">
        <f>SUMIFS(MainData[ExtendedPrice],MainData[EventID],EventData[[#This Row],[EventID]],MainData[Billable?],"Y",MainData[Category],L$7)</f>
        <v>12649</v>
      </c>
    </row>
    <row r="67" spans="2:12" x14ac:dyDescent="0.25">
      <c r="B67" s="114">
        <v>49</v>
      </c>
      <c r="C67" s="154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55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>Reception</v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5</v>
      </c>
      <c r="H67" s="107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28">
        <f>SUMIFS(MainData[ExtendedPrice],MainData[EventID],EventData[[#This Row],[EventID]],MainData[Billable?],"Y",MainData[Category],I$7)</f>
        <v>0</v>
      </c>
      <c r="J67" s="128">
        <f>SUMIFS(MainData[ExtendedPrice],MainData[EventID],EventData[[#This Row],[EventID]],MainData[Billable?],"Y",MainData[Category],J$7)</f>
        <v>0</v>
      </c>
      <c r="K67" s="128">
        <f>SUMIFS(MainData[ExtendedPrice],MainData[EventID],EventData[[#This Row],[EventID]],MainData[Billable?],"Y",MainData[Category],K$7)</f>
        <v>0</v>
      </c>
      <c r="L67" s="128">
        <f>SUMIFS(MainData[ExtendedPrice],MainData[EventID],EventData[[#This Row],[EventID]],MainData[Billable?],"Y",MainData[Category],L$7)</f>
        <v>809</v>
      </c>
    </row>
    <row r="68" spans="2:12" x14ac:dyDescent="0.25">
      <c r="B68" s="114">
        <v>3</v>
      </c>
      <c r="C68" s="154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55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>Reception</v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68" s="107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28">
        <f>SUMIFS(MainData[ExtendedPrice],MainData[EventID],EventData[[#This Row],[EventID]],MainData[Billable?],"Y",MainData[Category],I$7)</f>
        <v>0</v>
      </c>
      <c r="J68" s="128">
        <f>SUMIFS(MainData[ExtendedPrice],MainData[EventID],EventData[[#This Row],[EventID]],MainData[Billable?],"Y",MainData[Category],J$7)</f>
        <v>100</v>
      </c>
      <c r="K68" s="128">
        <f>SUMIFS(MainData[ExtendedPrice],MainData[EventID],EventData[[#This Row],[EventID]],MainData[Billable?],"Y",MainData[Category],K$7)</f>
        <v>0</v>
      </c>
      <c r="L68" s="128">
        <f>SUMIFS(MainData[ExtendedPrice],MainData[EventID],EventData[[#This Row],[EventID]],MainData[Billable?],"Y",MainData[Category],L$7)</f>
        <v>102.84</v>
      </c>
    </row>
    <row r="69" spans="2:12" x14ac:dyDescent="0.25">
      <c r="B69" s="114">
        <v>46</v>
      </c>
      <c r="C69" s="154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55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>Reception/Dinner</v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9" s="107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28">
        <f>SUMIFS(MainData[ExtendedPrice],MainData[EventID],EventData[[#This Row],[EventID]],MainData[Billable?],"Y",MainData[Category],I$7)</f>
        <v>0</v>
      </c>
      <c r="J69" s="128">
        <f>SUMIFS(MainData[ExtendedPrice],MainData[EventID],EventData[[#This Row],[EventID]],MainData[Billable?],"Y",MainData[Category],J$7)</f>
        <v>100</v>
      </c>
      <c r="K69" s="128">
        <f>SUMIFS(MainData[ExtendedPrice],MainData[EventID],EventData[[#This Row],[EventID]],MainData[Billable?],"Y",MainData[Category],K$7)</f>
        <v>0</v>
      </c>
      <c r="L69" s="128">
        <f>SUMIFS(MainData[ExtendedPrice],MainData[EventID],EventData[[#This Row],[EventID]],MainData[Billable?],"Y",MainData[Category],L$7)</f>
        <v>288</v>
      </c>
    </row>
    <row r="70" spans="2:12" x14ac:dyDescent="0.25">
      <c r="B70" s="114">
        <v>89</v>
      </c>
      <c r="C70" s="154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55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>Reception/Dinner</v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70" s="107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28">
        <f>SUMIFS(MainData[ExtendedPrice],MainData[EventID],EventData[[#This Row],[EventID]],MainData[Billable?],"Y",MainData[Category],I$7)</f>
        <v>0</v>
      </c>
      <c r="J70" s="128">
        <f>SUMIFS(MainData[ExtendedPrice],MainData[EventID],EventData[[#This Row],[EventID]],MainData[Billable?],"Y",MainData[Category],J$7)</f>
        <v>300</v>
      </c>
      <c r="K70" s="128">
        <f>SUMIFS(MainData[ExtendedPrice],MainData[EventID],EventData[[#This Row],[EventID]],MainData[Billable?],"Y",MainData[Category],K$7)</f>
        <v>0</v>
      </c>
      <c r="L70" s="128">
        <f>SUMIFS(MainData[ExtendedPrice],MainData[EventID],EventData[[#This Row],[EventID]],MainData[Billable?],"Y",MainData[Category],L$7)</f>
        <v>3248.4800000000005</v>
      </c>
    </row>
    <row r="71" spans="2:12" x14ac:dyDescent="0.25">
      <c r="B71" s="114">
        <v>88</v>
      </c>
      <c r="C71" s="154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55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>Reception</v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1" s="107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28">
        <f>SUMIFS(MainData[ExtendedPrice],MainData[EventID],EventData[[#This Row],[EventID]],MainData[Billable?],"Y",MainData[Category],I$7)</f>
        <v>0</v>
      </c>
      <c r="J71" s="128">
        <f>SUMIFS(MainData[ExtendedPrice],MainData[EventID],EventData[[#This Row],[EventID]],MainData[Billable?],"Y",MainData[Category],J$7)</f>
        <v>100</v>
      </c>
      <c r="K71" s="128">
        <f>SUMIFS(MainData[ExtendedPrice],MainData[EventID],EventData[[#This Row],[EventID]],MainData[Billable?],"Y",MainData[Category],K$7)</f>
        <v>0</v>
      </c>
      <c r="L71" s="128">
        <f>SUMIFS(MainData[ExtendedPrice],MainData[EventID],EventData[[#This Row],[EventID]],MainData[Billable?],"Y",MainData[Category],L$7)</f>
        <v>415.5</v>
      </c>
    </row>
    <row r="72" spans="2:12" x14ac:dyDescent="0.25">
      <c r="B72" s="114">
        <v>29</v>
      </c>
      <c r="C72" s="154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55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>Precon Meeting</v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72" s="107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28">
        <f>SUMIFS(MainData[ExtendedPrice],MainData[EventID],EventData[[#This Row],[EventID]],MainData[Billable?],"Y",MainData[Category],I$7)</f>
        <v>0</v>
      </c>
      <c r="J72" s="128">
        <f>SUMIFS(MainData[ExtendedPrice],MainData[EventID],EventData[[#This Row],[EventID]],MainData[Billable?],"Y",MainData[Category],J$7)</f>
        <v>0</v>
      </c>
      <c r="K72" s="128">
        <f>SUMIFS(MainData[ExtendedPrice],MainData[EventID],EventData[[#This Row],[EventID]],MainData[Billable?],"Y",MainData[Category],K$7)</f>
        <v>0</v>
      </c>
      <c r="L72" s="128">
        <f>SUMIFS(MainData[ExtendedPrice],MainData[EventID],EventData[[#This Row],[EventID]],MainData[Billable?],"Y",MainData[Category],L$7)</f>
        <v>41</v>
      </c>
    </row>
    <row r="73" spans="2:12" x14ac:dyDescent="0.25">
      <c r="B73" s="114">
        <v>31</v>
      </c>
      <c r="C73" s="154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55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>Reception</v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73" s="107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28">
        <f>SUMIFS(MainData[ExtendedPrice],MainData[EventID],EventData[[#This Row],[EventID]],MainData[Billable?],"Y",MainData[Category],I$7)</f>
        <v>0</v>
      </c>
      <c r="J73" s="128">
        <f>SUMIFS(MainData[ExtendedPrice],MainData[EventID],EventData[[#This Row],[EventID]],MainData[Billable?],"Y",MainData[Category],J$7)</f>
        <v>100</v>
      </c>
      <c r="K73" s="128">
        <f>SUMIFS(MainData[ExtendedPrice],MainData[EventID],EventData[[#This Row],[EventID]],MainData[Billable?],"Y",MainData[Category],K$7)</f>
        <v>0</v>
      </c>
      <c r="L73" s="128">
        <f>SUMIFS(MainData[ExtendedPrice],MainData[EventID],EventData[[#This Row],[EventID]],MainData[Billable?],"Y",MainData[Category],L$7)</f>
        <v>5003.2</v>
      </c>
    </row>
    <row r="74" spans="2:12" x14ac:dyDescent="0.25">
      <c r="B74" s="114">
        <v>84</v>
      </c>
      <c r="C74" s="154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55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>Dinner</v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 xml:space="preserve">Ocean View Parlor </v>
      </c>
      <c r="H74" s="107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28">
        <f>SUMIFS(MainData[ExtendedPrice],MainData[EventID],EventData[[#This Row],[EventID]],MainData[Billable?],"Y",MainData[Category],I$7)</f>
        <v>0</v>
      </c>
      <c r="J74" s="128">
        <f>SUMIFS(MainData[ExtendedPrice],MainData[EventID],EventData[[#This Row],[EventID]],MainData[Billable?],"Y",MainData[Category],J$7)</f>
        <v>100</v>
      </c>
      <c r="K74" s="128">
        <f>SUMIFS(MainData[ExtendedPrice],MainData[EventID],EventData[[#This Row],[EventID]],MainData[Billable?],"Y",MainData[Category],K$7)</f>
        <v>0</v>
      </c>
      <c r="L74" s="128">
        <f>SUMIFS(MainData[ExtendedPrice],MainData[EventID],EventData[[#This Row],[EventID]],MainData[Billable?],"Y",MainData[Category],L$7)</f>
        <v>290</v>
      </c>
    </row>
    <row r="75" spans="2:12" x14ac:dyDescent="0.25">
      <c r="B75" s="114">
        <v>82</v>
      </c>
      <c r="C75" s="154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55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>Dinner/Dance</v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Foyer/A/B/C/D</v>
      </c>
      <c r="H75" s="107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28">
        <f>SUMIFS(MainData[ExtendedPrice],MainData[EventID],EventData[[#This Row],[EventID]],MainData[Billable?],"Y",MainData[Category],I$7)</f>
        <v>0</v>
      </c>
      <c r="J75" s="128">
        <f>SUMIFS(MainData[ExtendedPrice],MainData[EventID],EventData[[#This Row],[EventID]],MainData[Billable?],"Y",MainData[Category],J$7)</f>
        <v>600</v>
      </c>
      <c r="K75" s="128">
        <f>SUMIFS(MainData[ExtendedPrice],MainData[EventID],EventData[[#This Row],[EventID]],MainData[Billable?],"Y",MainData[Category],K$7)</f>
        <v>0</v>
      </c>
      <c r="L75" s="128">
        <f>SUMIFS(MainData[ExtendedPrice],MainData[EventID],EventData[[#This Row],[EventID]],MainData[Billable?],"Y",MainData[Category],L$7)</f>
        <v>15900</v>
      </c>
    </row>
    <row r="76" spans="2:12" x14ac:dyDescent="0.25">
      <c r="B76" s="114">
        <v>48</v>
      </c>
      <c r="C76" s="154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55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>Reception</v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76" s="107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28">
        <f>SUMIFS(MainData[ExtendedPrice],MainData[EventID],EventData[[#This Row],[EventID]],MainData[Billable?],"Y",MainData[Category],I$7)</f>
        <v>0</v>
      </c>
      <c r="J76" s="128">
        <f>SUMIFS(MainData[ExtendedPrice],MainData[EventID],EventData[[#This Row],[EventID]],MainData[Billable?],"Y",MainData[Category],J$7)</f>
        <v>0</v>
      </c>
      <c r="K76" s="128">
        <f>SUMIFS(MainData[ExtendedPrice],MainData[EventID],EventData[[#This Row],[EventID]],MainData[Billable?],"Y",MainData[Category],K$7)</f>
        <v>0</v>
      </c>
      <c r="L76" s="128">
        <f>SUMIFS(MainData[ExtendedPrice],MainData[EventID],EventData[[#This Row],[EventID]],MainData[Billable?],"Y",MainData[Category],L$7)</f>
        <v>868</v>
      </c>
    </row>
    <row r="77" spans="2:12" x14ac:dyDescent="0.25">
      <c r="B77" s="114">
        <v>32</v>
      </c>
      <c r="C77" s="154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55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>Reception</v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7" s="107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28">
        <f>SUMIFS(MainData[ExtendedPrice],MainData[EventID],EventData[[#This Row],[EventID]],MainData[Billable?],"Y",MainData[Category],I$7)</f>
        <v>0</v>
      </c>
      <c r="J77" s="128">
        <f>SUMIFS(MainData[ExtendedPrice],MainData[EventID],EventData[[#This Row],[EventID]],MainData[Billable?],"Y",MainData[Category],J$7)</f>
        <v>100</v>
      </c>
      <c r="K77" s="128">
        <f>SUMIFS(MainData[ExtendedPrice],MainData[EventID],EventData[[#This Row],[EventID]],MainData[Billable?],"Y",MainData[Category],K$7)</f>
        <v>0</v>
      </c>
      <c r="L77" s="128">
        <f>SUMIFS(MainData[ExtendedPrice],MainData[EventID],EventData[[#This Row],[EventID]],MainData[Billable?],"Y",MainData[Category],L$7)</f>
        <v>329.2</v>
      </c>
    </row>
    <row r="78" spans="2:12" x14ac:dyDescent="0.25">
      <c r="B78" s="114">
        <v>83</v>
      </c>
      <c r="C78" s="154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55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>Reception</v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78" s="107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28">
        <f>SUMIFS(MainData[ExtendedPrice],MainData[EventID],EventData[[#This Row],[EventID]],MainData[Billable?],"Y",MainData[Category],I$7)</f>
        <v>0</v>
      </c>
      <c r="J78" s="128">
        <f>SUMIFS(MainData[ExtendedPrice],MainData[EventID],EventData[[#This Row],[EventID]],MainData[Billable?],"Y",MainData[Category],J$7)</f>
        <v>100</v>
      </c>
      <c r="K78" s="128">
        <f>SUMIFS(MainData[ExtendedPrice],MainData[EventID],EventData[[#This Row],[EventID]],MainData[Billable?],"Y",MainData[Category],K$7)</f>
        <v>0</v>
      </c>
      <c r="L78" s="128">
        <f>SUMIFS(MainData[ExtendedPrice],MainData[EventID],EventData[[#This Row],[EventID]],MainData[Billable?],"Y",MainData[Category],L$7)</f>
        <v>504</v>
      </c>
    </row>
    <row r="79" spans="2:12" x14ac:dyDescent="0.25">
      <c r="B79" s="114">
        <v>34</v>
      </c>
      <c r="C79" s="154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55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>Reception</v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79" s="107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28">
        <f>SUMIFS(MainData[ExtendedPrice],MainData[EventID],EventData[[#This Row],[EventID]],MainData[Billable?],"Y",MainData[Category],I$7)</f>
        <v>0</v>
      </c>
      <c r="J79" s="128">
        <f>SUMIFS(MainData[ExtendedPrice],MainData[EventID],EventData[[#This Row],[EventID]],MainData[Billable?],"Y",MainData[Category],J$7)</f>
        <v>900</v>
      </c>
      <c r="K79" s="128">
        <f>SUMIFS(MainData[ExtendedPrice],MainData[EventID],EventData[[#This Row],[EventID]],MainData[Billable?],"Y",MainData[Category],K$7)</f>
        <v>0</v>
      </c>
      <c r="L79" s="128">
        <f>SUMIFS(MainData[ExtendedPrice],MainData[EventID],EventData[[#This Row],[EventID]],MainData[Billable?],"Y",MainData[Category],L$7)</f>
        <v>37933.800000000003</v>
      </c>
    </row>
    <row r="80" spans="2:12" x14ac:dyDescent="0.25">
      <c r="B80" s="114">
        <v>85</v>
      </c>
      <c r="C80" s="154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55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>Reception</v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0" s="107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28">
        <f>SUMIFS(MainData[ExtendedPrice],MainData[EventID],EventData[[#This Row],[EventID]],MainData[Billable?],"Y",MainData[Category],I$7)</f>
        <v>0</v>
      </c>
      <c r="J80" s="128">
        <f>SUMIFS(MainData[ExtendedPrice],MainData[EventID],EventData[[#This Row],[EventID]],MainData[Billable?],"Y",MainData[Category],J$7)</f>
        <v>200</v>
      </c>
      <c r="K80" s="128">
        <f>SUMIFS(MainData[ExtendedPrice],MainData[EventID],EventData[[#This Row],[EventID]],MainData[Billable?],"Y",MainData[Category],K$7)</f>
        <v>0</v>
      </c>
      <c r="L80" s="128">
        <f>SUMIFS(MainData[ExtendedPrice],MainData[EventID],EventData[[#This Row],[EventID]],MainData[Billable?],"Y",MainData[Category],L$7)</f>
        <v>1330.55</v>
      </c>
    </row>
    <row r="81" spans="2:12" x14ac:dyDescent="0.25">
      <c r="B81" s="114">
        <v>43</v>
      </c>
      <c r="C81" s="154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55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>Reception</v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81" s="107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28">
        <f>SUMIFS(MainData[ExtendedPrice],MainData[EventID],EventData[[#This Row],[EventID]],MainData[Billable?],"Y",MainData[Category],I$7)</f>
        <v>0</v>
      </c>
      <c r="J81" s="128">
        <f>SUMIFS(MainData[ExtendedPrice],MainData[EventID],EventData[[#This Row],[EventID]],MainData[Billable?],"Y",MainData[Category],J$7)</f>
        <v>100</v>
      </c>
      <c r="K81" s="128">
        <f>SUMIFS(MainData[ExtendedPrice],MainData[EventID],EventData[[#This Row],[EventID]],MainData[Billable?],"Y",MainData[Category],K$7)</f>
        <v>0</v>
      </c>
      <c r="L81" s="128">
        <f>SUMIFS(MainData[ExtendedPrice],MainData[EventID],EventData[[#This Row],[EventID]],MainData[Billable?],"Y",MainData[Category],L$7)</f>
        <v>912</v>
      </c>
    </row>
    <row r="82" spans="2:12" x14ac:dyDescent="0.25">
      <c r="B82" s="114">
        <v>44</v>
      </c>
      <c r="C82" s="154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55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>Reception/Dinner</v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82" s="107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28">
        <f>SUMIFS(MainData[ExtendedPrice],MainData[EventID],EventData[[#This Row],[EventID]],MainData[Billable?],"Y",MainData[Category],I$7)</f>
        <v>0</v>
      </c>
      <c r="J82" s="128">
        <f>SUMIFS(MainData[ExtendedPrice],MainData[EventID],EventData[[#This Row],[EventID]],MainData[Billable?],"Y",MainData[Category],J$7)</f>
        <v>100</v>
      </c>
      <c r="K82" s="128">
        <f>SUMIFS(MainData[ExtendedPrice],MainData[EventID],EventData[[#This Row],[EventID]],MainData[Billable?],"Y",MainData[Category],K$7)</f>
        <v>0</v>
      </c>
      <c r="L82" s="128">
        <f>SUMIFS(MainData[ExtendedPrice],MainData[EventID],EventData[[#This Row],[EventID]],MainData[Billable?],"Y",MainData[Category],L$7)</f>
        <v>2682</v>
      </c>
    </row>
    <row r="83" spans="2:12" x14ac:dyDescent="0.25">
      <c r="B83" s="114">
        <v>30</v>
      </c>
      <c r="C83" s="154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55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>Reception</v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83" s="107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28">
        <f>SUMIFS(MainData[ExtendedPrice],MainData[EventID],EventData[[#This Row],[EventID]],MainData[Billable?],"Y",MainData[Category],I$7)</f>
        <v>0</v>
      </c>
      <c r="J83" s="128">
        <f>SUMIFS(MainData[ExtendedPrice],MainData[EventID],EventData[[#This Row],[EventID]],MainData[Billable?],"Y",MainData[Category],J$7)</f>
        <v>900</v>
      </c>
      <c r="K83" s="128">
        <f>SUMIFS(MainData[ExtendedPrice],MainData[EventID],EventData[[#This Row],[EventID]],MainData[Billable?],"Y",MainData[Category],K$7)</f>
        <v>0</v>
      </c>
      <c r="L83" s="128">
        <f>SUMIFS(MainData[ExtendedPrice],MainData[EventID],EventData[[#This Row],[EventID]],MainData[Billable?],"Y",MainData[Category],L$7)</f>
        <v>65701.8</v>
      </c>
    </row>
    <row r="84" spans="2:12" x14ac:dyDescent="0.25">
      <c r="B84" s="114">
        <v>33</v>
      </c>
      <c r="C84" s="154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55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>Reception</v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84" s="107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28">
        <f>SUMIFS(MainData[ExtendedPrice],MainData[EventID],EventData[[#This Row],[EventID]],MainData[Billable?],"Y",MainData[Category],I$7)</f>
        <v>0</v>
      </c>
      <c r="J84" s="128">
        <f>SUMIFS(MainData[ExtendedPrice],MainData[EventID],EventData[[#This Row],[EventID]],MainData[Billable?],"Y",MainData[Category],J$7)</f>
        <v>100</v>
      </c>
      <c r="K84" s="128">
        <f>SUMIFS(MainData[ExtendedPrice],MainData[EventID],EventData[[#This Row],[EventID]],MainData[Billable?],"Y",MainData[Category],K$7)</f>
        <v>0</v>
      </c>
      <c r="L84" s="128">
        <f>SUMIFS(MainData[ExtendedPrice],MainData[EventID],EventData[[#This Row],[EventID]],MainData[Billable?],"Y",MainData[Category],L$7)</f>
        <v>7344</v>
      </c>
    </row>
    <row r="85" spans="2:12" x14ac:dyDescent="0.25">
      <c r="B85" s="114">
        <v>14</v>
      </c>
      <c r="C85" s="154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55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>Reception</v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</v>
      </c>
      <c r="H85" s="107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28">
        <f>SUMIFS(MainData[ExtendedPrice],MainData[EventID],EventData[[#This Row],[EventID]],MainData[Billable?],"Y",MainData[Category],I$7)</f>
        <v>0</v>
      </c>
      <c r="J85" s="128">
        <f>SUMIFS(MainData[ExtendedPrice],MainData[EventID],EventData[[#This Row],[EventID]],MainData[Billable?],"Y",MainData[Category],J$7)</f>
        <v>100</v>
      </c>
      <c r="K85" s="128">
        <f>SUMIFS(MainData[ExtendedPrice],MainData[EventID],EventData[[#This Row],[EventID]],MainData[Billable?],"Y",MainData[Category],K$7)</f>
        <v>0</v>
      </c>
      <c r="L85" s="128">
        <f>SUMIFS(MainData[ExtendedPrice],MainData[EventID],EventData[[#This Row],[EventID]],MainData[Billable?],"Y",MainData[Category],L$7)</f>
        <v>1548</v>
      </c>
    </row>
    <row r="86" spans="2:12" x14ac:dyDescent="0.25">
      <c r="B86" s="114">
        <v>91</v>
      </c>
      <c r="C86" s="154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55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>Meeting</v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86" s="107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28">
        <f>SUMIFS(MainData[ExtendedPrice],MainData[EventID],EventData[[#This Row],[EventID]],MainData[Billable?],"Y",MainData[Category],I$7)</f>
        <v>0</v>
      </c>
      <c r="J86" s="128">
        <f>SUMIFS(MainData[ExtendedPrice],MainData[EventID],EventData[[#This Row],[EventID]],MainData[Billable?],"Y",MainData[Category],J$7)</f>
        <v>0</v>
      </c>
      <c r="K86" s="128">
        <f>SUMIFS(MainData[ExtendedPrice],MainData[EventID],EventData[[#This Row],[EventID]],MainData[Billable?],"Y",MainData[Category],K$7)</f>
        <v>0</v>
      </c>
      <c r="L86" s="128">
        <f>SUMIFS(MainData[ExtendedPrice],MainData[EventID],EventData[[#This Row],[EventID]],MainData[Billable?],"Y",MainData[Category],L$7)</f>
        <v>100</v>
      </c>
    </row>
    <row r="87" spans="2:12" x14ac:dyDescent="0.25">
      <c r="B87" s="114">
        <v>100</v>
      </c>
      <c r="C87" s="154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55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>Reception/Dinner</v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7" s="107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28">
        <f>SUMIFS(MainData[ExtendedPrice],MainData[EventID],EventData[[#This Row],[EventID]],MainData[Billable?],"Y",MainData[Category],I$7)</f>
        <v>0</v>
      </c>
      <c r="J87" s="128">
        <f>SUMIFS(MainData[ExtendedPrice],MainData[EventID],EventData[[#This Row],[EventID]],MainData[Billable?],"Y",MainData[Category],J$7)</f>
        <v>100</v>
      </c>
      <c r="K87" s="128">
        <f>SUMIFS(MainData[ExtendedPrice],MainData[EventID],EventData[[#This Row],[EventID]],MainData[Billable?],"Y",MainData[Category],K$7)</f>
        <v>0</v>
      </c>
      <c r="L87" s="128">
        <f>SUMIFS(MainData[ExtendedPrice],MainData[EventID],EventData[[#This Row],[EventID]],MainData[Billable?],"Y",MainData[Category],L$7)</f>
        <v>2660</v>
      </c>
    </row>
    <row r="88" spans="2:12" x14ac:dyDescent="0.25">
      <c r="B88" s="114">
        <v>55</v>
      </c>
      <c r="C88" s="154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55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>Precon Meeting</v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88" s="107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28">
        <f>SUMIFS(MainData[ExtendedPrice],MainData[EventID],EventData[[#This Row],[EventID]],MainData[Billable?],"Y",MainData[Category],I$7)</f>
        <v>0</v>
      </c>
      <c r="J88" s="128">
        <f>SUMIFS(MainData[ExtendedPrice],MainData[EventID],EventData[[#This Row],[EventID]],MainData[Billable?],"Y",MainData[Category],J$7)</f>
        <v>0</v>
      </c>
      <c r="K88" s="128">
        <f>SUMIFS(MainData[ExtendedPrice],MainData[EventID],EventData[[#This Row],[EventID]],MainData[Billable?],"Y",MainData[Category],K$7)</f>
        <v>0</v>
      </c>
      <c r="L88" s="128">
        <f>SUMIFS(MainData[ExtendedPrice],MainData[EventID],EventData[[#This Row],[EventID]],MainData[Billable?],"Y",MainData[Category],L$7)</f>
        <v>41</v>
      </c>
    </row>
    <row r="89" spans="2:12" x14ac:dyDescent="0.25">
      <c r="B89" s="114">
        <v>27</v>
      </c>
      <c r="C89" s="154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55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>Reception/Dinner</v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A/B/C/D</v>
      </c>
      <c r="H89" s="107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28">
        <f>SUMIFS(MainData[ExtendedPrice],MainData[EventID],EventData[[#This Row],[EventID]],MainData[Billable?],"Y",MainData[Category],I$7)</f>
        <v>0</v>
      </c>
      <c r="J89" s="128">
        <f>SUMIFS(MainData[ExtendedPrice],MainData[EventID],EventData[[#This Row],[EventID]],MainData[Billable?],"Y",MainData[Category],J$7)</f>
        <v>1200</v>
      </c>
      <c r="K89" s="128">
        <f>SUMIFS(MainData[ExtendedPrice],MainData[EventID],EventData[[#This Row],[EventID]],MainData[Billable?],"Y",MainData[Category],K$7)</f>
        <v>0</v>
      </c>
      <c r="L89" s="128">
        <f>SUMIFS(MainData[ExtendedPrice],MainData[EventID],EventData[[#This Row],[EventID]],MainData[Billable?],"Y",MainData[Category],L$7)</f>
        <v>27464.2</v>
      </c>
    </row>
    <row r="90" spans="2:12" x14ac:dyDescent="0.25">
      <c r="B90" s="114">
        <v>28</v>
      </c>
      <c r="C90" s="154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55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>Reception</v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90" s="107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28">
        <f>SUMIFS(MainData[ExtendedPrice],MainData[EventID],EventData[[#This Row],[EventID]],MainData[Billable?],"Y",MainData[Category],I$7)</f>
        <v>0</v>
      </c>
      <c r="J90" s="128">
        <f>SUMIFS(MainData[ExtendedPrice],MainData[EventID],EventData[[#This Row],[EventID]],MainData[Billable?],"Y",MainData[Category],J$7)</f>
        <v>600</v>
      </c>
      <c r="K90" s="128">
        <f>SUMIFS(MainData[ExtendedPrice],MainData[EventID],EventData[[#This Row],[EventID]],MainData[Billable?],"Y",MainData[Category],K$7)</f>
        <v>0</v>
      </c>
      <c r="L90" s="128">
        <f>SUMIFS(MainData[ExtendedPrice],MainData[EventID],EventData[[#This Row],[EventID]],MainData[Billable?],"Y",MainData[Category],L$7)</f>
        <v>8182.2999999999993</v>
      </c>
    </row>
    <row r="91" spans="2:12" x14ac:dyDescent="0.25">
      <c r="B91" s="114">
        <v>47</v>
      </c>
      <c r="C91" s="154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55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>Reception</v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91" s="107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28">
        <f>SUMIFS(MainData[ExtendedPrice],MainData[EventID],EventData[[#This Row],[EventID]],MainData[Billable?],"Y",MainData[Category],I$7)</f>
        <v>0</v>
      </c>
      <c r="J91" s="128">
        <f>SUMIFS(MainData[ExtendedPrice],MainData[EventID],EventData[[#This Row],[EventID]],MainData[Billable?],"Y",MainData[Category],J$7)</f>
        <v>0</v>
      </c>
      <c r="K91" s="128">
        <f>SUMIFS(MainData[ExtendedPrice],MainData[EventID],EventData[[#This Row],[EventID]],MainData[Billable?],"Y",MainData[Category],K$7)</f>
        <v>0</v>
      </c>
      <c r="L91" s="128">
        <f>SUMIFS(MainData[ExtendedPrice],MainData[EventID],EventData[[#This Row],[EventID]],MainData[Billable?],"Y",MainData[Category],L$7)</f>
        <v>1125</v>
      </c>
    </row>
    <row r="92" spans="2:12" x14ac:dyDescent="0.25">
      <c r="B92" s="114">
        <v>26</v>
      </c>
      <c r="C92" s="154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55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>Reception/Dinner</v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2" s="107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28">
        <f>SUMIFS(MainData[ExtendedPrice],MainData[EventID],EventData[[#This Row],[EventID]],MainData[Billable?],"Y",MainData[Category],I$7)</f>
        <v>0</v>
      </c>
      <c r="J92" s="128">
        <f>SUMIFS(MainData[ExtendedPrice],MainData[EventID],EventData[[#This Row],[EventID]],MainData[Billable?],"Y",MainData[Category],J$7)</f>
        <v>100</v>
      </c>
      <c r="K92" s="128">
        <f>SUMIFS(MainData[ExtendedPrice],MainData[EventID],EventData[[#This Row],[EventID]],MainData[Billable?],"Y",MainData[Category],K$7)</f>
        <v>0</v>
      </c>
      <c r="L92" s="128">
        <f>SUMIFS(MainData[ExtendedPrice],MainData[EventID],EventData[[#This Row],[EventID]],MainData[Billable?],"Y",MainData[Category],L$7)</f>
        <v>883.1</v>
      </c>
    </row>
    <row r="93" spans="2:12" x14ac:dyDescent="0.25">
      <c r="B93" s="114">
        <v>51</v>
      </c>
      <c r="C93" s="154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55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>Dance</v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3" s="107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28">
        <f>SUMIFS(MainData[ExtendedPrice],MainData[EventID],EventData[[#This Row],[EventID]],MainData[Billable?],"Y",MainData[Category],I$7)</f>
        <v>0</v>
      </c>
      <c r="J93" s="128">
        <f>SUMIFS(MainData[ExtendedPrice],MainData[EventID],EventData[[#This Row],[EventID]],MainData[Billable?],"Y",MainData[Category],J$7)</f>
        <v>100</v>
      </c>
      <c r="K93" s="128">
        <f>SUMIFS(MainData[ExtendedPrice],MainData[EventID],EventData[[#This Row],[EventID]],MainData[Billable?],"Y",MainData[Category],K$7)</f>
        <v>0</v>
      </c>
      <c r="L93" s="128">
        <f>SUMIFS(MainData[ExtendedPrice],MainData[EventID],EventData[[#This Row],[EventID]],MainData[Billable?],"Y",MainData[Category],L$7)</f>
        <v>19.61</v>
      </c>
    </row>
    <row r="94" spans="2:12" x14ac:dyDescent="0.25">
      <c r="B94" s="114">
        <v>58</v>
      </c>
      <c r="C94" s="154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55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>Dance</v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4" s="107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28">
        <f>SUMIFS(MainData[ExtendedPrice],MainData[EventID],EventData[[#This Row],[EventID]],MainData[Billable?],"Y",MainData[Category],I$7)</f>
        <v>0</v>
      </c>
      <c r="J94" s="128">
        <f>SUMIFS(MainData[ExtendedPrice],MainData[EventID],EventData[[#This Row],[EventID]],MainData[Billable?],"Y",MainData[Category],J$7)</f>
        <v>300</v>
      </c>
      <c r="K94" s="128">
        <f>SUMIFS(MainData[ExtendedPrice],MainData[EventID],EventData[[#This Row],[EventID]],MainData[Billable?],"Y",MainData[Category],K$7)</f>
        <v>0</v>
      </c>
      <c r="L94" s="128">
        <f>SUMIFS(MainData[ExtendedPrice],MainData[EventID],EventData[[#This Row],[EventID]],MainData[Billable?],"Y",MainData[Category],L$7)</f>
        <v>1232.7</v>
      </c>
    </row>
    <row r="95" spans="2:12" x14ac:dyDescent="0.25">
      <c r="B95" s="114">
        <v>56</v>
      </c>
      <c r="C95" s="154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55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>Dance</v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5" s="107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28">
        <f>SUMIFS(MainData[ExtendedPrice],MainData[EventID],EventData[[#This Row],[EventID]],MainData[Billable?],"Y",MainData[Category],I$7)</f>
        <v>0</v>
      </c>
      <c r="J95" s="128">
        <f>SUMIFS(MainData[ExtendedPrice],MainData[EventID],EventData[[#This Row],[EventID]],MainData[Billable?],"Y",MainData[Category],J$7)</f>
        <v>200</v>
      </c>
      <c r="K95" s="128">
        <f>SUMIFS(MainData[ExtendedPrice],MainData[EventID],EventData[[#This Row],[EventID]],MainData[Billable?],"Y",MainData[Category],K$7)</f>
        <v>0</v>
      </c>
      <c r="L95" s="128">
        <f>SUMIFS(MainData[ExtendedPrice],MainData[EventID],EventData[[#This Row],[EventID]],MainData[Billable?],"Y",MainData[Category],L$7)</f>
        <v>364.5</v>
      </c>
    </row>
    <row r="96" spans="2:12" x14ac:dyDescent="0.25">
      <c r="B96" s="114">
        <v>57</v>
      </c>
      <c r="C96" s="154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55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>Dance</v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6" s="107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28">
        <f>SUMIFS(MainData[ExtendedPrice],MainData[EventID],EventData[[#This Row],[EventID]],MainData[Billable?],"Y",MainData[Category],I$7)</f>
        <v>0</v>
      </c>
      <c r="J96" s="128">
        <f>SUMIFS(MainData[ExtendedPrice],MainData[EventID],EventData[[#This Row],[EventID]],MainData[Billable?],"Y",MainData[Category],J$7)</f>
        <v>400</v>
      </c>
      <c r="K96" s="128">
        <f>SUMIFS(MainData[ExtendedPrice],MainData[EventID],EventData[[#This Row],[EventID]],MainData[Billable?],"Y",MainData[Category],K$7)</f>
        <v>0</v>
      </c>
      <c r="L96" s="128">
        <f>SUMIFS(MainData[ExtendedPrice],MainData[EventID],EventData[[#This Row],[EventID]],MainData[Billable?],"Y",MainData[Category],L$7)</f>
        <v>3266.5200000000004</v>
      </c>
    </row>
    <row r="97" spans="2:12" x14ac:dyDescent="0.25">
      <c r="B97" s="114">
        <v>50</v>
      </c>
      <c r="C97" s="154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55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>Dance</v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7" s="107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28">
        <f>SUMIFS(MainData[ExtendedPrice],MainData[EventID],EventData[[#This Row],[EventID]],MainData[Billable?],"Y",MainData[Category],I$7)</f>
        <v>0</v>
      </c>
      <c r="J97" s="128">
        <f>SUMIFS(MainData[ExtendedPrice],MainData[EventID],EventData[[#This Row],[EventID]],MainData[Billable?],"Y",MainData[Category],J$7)</f>
        <v>400</v>
      </c>
      <c r="K97" s="128">
        <f>SUMIFS(MainData[ExtendedPrice],MainData[EventID],EventData[[#This Row],[EventID]],MainData[Billable?],"Y",MainData[Category],K$7)</f>
        <v>0</v>
      </c>
      <c r="L97" s="128">
        <f>SUMIFS(MainData[ExtendedPrice],MainData[EventID],EventData[[#This Row],[EventID]],MainData[Billable?],"Y",MainData[Category],L$7)</f>
        <v>3832.81</v>
      </c>
    </row>
    <row r="98" spans="2:12" x14ac:dyDescent="0.25">
      <c r="B98" s="114">
        <v>54</v>
      </c>
      <c r="C98" s="154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55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>Dance</v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8" s="107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28">
        <f>SUMIFS(MainData[ExtendedPrice],MainData[EventID],EventData[[#This Row],[EventID]],MainData[Billable?],"Y",MainData[Category],I$7)</f>
        <v>0</v>
      </c>
      <c r="J98" s="128">
        <f>SUMIFS(MainData[ExtendedPrice],MainData[EventID],EventData[[#This Row],[EventID]],MainData[Billable?],"Y",MainData[Category],J$7)</f>
        <v>200</v>
      </c>
      <c r="K98" s="128">
        <f>SUMIFS(MainData[ExtendedPrice],MainData[EventID],EventData[[#This Row],[EventID]],MainData[Billable?],"Y",MainData[Category],K$7)</f>
        <v>0</v>
      </c>
      <c r="L98" s="128">
        <f>SUMIFS(MainData[ExtendedPrice],MainData[EventID],EventData[[#This Row],[EventID]],MainData[Billable?],"Y",MainData[Category],L$7)</f>
        <v>473.93</v>
      </c>
    </row>
    <row r="99" spans="2:12" x14ac:dyDescent="0.25">
      <c r="B99" s="114">
        <v>101</v>
      </c>
      <c r="C99" s="154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55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>Reception/Meeting</v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99" s="107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28">
        <f>SUMIFS(MainData[ExtendedPrice],MainData[EventID],EventData[[#This Row],[EventID]],MainData[Billable?],"Y",MainData[Category],I$7)</f>
        <v>0</v>
      </c>
      <c r="J99" s="128">
        <f>SUMIFS(MainData[ExtendedPrice],MainData[EventID],EventData[[#This Row],[EventID]],MainData[Billable?],"Y",MainData[Category],J$7)</f>
        <v>100</v>
      </c>
      <c r="K99" s="128">
        <f>SUMIFS(MainData[ExtendedPrice],MainData[EventID],EventData[[#This Row],[EventID]],MainData[Billable?],"Y",MainData[Category],K$7)</f>
        <v>0</v>
      </c>
      <c r="L99" s="128">
        <f>SUMIFS(MainData[ExtendedPrice],MainData[EventID],EventData[[#This Row],[EventID]],MainData[Billable?],"Y",MainData[Category],L$7)</f>
        <v>340</v>
      </c>
    </row>
    <row r="100" spans="2:12" x14ac:dyDescent="0.25">
      <c r="B100" s="114">
        <v>37</v>
      </c>
      <c r="C100" s="154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55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>Reception</v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100" s="107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28">
        <f>SUMIFS(MainData[ExtendedPrice],MainData[EventID],EventData[[#This Row],[EventID]],MainData[Billable?],"Y",MainData[Category],I$7)</f>
        <v>0</v>
      </c>
      <c r="J100" s="128">
        <f>SUMIFS(MainData[ExtendedPrice],MainData[EventID],EventData[[#This Row],[EventID]],MainData[Billable?],"Y",MainData[Category],J$7)</f>
        <v>100</v>
      </c>
      <c r="K100" s="128">
        <f>SUMIFS(MainData[ExtendedPrice],MainData[EventID],EventData[[#This Row],[EventID]],MainData[Billable?],"Y",MainData[Category],K$7)</f>
        <v>0</v>
      </c>
      <c r="L100" s="128">
        <f>SUMIFS(MainData[ExtendedPrice],MainData[EventID],EventData[[#This Row],[EventID]],MainData[Billable?],"Y",MainData[Category],L$7)</f>
        <v>716</v>
      </c>
    </row>
    <row r="101" spans="2:12" x14ac:dyDescent="0.25">
      <c r="B101" s="114">
        <v>52</v>
      </c>
      <c r="C101" s="154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55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>Dance</v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101" s="107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28">
        <f>SUMIFS(MainData[ExtendedPrice],MainData[EventID],EventData[[#This Row],[EventID]],MainData[Billable?],"Y",MainData[Category],I$7)</f>
        <v>0</v>
      </c>
      <c r="J101" s="128">
        <f>SUMIFS(MainData[ExtendedPrice],MainData[EventID],EventData[[#This Row],[EventID]],MainData[Billable?],"Y",MainData[Category],J$7)</f>
        <v>200</v>
      </c>
      <c r="K101" s="128">
        <f>SUMIFS(MainData[ExtendedPrice],MainData[EventID],EventData[[#This Row],[EventID]],MainData[Billable?],"Y",MainData[Category],K$7)</f>
        <v>0</v>
      </c>
      <c r="L101" s="128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14">
        <v>53</v>
      </c>
      <c r="C102" s="154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55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>Dance</v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02" s="107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28">
        <f>SUMIFS(MainData[ExtendedPrice],MainData[EventID],EventData[[#This Row],[EventID]],MainData[Billable?],"Y",MainData[Category],I$7)</f>
        <v>0</v>
      </c>
      <c r="J102" s="128">
        <f>SUMIFS(MainData[ExtendedPrice],MainData[EventID],EventData[[#This Row],[EventID]],MainData[Billable?],"Y",MainData[Category],J$7)</f>
        <v>100</v>
      </c>
      <c r="K102" s="128">
        <f>SUMIFS(MainData[ExtendedPrice],MainData[EventID],EventData[[#This Row],[EventID]],MainData[Billable?],"Y",MainData[Category],K$7)</f>
        <v>0</v>
      </c>
      <c r="L102" s="128">
        <f>SUMIFS(MainData[ExtendedPrice],MainData[EventID],EventData[[#This Row],[EventID]],MainData[Billable?],"Y",MainData[Category],L$7)</f>
        <v>306.7</v>
      </c>
    </row>
    <row r="103" spans="2:12" x14ac:dyDescent="0.25">
      <c r="B103" s="114">
        <v>35</v>
      </c>
      <c r="C103" s="154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55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>Dinner</v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3" s="107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28">
        <f>SUMIFS(MainData[ExtendedPrice],MainData[EventID],EventData[[#This Row],[EventID]],MainData[Billable?],"Y",MainData[Category],I$7)</f>
        <v>0</v>
      </c>
      <c r="J103" s="128">
        <f>SUMIFS(MainData[ExtendedPrice],MainData[EventID],EventData[[#This Row],[EventID]],MainData[Billable?],"Y",MainData[Category],J$7)</f>
        <v>100</v>
      </c>
      <c r="K103" s="128">
        <f>SUMIFS(MainData[ExtendedPrice],MainData[EventID],EventData[[#This Row],[EventID]],MainData[Billable?],"Y",MainData[Category],K$7)</f>
        <v>0</v>
      </c>
      <c r="L103" s="128">
        <f>SUMIFS(MainData[ExtendedPrice],MainData[EventID],EventData[[#This Row],[EventID]],MainData[Billable?],"Y",MainData[Category],L$7)</f>
        <v>405</v>
      </c>
    </row>
    <row r="104" spans="2:12" x14ac:dyDescent="0.25">
      <c r="B104" s="114">
        <v>38</v>
      </c>
      <c r="C104" s="154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55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>Reception/Dinner</v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104" s="107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28">
        <f>SUMIFS(MainData[ExtendedPrice],MainData[EventID],EventData[[#This Row],[EventID]],MainData[Billable?],"Y",MainData[Category],I$7)</f>
        <v>0</v>
      </c>
      <c r="J104" s="128">
        <f>SUMIFS(MainData[ExtendedPrice],MainData[EventID],EventData[[#This Row],[EventID]],MainData[Billable?],"Y",MainData[Category],J$7)</f>
        <v>100</v>
      </c>
      <c r="K104" s="128">
        <f>SUMIFS(MainData[ExtendedPrice],MainData[EventID],EventData[[#This Row],[EventID]],MainData[Billable?],"Y",MainData[Category],K$7)</f>
        <v>0</v>
      </c>
      <c r="L104" s="128">
        <f>SUMIFS(MainData[ExtendedPrice],MainData[EventID],EventData[[#This Row],[EventID]],MainData[Billable?],"Y",MainData[Category],L$7)</f>
        <v>975</v>
      </c>
    </row>
    <row r="105" spans="2:12" x14ac:dyDescent="0.25">
      <c r="B105" s="114">
        <v>39</v>
      </c>
      <c r="C105" s="154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55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>Reception/Dinner</v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105" s="107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28">
        <f>SUMIFS(MainData[ExtendedPrice],MainData[EventID],EventData[[#This Row],[EventID]],MainData[Billable?],"Y",MainData[Category],I$7)</f>
        <v>0</v>
      </c>
      <c r="J105" s="128">
        <f>SUMIFS(MainData[ExtendedPrice],MainData[EventID],EventData[[#This Row],[EventID]],MainData[Billable?],"Y",MainData[Category],J$7)</f>
        <v>100</v>
      </c>
      <c r="K105" s="128">
        <f>SUMIFS(MainData[ExtendedPrice],MainData[EventID],EventData[[#This Row],[EventID]],MainData[Billable?],"Y",MainData[Category],K$7)</f>
        <v>0</v>
      </c>
      <c r="L105" s="128">
        <f>SUMIFS(MainData[ExtendedPrice],MainData[EventID],EventData[[#This Row],[EventID]],MainData[Billable?],"Y",MainData[Category],L$7)</f>
        <v>120</v>
      </c>
    </row>
    <row r="106" spans="2:12" x14ac:dyDescent="0.25">
      <c r="B106" s="114">
        <v>36</v>
      </c>
      <c r="C106" s="154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55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>Reception/Dinner</v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6" s="107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28">
        <f>SUMIFS(MainData[ExtendedPrice],MainData[EventID],EventData[[#This Row],[EventID]],MainData[Billable?],"Y",MainData[Category],I$7)</f>
        <v>0</v>
      </c>
      <c r="J106" s="128">
        <f>SUMIFS(MainData[ExtendedPrice],MainData[EventID],EventData[[#This Row],[EventID]],MainData[Billable?],"Y",MainData[Category],J$7)</f>
        <v>100</v>
      </c>
      <c r="K106" s="128">
        <f>SUMIFS(MainData[ExtendedPrice],MainData[EventID],EventData[[#This Row],[EventID]],MainData[Billable?],"Y",MainData[Category],K$7)</f>
        <v>0</v>
      </c>
      <c r="L106" s="128">
        <f>SUMIFS(MainData[ExtendedPrice],MainData[EventID],EventData[[#This Row],[EventID]],MainData[Billable?],"Y",MainData[Category],L$7)</f>
        <v>339</v>
      </c>
    </row>
    <row r="107" spans="2:12" x14ac:dyDescent="0.25">
      <c r="B107" s="114">
        <v>40</v>
      </c>
      <c r="C107" s="154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55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>Reception/Dinner</v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107" s="107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28">
        <f>SUMIFS(MainData[ExtendedPrice],MainData[EventID],EventData[[#This Row],[EventID]],MainData[Billable?],"Y",MainData[Category],I$7)</f>
        <v>0</v>
      </c>
      <c r="J107" s="128">
        <f>SUMIFS(MainData[ExtendedPrice],MainData[EventID],EventData[[#This Row],[EventID]],MainData[Billable?],"Y",MainData[Category],J$7)</f>
        <v>100</v>
      </c>
      <c r="K107" s="128">
        <f>SUMIFS(MainData[ExtendedPrice],MainData[EventID],EventData[[#This Row],[EventID]],MainData[Billable?],"Y",MainData[Category],K$7)</f>
        <v>0</v>
      </c>
      <c r="L107" s="128">
        <f>SUMIFS(MainData[ExtendedPrice],MainData[EventID],EventData[[#This Row],[EventID]],MainData[Billable?],"Y",MainData[Category],L$7)</f>
        <v>132</v>
      </c>
    </row>
    <row r="108" spans="2:12" x14ac:dyDescent="0.25">
      <c r="B108" s="114">
        <v>41</v>
      </c>
      <c r="C108" s="154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55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>Reception/Dinner</v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108" s="107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28">
        <f>SUMIFS(MainData[ExtendedPrice],MainData[EventID],EventData[[#This Row],[EventID]],MainData[Billable?],"Y",MainData[Category],I$7)</f>
        <v>0</v>
      </c>
      <c r="J108" s="128">
        <f>SUMIFS(MainData[ExtendedPrice],MainData[EventID],EventData[[#This Row],[EventID]],MainData[Billable?],"Y",MainData[Category],J$7)</f>
        <v>100</v>
      </c>
      <c r="K108" s="128">
        <f>SUMIFS(MainData[ExtendedPrice],MainData[EventID],EventData[[#This Row],[EventID]],MainData[Billable?],"Y",MainData[Category],K$7)</f>
        <v>0</v>
      </c>
      <c r="L108" s="128">
        <f>SUMIFS(MainData[ExtendedPrice],MainData[EventID],EventData[[#This Row],[EventID]],MainData[Billable?],"Y",MainData[Category],L$7)</f>
        <v>457</v>
      </c>
    </row>
    <row r="109" spans="2:12" x14ac:dyDescent="0.25">
      <c r="B109" s="114">
        <v>90</v>
      </c>
      <c r="C109" s="154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55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>Precon Meeting</v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2</v>
      </c>
      <c r="H109" s="107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28">
        <f>SUMIFS(MainData[ExtendedPrice],MainData[EventID],EventData[[#This Row],[EventID]],MainData[Billable?],"Y",MainData[Category],I$7)</f>
        <v>0</v>
      </c>
      <c r="J109" s="128">
        <f>SUMIFS(MainData[ExtendedPrice],MainData[EventID],EventData[[#This Row],[EventID]],MainData[Billable?],"Y",MainData[Category],J$7)</f>
        <v>0</v>
      </c>
      <c r="K109" s="128">
        <f>SUMIFS(MainData[ExtendedPrice],MainData[EventID],EventData[[#This Row],[EventID]],MainData[Billable?],"Y",MainData[Category],K$7)</f>
        <v>0</v>
      </c>
      <c r="L109" s="128">
        <f>SUMIFS(MainData[ExtendedPrice],MainData[EventID],EventData[[#This Row],[EventID]],MainData[Billable?],"Y",MainData[Category],L$7)</f>
        <v>41</v>
      </c>
    </row>
    <row r="110" spans="2:12" x14ac:dyDescent="0.25">
      <c r="B110" s="114">
        <v>92</v>
      </c>
      <c r="C110" s="154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55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>Reception</v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10" s="107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28">
        <f>SUMIFS(MainData[ExtendedPrice],MainData[EventID],EventData[[#This Row],[EventID]],MainData[Billable?],"Y",MainData[Category],I$7)</f>
        <v>0</v>
      </c>
      <c r="J110" s="128">
        <f>SUMIFS(MainData[ExtendedPrice],MainData[EventID],EventData[[#This Row],[EventID]],MainData[Billable?],"Y",MainData[Category],J$7)</f>
        <v>500</v>
      </c>
      <c r="K110" s="128">
        <f>SUMIFS(MainData[ExtendedPrice],MainData[EventID],EventData[[#This Row],[EventID]],MainData[Billable?],"Y",MainData[Category],K$7)</f>
        <v>0</v>
      </c>
      <c r="L110" s="128">
        <f>SUMIFS(MainData[ExtendedPrice],MainData[EventID],EventData[[#This Row],[EventID]],MainData[Billable?],"Y",MainData[Category],L$7)</f>
        <v>16993</v>
      </c>
    </row>
    <row r="111" spans="2:12" x14ac:dyDescent="0.25">
      <c r="B111" s="114">
        <v>9</v>
      </c>
      <c r="C111" s="154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55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>Precon Meeting</v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6</v>
      </c>
      <c r="H111" s="107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28">
        <f>SUMIFS(MainData[ExtendedPrice],MainData[EventID],EventData[[#This Row],[EventID]],MainData[Billable?],"Y",MainData[Category],I$7)</f>
        <v>0</v>
      </c>
      <c r="J111" s="128">
        <f>SUMIFS(MainData[ExtendedPrice],MainData[EventID],EventData[[#This Row],[EventID]],MainData[Billable?],"Y",MainData[Category],J$7)</f>
        <v>0</v>
      </c>
      <c r="K111" s="128">
        <f>SUMIFS(MainData[ExtendedPrice],MainData[EventID],EventData[[#This Row],[EventID]],MainData[Billable?],"Y",MainData[Category],K$7)</f>
        <v>0</v>
      </c>
      <c r="L111" s="128">
        <f>SUMIFS(MainData[ExtendedPrice],MainData[EventID],EventData[[#This Row],[EventID]],MainData[Billable?],"Y",MainData[Category],L$7)</f>
        <v>41</v>
      </c>
    </row>
    <row r="112" spans="2:12" x14ac:dyDescent="0.25">
      <c r="B112" s="114">
        <v>96</v>
      </c>
      <c r="C112" s="154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55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Amenity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2" s="107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28">
        <f>SUMIFS(MainData[ExtendedPrice],MainData[EventID],EventData[[#This Row],[EventID]],MainData[Billable?],"Y",MainData[Category],I$7)</f>
        <v>0</v>
      </c>
      <c r="J112" s="128">
        <f>SUMIFS(MainData[ExtendedPrice],MainData[EventID],EventData[[#This Row],[EventID]],MainData[Billable?],"Y",MainData[Category],J$7)</f>
        <v>0</v>
      </c>
      <c r="K112" s="128">
        <f>SUMIFS(MainData[ExtendedPrice],MainData[EventID],EventData[[#This Row],[EventID]],MainData[Billable?],"Y",MainData[Category],K$7)</f>
        <v>0</v>
      </c>
      <c r="L112" s="128">
        <f>SUMIFS(MainData[ExtendedPrice],MainData[EventID],EventData[[#This Row],[EventID]],MainData[Billable?],"Y",MainData[Category],L$7)</f>
        <v>100</v>
      </c>
    </row>
    <row r="113" spans="2:12" x14ac:dyDescent="0.25">
      <c r="B113" s="114">
        <v>97</v>
      </c>
      <c r="C113" s="154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55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>Reception/Dinner</v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13" s="107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28">
        <f>SUMIFS(MainData[ExtendedPrice],MainData[EventID],EventData[[#This Row],[EventID]],MainData[Billable?],"Y",MainData[Category],I$7)</f>
        <v>2000</v>
      </c>
      <c r="J113" s="128">
        <f>SUMIFS(MainData[ExtendedPrice],MainData[EventID],EventData[[#This Row],[EventID]],MainData[Billable?],"Y",MainData[Category],J$7)</f>
        <v>300</v>
      </c>
      <c r="K113" s="128">
        <f>SUMIFS(MainData[ExtendedPrice],MainData[EventID],EventData[[#This Row],[EventID]],MainData[Billable?],"Y",MainData[Category],K$7)</f>
        <v>0</v>
      </c>
      <c r="L113" s="128">
        <f>SUMIFS(MainData[ExtendedPrice],MainData[EventID],EventData[[#This Row],[EventID]],MainData[Billable?],"Y",MainData[Category],L$7)</f>
        <v>6500</v>
      </c>
    </row>
    <row r="114" spans="2:12" x14ac:dyDescent="0.25">
      <c r="B114" s="114">
        <v>95</v>
      </c>
      <c r="C114" s="154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55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>Amenity</v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4" s="107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28">
        <f>SUMIFS(MainData[ExtendedPrice],MainData[EventID],EventData[[#This Row],[EventID]],MainData[Billable?],"Y",MainData[Category],I$7)</f>
        <v>0</v>
      </c>
      <c r="J114" s="128">
        <f>SUMIFS(MainData[ExtendedPrice],MainData[EventID],EventData[[#This Row],[EventID]],MainData[Billable?],"Y",MainData[Category],J$7)</f>
        <v>0</v>
      </c>
      <c r="K114" s="128">
        <f>SUMIFS(MainData[ExtendedPrice],MainData[EventID],EventData[[#This Row],[EventID]],MainData[Billable?],"Y",MainData[Category],K$7)</f>
        <v>0</v>
      </c>
      <c r="L114" s="128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4" r:id="rId4" name="ClearFiltersButton">
          <controlPr defaultSize="0" print="0" autoLine="0" r:id="rId5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4" name="ClearFilters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5" r:id="rId8" name="RefreshDataButton">
          <controlPr defaultSize="0" print="0" autoLine="0" r:id="rId9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8" name="RefreshData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TEXT(SUBTOTAL(105,BillingData[Date]), "mmmm dd, yyyy")</f>
        <v>From:  January 05, 2022</v>
      </c>
      <c r="P1" s="211" t="str">
        <f>Transactions!U1</f>
        <v/>
      </c>
      <c r="Q1" s="211"/>
    </row>
    <row r="2" spans="2:19" ht="15.75" x14ac:dyDescent="0.25">
      <c r="C2" s="1" t="s">
        <v>142</v>
      </c>
      <c r="L2" s="10" t="str">
        <f>"To:  " &amp; TEXT(SUBTOTAL(104,BillingData[Date]),"mmmm dd, yyyy")</f>
        <v>To:  February 28, 2022</v>
      </c>
      <c r="P2" s="211"/>
      <c r="Q2" s="211"/>
    </row>
    <row r="3" spans="2:19" x14ac:dyDescent="0.25">
      <c r="C3" s="199">
        <f>Transactions!$B$3</f>
        <v>44887.394606481481</v>
      </c>
      <c r="D3" s="199"/>
      <c r="E3" s="199"/>
      <c r="F3" s="199"/>
      <c r="G3" s="120"/>
      <c r="H3" s="120"/>
      <c r="I3" s="120"/>
      <c r="J3" s="120"/>
      <c r="K3" s="120"/>
      <c r="L3" s="131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</row>
    <row r="5" spans="2:19" x14ac:dyDescent="0.25">
      <c r="C5" s="136" t="str">
        <f>IF(L3="(Filtered)","Subtotals:","Totals:")</f>
        <v>Totals:</v>
      </c>
      <c r="H5" s="63" t="str">
        <f>SUBTOTAL(103,BillingData[Check'#]) &amp; IF(SUBTOTAL(103,BillingData[Check'#])=1," Banquet Check", " Banquet Checks")</f>
        <v>126 Banquet Checks</v>
      </c>
      <c r="I5" s="83">
        <f>SUBTOTAL(109,BillingData[Subtotal])</f>
        <v>593068.83250000002</v>
      </c>
      <c r="J5" s="83">
        <f>SUBTOTAL(109,BillingData[Tax])</f>
        <v>36</v>
      </c>
      <c r="K5" s="83">
        <f>SUBTOTAL(109,BillingData[Gratuity])</f>
        <v>48</v>
      </c>
      <c r="L5" s="83">
        <f>SUBTOTAL(109,BillingData[Total])</f>
        <v>593152.83250000002</v>
      </c>
      <c r="P5" s="10"/>
    </row>
    <row r="6" spans="2:19" x14ac:dyDescent="0.25">
      <c r="B6" s="2" t="s">
        <v>112</v>
      </c>
      <c r="C6" s="70" t="s">
        <v>82</v>
      </c>
      <c r="D6" s="69" t="s">
        <v>0</v>
      </c>
      <c r="E6" s="70" t="s">
        <v>81</v>
      </c>
      <c r="F6" s="70" t="s">
        <v>147</v>
      </c>
      <c r="G6" s="70" t="s">
        <v>19</v>
      </c>
      <c r="H6" s="70" t="s">
        <v>18</v>
      </c>
      <c r="I6" s="70" t="s">
        <v>139</v>
      </c>
      <c r="J6" s="70" t="s">
        <v>140</v>
      </c>
      <c r="K6" s="70" t="s">
        <v>141</v>
      </c>
      <c r="L6" s="70" t="s">
        <v>93</v>
      </c>
      <c r="P6" s="10"/>
      <c r="Q6" s="10"/>
    </row>
    <row r="7" spans="2:19" x14ac:dyDescent="0.25">
      <c r="B7" s="114">
        <v>1</v>
      </c>
      <c r="C7" s="156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53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56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33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09">
        <f>SUMIFS(MainData[ExtendedPrice],MainData[BillID],BillingData[[#This Row],[BillID]],MainData[Billable?],"Y",MainData[Category],"&lt;&gt;"&amp;$J$6,MainData[Category],"&lt;&gt;"&amp;$K$6,MainData[Category],"&lt;&gt;" &amp; "Info")</f>
        <v>1289.0999999999999</v>
      </c>
      <c r="J7" s="109">
        <f>SUMIFS(MainData[ExtendedPrice],MainData[BillID],BillingData[[#This Row],[BillID]],MainData[Billable?],"Y",MainData[Category],$J$6)</f>
        <v>0</v>
      </c>
      <c r="K7" s="109">
        <f>SUMIFS(MainData[ExtendedPrice],MainData[BillID],BillingData[[#This Row],[BillID]],MainData[Billable?],"Y",MainData[Category],$K$6)</f>
        <v>0</v>
      </c>
      <c r="L7" s="109">
        <f>SUM(BillingData[[#This Row],[Subtotal]:[Gratuity]])</f>
        <v>1289.0999999999999</v>
      </c>
      <c r="P7" s="13"/>
      <c r="Q7" s="14"/>
      <c r="S7" s="41"/>
    </row>
    <row r="8" spans="2:19" x14ac:dyDescent="0.25">
      <c r="B8" s="114">
        <v>2</v>
      </c>
      <c r="C8" s="156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53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56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33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09">
        <f>SUMIFS(MainData[ExtendedPrice],MainData[BillID],BillingData[[#This Row],[BillID]],MainData[Billable?],"Y",MainData[Category],"&lt;&gt;"&amp;$J$6,MainData[Category],"&lt;&gt;"&amp;$K$6,MainData[Category],"&lt;&gt;" &amp; "Info")</f>
        <v>49915.252500000002</v>
      </c>
      <c r="J8" s="109">
        <f>SUMIFS(MainData[ExtendedPrice],MainData[BillID],BillingData[[#This Row],[BillID]],MainData[Billable?],"Y",MainData[Category],$J$6)</f>
        <v>0</v>
      </c>
      <c r="K8" s="109">
        <f>SUMIFS(MainData[ExtendedPrice],MainData[BillID],BillingData[[#This Row],[BillID]],MainData[Billable?],"Y",MainData[Category],$K$6)</f>
        <v>0</v>
      </c>
      <c r="L8" s="109">
        <f>SUM(BillingData[[#This Row],[Subtotal]:[Gratuity]])</f>
        <v>49915.252500000002</v>
      </c>
      <c r="P8" s="13"/>
      <c r="Q8" s="14"/>
    </row>
    <row r="9" spans="2:19" x14ac:dyDescent="0.25">
      <c r="B9" s="114">
        <v>3</v>
      </c>
      <c r="C9" s="156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53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56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33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09">
        <f>SUMIFS(MainData[ExtendedPrice],MainData[BillID],BillingData[[#This Row],[BillID]],MainData[Billable?],"Y",MainData[Category],"&lt;&gt;"&amp;$J$6,MainData[Category],"&lt;&gt;"&amp;$K$6,MainData[Category],"&lt;&gt;" &amp; "Info")</f>
        <v>12610</v>
      </c>
      <c r="J9" s="109">
        <f>SUMIFS(MainData[ExtendedPrice],MainData[BillID],BillingData[[#This Row],[BillID]],MainData[Billable?],"Y",MainData[Category],$J$6)</f>
        <v>0</v>
      </c>
      <c r="K9" s="109">
        <f>SUMIFS(MainData[ExtendedPrice],MainData[BillID],BillingData[[#This Row],[BillID]],MainData[Billable?],"Y",MainData[Category],$K$6)</f>
        <v>0</v>
      </c>
      <c r="L9" s="109">
        <f>SUM(BillingData[[#This Row],[Subtotal]:[Gratuity]])</f>
        <v>12610</v>
      </c>
      <c r="P9" s="13"/>
      <c r="Q9" s="14"/>
    </row>
    <row r="10" spans="2:19" x14ac:dyDescent="0.25">
      <c r="B10" s="114">
        <v>4</v>
      </c>
      <c r="C10" s="156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53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56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33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09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09">
        <f>SUMIFS(MainData[ExtendedPrice],MainData[BillID],BillingData[[#This Row],[BillID]],MainData[Billable?],"Y",MainData[Category],$J$6)</f>
        <v>0</v>
      </c>
      <c r="K10" s="109">
        <f>SUMIFS(MainData[ExtendedPrice],MainData[BillID],BillingData[[#This Row],[BillID]],MainData[Billable?],"Y",MainData[Category],$K$6)</f>
        <v>0</v>
      </c>
      <c r="L10" s="109">
        <f>SUM(BillingData[[#This Row],[Subtotal]:[Gratuity]])</f>
        <v>704</v>
      </c>
      <c r="P10" s="13"/>
      <c r="Q10" s="14"/>
    </row>
    <row r="11" spans="2:19" x14ac:dyDescent="0.25">
      <c r="B11" s="114">
        <v>5</v>
      </c>
      <c r="C11" s="156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53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56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33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1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09">
        <f>SUMIFS(MainData[ExtendedPrice],MainData[BillID],BillingData[[#This Row],[BillID]],MainData[Billable?],"Y",MainData[Category],$J$6)</f>
        <v>0</v>
      </c>
      <c r="K11" s="109">
        <f>SUMIFS(MainData[ExtendedPrice],MainData[BillID],BillingData[[#This Row],[BillID]],MainData[Billable?],"Y",MainData[Category],$K$6)</f>
        <v>0</v>
      </c>
      <c r="L11" s="109">
        <f>SUM(BillingData[[#This Row],[Subtotal]:[Gratuity]])</f>
        <v>41</v>
      </c>
      <c r="P11" s="13"/>
      <c r="Q11" s="14"/>
    </row>
    <row r="12" spans="2:19" x14ac:dyDescent="0.25">
      <c r="B12" s="114">
        <v>7</v>
      </c>
      <c r="C12" s="156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53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56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33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09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09">
        <f>SUMIFS(MainData[ExtendedPrice],MainData[BillID],BillingData[[#This Row],[BillID]],MainData[Billable?],"Y",MainData[Category],$J$6)</f>
        <v>0</v>
      </c>
      <c r="K12" s="109">
        <f>SUMIFS(MainData[ExtendedPrice],MainData[BillID],BillingData[[#This Row],[BillID]],MainData[Billable?],"Y",MainData[Category],$K$6)</f>
        <v>0</v>
      </c>
      <c r="L12" s="109">
        <f>SUM(BillingData[[#This Row],[Subtotal]:[Gratuity]])</f>
        <v>68.48</v>
      </c>
      <c r="P12" s="13"/>
      <c r="Q12" s="14"/>
    </row>
    <row r="13" spans="2:19" x14ac:dyDescent="0.25">
      <c r="B13" s="114">
        <v>6</v>
      </c>
      <c r="C13" s="156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53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56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33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09">
        <f>SUMIFS(MainData[ExtendedPrice],MainData[BillID],BillingData[[#This Row],[BillID]],MainData[Billable?],"Y",MainData[Category],"&lt;&gt;"&amp;$J$6,MainData[Category],"&lt;&gt;"&amp;$K$6,MainData[Category],"&lt;&gt;" &amp; "Info")</f>
        <v>664</v>
      </c>
      <c r="J13" s="109">
        <f>SUMIFS(MainData[ExtendedPrice],MainData[BillID],BillingData[[#This Row],[BillID]],MainData[Billable?],"Y",MainData[Category],$J$6)</f>
        <v>0</v>
      </c>
      <c r="K13" s="109">
        <f>SUMIFS(MainData[ExtendedPrice],MainData[BillID],BillingData[[#This Row],[BillID]],MainData[Billable?],"Y",MainData[Category],$K$6)</f>
        <v>0</v>
      </c>
      <c r="L13" s="109">
        <f>SUM(BillingData[[#This Row],[Subtotal]:[Gratuity]])</f>
        <v>664</v>
      </c>
      <c r="P13" s="13"/>
      <c r="Q13" s="14"/>
    </row>
    <row r="14" spans="2:19" x14ac:dyDescent="0.25">
      <c r="B14" s="114">
        <v>8</v>
      </c>
      <c r="C14" s="156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53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56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33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4" s="109">
        <f>SUMIFS(MainData[ExtendedPrice],MainData[BillID],BillingData[[#This Row],[BillID]],MainData[Billable?],"Y",MainData[Category],"&lt;&gt;"&amp;$J$6,MainData[Category],"&lt;&gt;"&amp;$K$6,MainData[Category],"&lt;&gt;" &amp; "Info")</f>
        <v>15885</v>
      </c>
      <c r="J14" s="109">
        <f>SUMIFS(MainData[ExtendedPrice],MainData[BillID],BillingData[[#This Row],[BillID]],MainData[Billable?],"Y",MainData[Category],$J$6)</f>
        <v>0</v>
      </c>
      <c r="K14" s="109">
        <f>SUMIFS(MainData[ExtendedPrice],MainData[BillID],BillingData[[#This Row],[BillID]],MainData[Billable?],"Y",MainData[Category],$K$6)</f>
        <v>0</v>
      </c>
      <c r="L14" s="109">
        <f>SUM(BillingData[[#This Row],[Subtotal]:[Gratuity]])</f>
        <v>15885</v>
      </c>
      <c r="P14" s="13"/>
      <c r="Q14" s="14"/>
    </row>
    <row r="15" spans="2:19" x14ac:dyDescent="0.25">
      <c r="B15" s="114">
        <v>9</v>
      </c>
      <c r="C15" s="156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53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56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33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09">
        <f>SUMIFS(MainData[ExtendedPrice],MainData[BillID],BillingData[[#This Row],[BillID]],MainData[Billable?],"Y",MainData[Category],$J$6)</f>
        <v>0</v>
      </c>
      <c r="K15" s="109">
        <f>SUMIFS(MainData[ExtendedPrice],MainData[BillID],BillingData[[#This Row],[BillID]],MainData[Billable?],"Y",MainData[Category],$K$6)</f>
        <v>0</v>
      </c>
      <c r="L15" s="109">
        <f>SUM(BillingData[[#This Row],[Subtotal]:[Gratuity]])</f>
        <v>41</v>
      </c>
      <c r="P15" s="13"/>
      <c r="Q15" s="14"/>
    </row>
    <row r="16" spans="2:19" x14ac:dyDescent="0.25">
      <c r="B16" s="114">
        <v>116</v>
      </c>
      <c r="C16" s="156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53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56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33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09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09">
        <f>SUMIFS(MainData[ExtendedPrice],MainData[BillID],BillingData[[#This Row],[BillID]],MainData[Billable?],"Y",MainData[Category],$J$6)</f>
        <v>0</v>
      </c>
      <c r="K16" s="109">
        <f>SUMIFS(MainData[ExtendedPrice],MainData[BillID],BillingData[[#This Row],[BillID]],MainData[Billable?],"Y",MainData[Category],$K$6)</f>
        <v>0</v>
      </c>
      <c r="L16" s="109">
        <f>SUM(BillingData[[#This Row],[Subtotal]:[Gratuity]])</f>
        <v>17.25</v>
      </c>
      <c r="P16" s="13"/>
      <c r="Q16" s="14"/>
    </row>
    <row r="17" spans="2:17" x14ac:dyDescent="0.25">
      <c r="B17" s="114">
        <v>10</v>
      </c>
      <c r="C17" s="156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53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56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33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7" s="109">
        <f>SUMIFS(MainData[ExtendedPrice],MainData[BillID],BillingData[[#This Row],[BillID]],MainData[Billable?],"Y",MainData[Category],$J$6)</f>
        <v>0</v>
      </c>
      <c r="K17" s="109">
        <f>SUMIFS(MainData[ExtendedPrice],MainData[BillID],BillingData[[#This Row],[BillID]],MainData[Billable?],"Y",MainData[Category],$K$6)</f>
        <v>0</v>
      </c>
      <c r="L17" s="109">
        <f>SUM(BillingData[[#This Row],[Subtotal]:[Gratuity]])</f>
        <v>100</v>
      </c>
      <c r="P17" s="13"/>
      <c r="Q17" s="14"/>
    </row>
    <row r="18" spans="2:17" x14ac:dyDescent="0.25">
      <c r="B18" s="114">
        <v>14</v>
      </c>
      <c r="C18" s="156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53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56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33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09">
        <f>SUMIFS(MainData[ExtendedPrice],MainData[BillID],BillingData[[#This Row],[BillID]],MainData[Billable?],"Y",MainData[Category],"&lt;&gt;"&amp;$J$6,MainData[Category],"&lt;&gt;"&amp;$K$6,MainData[Category],"&lt;&gt;" &amp; "Info")</f>
        <v>2592</v>
      </c>
      <c r="J18" s="109">
        <f>SUMIFS(MainData[ExtendedPrice],MainData[BillID],BillingData[[#This Row],[BillID]],MainData[Billable?],"Y",MainData[Category],$J$6)</f>
        <v>0</v>
      </c>
      <c r="K18" s="109">
        <f>SUMIFS(MainData[ExtendedPrice],MainData[BillID],BillingData[[#This Row],[BillID]],MainData[Billable?],"Y",MainData[Category],$K$6)</f>
        <v>0</v>
      </c>
      <c r="L18" s="109">
        <f>SUM(BillingData[[#This Row],[Subtotal]:[Gratuity]])</f>
        <v>2592</v>
      </c>
      <c r="P18" s="13"/>
      <c r="Q18" s="14"/>
    </row>
    <row r="19" spans="2:17" x14ac:dyDescent="0.25">
      <c r="B19" s="114">
        <v>11</v>
      </c>
      <c r="C19" s="156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53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56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33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9" s="109">
        <f>SUMIFS(MainData[ExtendedPrice],MainData[BillID],BillingData[[#This Row],[BillID]],MainData[Billable?],"Y",MainData[Category],"&lt;&gt;"&amp;$J$6,MainData[Category],"&lt;&gt;"&amp;$K$6,MainData[Category],"&lt;&gt;" &amp; "Info")</f>
        <v>9337</v>
      </c>
      <c r="J19" s="109">
        <f>SUMIFS(MainData[ExtendedPrice],MainData[BillID],BillingData[[#This Row],[BillID]],MainData[Billable?],"Y",MainData[Category],$J$6)</f>
        <v>0</v>
      </c>
      <c r="K19" s="109">
        <f>SUMIFS(MainData[ExtendedPrice],MainData[BillID],BillingData[[#This Row],[BillID]],MainData[Billable?],"Y",MainData[Category],$K$6)</f>
        <v>0</v>
      </c>
      <c r="L19" s="109">
        <f>SUM(BillingData[[#This Row],[Subtotal]:[Gratuity]])</f>
        <v>9337</v>
      </c>
      <c r="P19" s="13"/>
      <c r="Q19" s="14"/>
    </row>
    <row r="20" spans="2:17" x14ac:dyDescent="0.25">
      <c r="B20" s="114">
        <v>12</v>
      </c>
      <c r="C20" s="156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53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56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33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0" s="109">
        <f>SUMIFS(MainData[ExtendedPrice],MainData[BillID],BillingData[[#This Row],[BillID]],MainData[Billable?],"Y",MainData[Category],"&lt;&gt;"&amp;$J$6,MainData[Category],"&lt;&gt;"&amp;$K$6,MainData[Category],"&lt;&gt;" &amp; "Info")</f>
        <v>575</v>
      </c>
      <c r="J20" s="109">
        <f>SUMIFS(MainData[ExtendedPrice],MainData[BillID],BillingData[[#This Row],[BillID]],MainData[Billable?],"Y",MainData[Category],$J$6)</f>
        <v>0</v>
      </c>
      <c r="K20" s="109">
        <f>SUMIFS(MainData[ExtendedPrice],MainData[BillID],BillingData[[#This Row],[BillID]],MainData[Billable?],"Y",MainData[Category],$K$6)</f>
        <v>0</v>
      </c>
      <c r="L20" s="109">
        <f>SUM(BillingData[[#This Row],[Subtotal]:[Gratuity]])</f>
        <v>575</v>
      </c>
      <c r="P20" s="13"/>
      <c r="Q20" s="14"/>
    </row>
    <row r="21" spans="2:17" x14ac:dyDescent="0.25">
      <c r="B21" s="114">
        <v>13</v>
      </c>
      <c r="C21" s="156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53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56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33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1" s="109">
        <f>SUMIFS(MainData[ExtendedPrice],MainData[BillID],BillingData[[#This Row],[BillID]],MainData[Billable?],"Y",MainData[Category],"&lt;&gt;"&amp;$J$6,MainData[Category],"&lt;&gt;"&amp;$K$6,MainData[Category],"&lt;&gt;" &amp; "Info")</f>
        <v>709</v>
      </c>
      <c r="J21" s="109">
        <f>SUMIFS(MainData[ExtendedPrice],MainData[BillID],BillingData[[#This Row],[BillID]],MainData[Billable?],"Y",MainData[Category],$J$6)</f>
        <v>0</v>
      </c>
      <c r="K21" s="109">
        <f>SUMIFS(MainData[ExtendedPrice],MainData[BillID],BillingData[[#This Row],[BillID]],MainData[Billable?],"Y",MainData[Category],$K$6)</f>
        <v>0</v>
      </c>
      <c r="L21" s="109">
        <f>SUM(BillingData[[#This Row],[Subtotal]:[Gratuity]])</f>
        <v>709</v>
      </c>
    </row>
    <row r="22" spans="2:17" x14ac:dyDescent="0.25">
      <c r="B22" s="114">
        <v>15</v>
      </c>
      <c r="C22" s="156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53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56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33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09">
        <f>SUMIFS(MainData[ExtendedPrice],MainData[BillID],BillingData[[#This Row],[BillID]],MainData[Billable?],"Y",MainData[Category],"&lt;&gt;"&amp;$J$6,MainData[Category],"&lt;&gt;"&amp;$K$6,MainData[Category],"&lt;&gt;" &amp; "Info")</f>
        <v>9058</v>
      </c>
      <c r="J22" s="109">
        <f>SUMIFS(MainData[ExtendedPrice],MainData[BillID],BillingData[[#This Row],[BillID]],MainData[Billable?],"Y",MainData[Category],$J$6)</f>
        <v>0</v>
      </c>
      <c r="K22" s="109">
        <f>SUMIFS(MainData[ExtendedPrice],MainData[BillID],BillingData[[#This Row],[BillID]],MainData[Billable?],"Y",MainData[Category],$K$6)</f>
        <v>0</v>
      </c>
      <c r="L22" s="109">
        <f>SUM(BillingData[[#This Row],[Subtotal]:[Gratuity]])</f>
        <v>9058</v>
      </c>
    </row>
    <row r="23" spans="2:17" x14ac:dyDescent="0.25">
      <c r="B23" s="114">
        <v>16</v>
      </c>
      <c r="C23" s="156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53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56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33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09">
        <f>SUMIFS(MainData[ExtendedPrice],MainData[BillID],BillingData[[#This Row],[BillID]],MainData[Billable?],"Y",MainData[Category],"&lt;&gt;"&amp;$J$6,MainData[Category],"&lt;&gt;"&amp;$K$6,MainData[Category],"&lt;&gt;" &amp; "Info")</f>
        <v>24944</v>
      </c>
      <c r="J23" s="109">
        <f>SUMIFS(MainData[ExtendedPrice],MainData[BillID],BillingData[[#This Row],[BillID]],MainData[Billable?],"Y",MainData[Category],$J$6)</f>
        <v>0</v>
      </c>
      <c r="K23" s="109">
        <f>SUMIFS(MainData[ExtendedPrice],MainData[BillID],BillingData[[#This Row],[BillID]],MainData[Billable?],"Y",MainData[Category],$K$6)</f>
        <v>0</v>
      </c>
      <c r="L23" s="109">
        <f>SUM(BillingData[[#This Row],[Subtotal]:[Gratuity]])</f>
        <v>24944</v>
      </c>
    </row>
    <row r="24" spans="2:17" x14ac:dyDescent="0.25">
      <c r="B24" s="114">
        <v>17</v>
      </c>
      <c r="C24" s="156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53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56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33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09">
        <f>SUMIFS(MainData[ExtendedPrice],MainData[BillID],BillingData[[#This Row],[BillID]],MainData[Billable?],"Y",MainData[Category],"&lt;&gt;"&amp;$J$6,MainData[Category],"&lt;&gt;"&amp;$K$6,MainData[Category],"&lt;&gt;" &amp; "Info")</f>
        <v>7507</v>
      </c>
      <c r="J24" s="109">
        <f>SUMIFS(MainData[ExtendedPrice],MainData[BillID],BillingData[[#This Row],[BillID]],MainData[Billable?],"Y",MainData[Category],$J$6)</f>
        <v>0</v>
      </c>
      <c r="K24" s="109">
        <f>SUMIFS(MainData[ExtendedPrice],MainData[BillID],BillingData[[#This Row],[BillID]],MainData[Billable?],"Y",MainData[Category],$K$6)</f>
        <v>0</v>
      </c>
      <c r="L24" s="109">
        <f>SUM(BillingData[[#This Row],[Subtotal]:[Gratuity]])</f>
        <v>7507</v>
      </c>
    </row>
    <row r="25" spans="2:17" x14ac:dyDescent="0.25">
      <c r="B25" s="114">
        <v>18</v>
      </c>
      <c r="C25" s="156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53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56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33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09">
        <f>SUMIFS(MainData[ExtendedPrice],MainData[BillID],BillingData[[#This Row],[BillID]],MainData[Billable?],"Y",MainData[Category],$J$6)</f>
        <v>0</v>
      </c>
      <c r="K25" s="109">
        <f>SUMIFS(MainData[ExtendedPrice],MainData[BillID],BillingData[[#This Row],[BillID]],MainData[Billable?],"Y",MainData[Category],$K$6)</f>
        <v>0</v>
      </c>
      <c r="L25" s="109">
        <f>SUM(BillingData[[#This Row],[Subtotal]:[Gratuity]])</f>
        <v>41</v>
      </c>
    </row>
    <row r="26" spans="2:17" x14ac:dyDescent="0.25">
      <c r="B26" s="114">
        <v>19</v>
      </c>
      <c r="C26" s="156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53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56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33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09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09">
        <f>SUMIFS(MainData[ExtendedPrice],MainData[BillID],BillingData[[#This Row],[BillID]],MainData[Billable?],"Y",MainData[Category],$J$6)</f>
        <v>0</v>
      </c>
      <c r="K26" s="109">
        <f>SUMIFS(MainData[ExtendedPrice],MainData[BillID],BillingData[[#This Row],[BillID]],MainData[Billable?],"Y",MainData[Category],$K$6)</f>
        <v>0</v>
      </c>
      <c r="L26" s="109">
        <f>SUM(BillingData[[#This Row],[Subtotal]:[Gratuity]])</f>
        <v>1058</v>
      </c>
    </row>
    <row r="27" spans="2:17" x14ac:dyDescent="0.25">
      <c r="B27" s="114">
        <v>20</v>
      </c>
      <c r="C27" s="156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53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56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33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09">
        <f>SUMIFS(MainData[ExtendedPrice],MainData[BillID],BillingData[[#This Row],[BillID]],MainData[Billable?],"Y",MainData[Category],"&lt;&gt;"&amp;$J$6,MainData[Category],"&lt;&gt;"&amp;$K$6,MainData[Category],"&lt;&gt;" &amp; "Info")</f>
        <v>6054.65</v>
      </c>
      <c r="J27" s="109">
        <f>SUMIFS(MainData[ExtendedPrice],MainData[BillID],BillingData[[#This Row],[BillID]],MainData[Billable?],"Y",MainData[Category],$J$6)</f>
        <v>0</v>
      </c>
      <c r="K27" s="109">
        <f>SUMIFS(MainData[ExtendedPrice],MainData[BillID],BillingData[[#This Row],[BillID]],MainData[Billable?],"Y",MainData[Category],$K$6)</f>
        <v>0</v>
      </c>
      <c r="L27" s="109">
        <f>SUM(BillingData[[#This Row],[Subtotal]:[Gratuity]])</f>
        <v>6054.65</v>
      </c>
    </row>
    <row r="28" spans="2:17" x14ac:dyDescent="0.25">
      <c r="B28" s="114">
        <v>21</v>
      </c>
      <c r="C28" s="156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53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56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33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09">
        <f>SUMIFS(MainData[ExtendedPrice],MainData[BillID],BillingData[[#This Row],[BillID]],MainData[Billable?],"Y",MainData[Category],"&lt;&gt;"&amp;$J$6,MainData[Category],"&lt;&gt;"&amp;$K$6,MainData[Category],"&lt;&gt;" &amp; "Info")</f>
        <v>36991.29</v>
      </c>
      <c r="J28" s="109">
        <f>SUMIFS(MainData[ExtendedPrice],MainData[BillID],BillingData[[#This Row],[BillID]],MainData[Billable?],"Y",MainData[Category],$J$6)</f>
        <v>0</v>
      </c>
      <c r="K28" s="109">
        <f>SUMIFS(MainData[ExtendedPrice],MainData[BillID],BillingData[[#This Row],[BillID]],MainData[Billable?],"Y",MainData[Category],$K$6)</f>
        <v>0</v>
      </c>
      <c r="L28" s="109">
        <f>SUM(BillingData[[#This Row],[Subtotal]:[Gratuity]])</f>
        <v>36991.29</v>
      </c>
    </row>
    <row r="29" spans="2:17" x14ac:dyDescent="0.25">
      <c r="B29" s="114">
        <v>22</v>
      </c>
      <c r="C29" s="156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53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56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33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09">
        <f>SUMIFS(MainData[ExtendedPrice],MainData[BillID],BillingData[[#This Row],[BillID]],MainData[Billable?],"Y",MainData[Category],"&lt;&gt;"&amp;$J$6,MainData[Category],"&lt;&gt;"&amp;$K$6,MainData[Category],"&lt;&gt;" &amp; "Info")</f>
        <v>9556</v>
      </c>
      <c r="J29" s="109">
        <f>SUMIFS(MainData[ExtendedPrice],MainData[BillID],BillingData[[#This Row],[BillID]],MainData[Billable?],"Y",MainData[Category],$J$6)</f>
        <v>0</v>
      </c>
      <c r="K29" s="109">
        <f>SUMIFS(MainData[ExtendedPrice],MainData[BillID],BillingData[[#This Row],[BillID]],MainData[Billable?],"Y",MainData[Category],$K$6)</f>
        <v>0</v>
      </c>
      <c r="L29" s="109">
        <f>SUM(BillingData[[#This Row],[Subtotal]:[Gratuity]])</f>
        <v>9556</v>
      </c>
    </row>
    <row r="30" spans="2:17" x14ac:dyDescent="0.25">
      <c r="B30" s="114">
        <v>23</v>
      </c>
      <c r="C30" s="156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53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56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33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09">
        <f>SUMIFS(MainData[ExtendedPrice],MainData[BillID],BillingData[[#This Row],[BillID]],MainData[Billable?],"Y",MainData[Category],"&lt;&gt;"&amp;$J$6,MainData[Category],"&lt;&gt;"&amp;$K$6,MainData[Category],"&lt;&gt;" &amp; "Info")</f>
        <v>320</v>
      </c>
      <c r="J30" s="109">
        <f>SUMIFS(MainData[ExtendedPrice],MainData[BillID],BillingData[[#This Row],[BillID]],MainData[Billable?],"Y",MainData[Category],$J$6)</f>
        <v>0</v>
      </c>
      <c r="K30" s="109">
        <f>SUMIFS(MainData[ExtendedPrice],MainData[BillID],BillingData[[#This Row],[BillID]],MainData[Billable?],"Y",MainData[Category],$K$6)</f>
        <v>0</v>
      </c>
      <c r="L30" s="109">
        <f>SUM(BillingData[[#This Row],[Subtotal]:[Gratuity]])</f>
        <v>320</v>
      </c>
    </row>
    <row r="31" spans="2:17" x14ac:dyDescent="0.25">
      <c r="B31" s="114">
        <v>24</v>
      </c>
      <c r="C31" s="156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53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56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33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09">
        <f>SUMIFS(MainData[ExtendedPrice],MainData[BillID],BillingData[[#This Row],[BillID]],MainData[Billable?],"Y",MainData[Category],"&lt;&gt;"&amp;$J$6,MainData[Category],"&lt;&gt;"&amp;$K$6,MainData[Category],"&lt;&gt;" &amp; "Info")</f>
        <v>1533.68</v>
      </c>
      <c r="J31" s="109">
        <f>SUMIFS(MainData[ExtendedPrice],MainData[BillID],BillingData[[#This Row],[BillID]],MainData[Billable?],"Y",MainData[Category],$J$6)</f>
        <v>0</v>
      </c>
      <c r="K31" s="109">
        <f>SUMIFS(MainData[ExtendedPrice],MainData[BillID],BillingData[[#This Row],[BillID]],MainData[Billable?],"Y",MainData[Category],$K$6)</f>
        <v>0</v>
      </c>
      <c r="L31" s="109">
        <f>SUM(BillingData[[#This Row],[Subtotal]:[Gratuity]])</f>
        <v>1533.68</v>
      </c>
    </row>
    <row r="32" spans="2:17" x14ac:dyDescent="0.25">
      <c r="B32" s="114">
        <v>25</v>
      </c>
      <c r="C32" s="156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53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56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33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09">
        <f>SUMIFS(MainData[ExtendedPrice],MainData[BillID],BillingData[[#This Row],[BillID]],MainData[Billable?],"Y",MainData[Category],"&lt;&gt;"&amp;$J$6,MainData[Category],"&lt;&gt;"&amp;$K$6,MainData[Category],"&lt;&gt;" &amp; "Info")</f>
        <v>702.91</v>
      </c>
      <c r="J32" s="109">
        <f>SUMIFS(MainData[ExtendedPrice],MainData[BillID],BillingData[[#This Row],[BillID]],MainData[Billable?],"Y",MainData[Category],$J$6)</f>
        <v>0</v>
      </c>
      <c r="K32" s="109">
        <f>SUMIFS(MainData[ExtendedPrice],MainData[BillID],BillingData[[#This Row],[BillID]],MainData[Billable?],"Y",MainData[Category],$K$6)</f>
        <v>0</v>
      </c>
      <c r="L32" s="109">
        <f>SUM(BillingData[[#This Row],[Subtotal]:[Gratuity]])</f>
        <v>702.91</v>
      </c>
    </row>
    <row r="33" spans="2:12" x14ac:dyDescent="0.25">
      <c r="B33" s="114">
        <v>26</v>
      </c>
      <c r="C33" s="156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53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56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33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09">
        <f>SUMIFS(MainData[ExtendedPrice],MainData[BillID],BillingData[[#This Row],[BillID]],MainData[Billable?],"Y",MainData[Category],"&lt;&gt;"&amp;$J$6,MainData[Category],"&lt;&gt;"&amp;$K$6,MainData[Category],"&lt;&gt;" &amp; "Info")</f>
        <v>556</v>
      </c>
      <c r="J33" s="109">
        <f>SUMIFS(MainData[ExtendedPrice],MainData[BillID],BillingData[[#This Row],[BillID]],MainData[Billable?],"Y",MainData[Category],$J$6)</f>
        <v>0</v>
      </c>
      <c r="K33" s="109">
        <f>SUMIFS(MainData[ExtendedPrice],MainData[BillID],BillingData[[#This Row],[BillID]],MainData[Billable?],"Y",MainData[Category],$K$6)</f>
        <v>0</v>
      </c>
      <c r="L33" s="109">
        <f>SUM(BillingData[[#This Row],[Subtotal]:[Gratuity]])</f>
        <v>556</v>
      </c>
    </row>
    <row r="34" spans="2:12" x14ac:dyDescent="0.25">
      <c r="B34" s="114">
        <v>28</v>
      </c>
      <c r="C34" s="156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53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56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33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09">
        <f>SUMIFS(MainData[ExtendedPrice],MainData[BillID],BillingData[[#This Row],[BillID]],MainData[Billable?],"Y",MainData[Category],"&lt;&gt;"&amp;$J$6,MainData[Category],"&lt;&gt;"&amp;$K$6,MainData[Category],"&lt;&gt;" &amp; "Info")</f>
        <v>37427.839999999997</v>
      </c>
      <c r="J34" s="109">
        <f>SUMIFS(MainData[ExtendedPrice],MainData[BillID],BillingData[[#This Row],[BillID]],MainData[Billable?],"Y",MainData[Category],$J$6)</f>
        <v>0</v>
      </c>
      <c r="K34" s="109">
        <f>SUMIFS(MainData[ExtendedPrice],MainData[BillID],BillingData[[#This Row],[BillID]],MainData[Billable?],"Y",MainData[Category],$K$6)</f>
        <v>0</v>
      </c>
      <c r="L34" s="109">
        <f>SUM(BillingData[[#This Row],[Subtotal]:[Gratuity]])</f>
        <v>37427.839999999997</v>
      </c>
    </row>
    <row r="35" spans="2:12" x14ac:dyDescent="0.25">
      <c r="B35" s="114">
        <v>29</v>
      </c>
      <c r="C35" s="156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53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56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33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09">
        <f>SUMIFS(MainData[ExtendedPrice],MainData[BillID],BillingData[[#This Row],[BillID]],MainData[Billable?],"Y",MainData[Category],"&lt;&gt;"&amp;$J$6,MainData[Category],"&lt;&gt;"&amp;$K$6,MainData[Category],"&lt;&gt;" &amp; "Info")</f>
        <v>1331.58</v>
      </c>
      <c r="J35" s="109">
        <f>SUMIFS(MainData[ExtendedPrice],MainData[BillID],BillingData[[#This Row],[BillID]],MainData[Billable?],"Y",MainData[Category],$J$6)</f>
        <v>0</v>
      </c>
      <c r="K35" s="109">
        <f>SUMIFS(MainData[ExtendedPrice],MainData[BillID],BillingData[[#This Row],[BillID]],MainData[Billable?],"Y",MainData[Category],$K$6)</f>
        <v>0</v>
      </c>
      <c r="L35" s="109">
        <f>SUM(BillingData[[#This Row],[Subtotal]:[Gratuity]])</f>
        <v>1331.58</v>
      </c>
    </row>
    <row r="36" spans="2:12" x14ac:dyDescent="0.25">
      <c r="B36" s="114">
        <v>27</v>
      </c>
      <c r="C36" s="156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53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56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33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09">
        <f>SUMIFS(MainData[ExtendedPrice],MainData[BillID],BillingData[[#This Row],[BillID]],MainData[Billable?],"Y",MainData[Category],$J$6)</f>
        <v>0</v>
      </c>
      <c r="K36" s="109">
        <f>SUMIFS(MainData[ExtendedPrice],MainData[BillID],BillingData[[#This Row],[BillID]],MainData[Billable?],"Y",MainData[Category],$K$6)</f>
        <v>0</v>
      </c>
      <c r="L36" s="109">
        <f>SUM(BillingData[[#This Row],[Subtotal]:[Gratuity]])</f>
        <v>41</v>
      </c>
    </row>
    <row r="37" spans="2:12" x14ac:dyDescent="0.25">
      <c r="B37" s="114">
        <v>30</v>
      </c>
      <c r="C37" s="156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53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56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33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09">
        <f>SUMIFS(MainData[ExtendedPrice],MainData[BillID],BillingData[[#This Row],[BillID]],MainData[Billable?],"Y",MainData[Category],"&lt;&gt;"&amp;$J$6,MainData[Category],"&lt;&gt;"&amp;$K$6,MainData[Category],"&lt;&gt;" &amp; "Info")</f>
        <v>548.98</v>
      </c>
      <c r="J37" s="109">
        <f>SUMIFS(MainData[ExtendedPrice],MainData[BillID],BillingData[[#This Row],[BillID]],MainData[Billable?],"Y",MainData[Category],$J$6)</f>
        <v>0</v>
      </c>
      <c r="K37" s="109">
        <f>SUMIFS(MainData[ExtendedPrice],MainData[BillID],BillingData[[#This Row],[BillID]],MainData[Billable?],"Y",MainData[Category],$K$6)</f>
        <v>0</v>
      </c>
      <c r="L37" s="109">
        <f>SUM(BillingData[[#This Row],[Subtotal]:[Gratuity]])</f>
        <v>548.98</v>
      </c>
    </row>
    <row r="38" spans="2:12" x14ac:dyDescent="0.25">
      <c r="B38" s="114">
        <v>33</v>
      </c>
      <c r="C38" s="156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53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56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33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09">
        <f>SUMIFS(MainData[ExtendedPrice],MainData[BillID],BillingData[[#This Row],[BillID]],MainData[Billable?],"Y",MainData[Category],"&lt;&gt;"&amp;$J$6,MainData[Category],"&lt;&gt;"&amp;$K$6,MainData[Category],"&lt;&gt;" &amp; "Info")</f>
        <v>1550</v>
      </c>
      <c r="J38" s="109">
        <f>SUMIFS(MainData[ExtendedPrice],MainData[BillID],BillingData[[#This Row],[BillID]],MainData[Billable?],"Y",MainData[Category],$J$6)</f>
        <v>0</v>
      </c>
      <c r="K38" s="109">
        <f>SUMIFS(MainData[ExtendedPrice],MainData[BillID],BillingData[[#This Row],[BillID]],MainData[Billable?],"Y",MainData[Category],$K$6)</f>
        <v>0</v>
      </c>
      <c r="L38" s="109">
        <f>SUM(BillingData[[#This Row],[Subtotal]:[Gratuity]])</f>
        <v>1550</v>
      </c>
    </row>
    <row r="39" spans="2:12" x14ac:dyDescent="0.25">
      <c r="B39" s="114">
        <v>35</v>
      </c>
      <c r="C39" s="156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53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56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33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09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09">
        <f>SUMIFS(MainData[ExtendedPrice],MainData[BillID],BillingData[[#This Row],[BillID]],MainData[Billable?],"Y",MainData[Category],$J$6)</f>
        <v>0</v>
      </c>
      <c r="K39" s="109">
        <f>SUMIFS(MainData[ExtendedPrice],MainData[BillID],BillingData[[#This Row],[BillID]],MainData[Billable?],"Y",MainData[Category],$K$6)</f>
        <v>0</v>
      </c>
      <c r="L39" s="109">
        <f>SUM(BillingData[[#This Row],[Subtotal]:[Gratuity]])</f>
        <v>665.75</v>
      </c>
    </row>
    <row r="40" spans="2:12" x14ac:dyDescent="0.25">
      <c r="B40" s="114">
        <v>34</v>
      </c>
      <c r="C40" s="156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53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56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33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09">
        <f>SUMIFS(MainData[ExtendedPrice],MainData[BillID],BillingData[[#This Row],[BillID]],MainData[Billable?],"Y",MainData[Category],"&lt;&gt;"&amp;$J$6,MainData[Category],"&lt;&gt;"&amp;$K$6,MainData[Category],"&lt;&gt;" &amp; "Info")</f>
        <v>2400</v>
      </c>
      <c r="J40" s="109">
        <f>SUMIFS(MainData[ExtendedPrice],MainData[BillID],BillingData[[#This Row],[BillID]],MainData[Billable?],"Y",MainData[Category],$J$6)</f>
        <v>0</v>
      </c>
      <c r="K40" s="109">
        <f>SUMIFS(MainData[ExtendedPrice],MainData[BillID],BillingData[[#This Row],[BillID]],MainData[Billable?],"Y",MainData[Category],$K$6)</f>
        <v>0</v>
      </c>
      <c r="L40" s="109">
        <f>SUM(BillingData[[#This Row],[Subtotal]:[Gratuity]])</f>
        <v>2400</v>
      </c>
    </row>
    <row r="41" spans="2:12" x14ac:dyDescent="0.25">
      <c r="B41" s="114">
        <v>32</v>
      </c>
      <c r="C41" s="156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53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56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33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09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09">
        <f>SUMIFS(MainData[ExtendedPrice],MainData[BillID],BillingData[[#This Row],[BillID]],MainData[Billable?],"Y",MainData[Category],$J$6)</f>
        <v>0</v>
      </c>
      <c r="K41" s="109">
        <f>SUMIFS(MainData[ExtendedPrice],MainData[BillID],BillingData[[#This Row],[BillID]],MainData[Billable?],"Y",MainData[Category],$K$6)</f>
        <v>0</v>
      </c>
      <c r="L41" s="109">
        <f>SUM(BillingData[[#This Row],[Subtotal]:[Gratuity]])</f>
        <v>254.92</v>
      </c>
    </row>
    <row r="42" spans="2:12" x14ac:dyDescent="0.25">
      <c r="B42" s="114">
        <v>31</v>
      </c>
      <c r="C42" s="156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53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56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33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09">
        <f>SUMIFS(MainData[ExtendedPrice],MainData[BillID],BillingData[[#This Row],[BillID]],MainData[Billable?],"Y",MainData[Category],"&lt;&gt;"&amp;$J$6,MainData[Category],"&lt;&gt;"&amp;$K$6,MainData[Category],"&lt;&gt;" &amp; "Info")</f>
        <v>4370</v>
      </c>
      <c r="J42" s="109">
        <f>SUMIFS(MainData[ExtendedPrice],MainData[BillID],BillingData[[#This Row],[BillID]],MainData[Billable?],"Y",MainData[Category],$J$6)</f>
        <v>0</v>
      </c>
      <c r="K42" s="109">
        <f>SUMIFS(MainData[ExtendedPrice],MainData[BillID],BillingData[[#This Row],[BillID]],MainData[Billable?],"Y",MainData[Category],$K$6)</f>
        <v>0</v>
      </c>
      <c r="L42" s="109">
        <f>SUM(BillingData[[#This Row],[Subtotal]:[Gratuity]])</f>
        <v>4370</v>
      </c>
    </row>
    <row r="43" spans="2:12" x14ac:dyDescent="0.25">
      <c r="B43" s="114">
        <v>36</v>
      </c>
      <c r="C43" s="156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53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56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33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3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09">
        <f>SUMIFS(MainData[ExtendedPrice],MainData[BillID],BillingData[[#This Row],[BillID]],MainData[Billable?],"Y",MainData[Category],$J$6)</f>
        <v>0</v>
      </c>
      <c r="K43" s="109">
        <f>SUMIFS(MainData[ExtendedPrice],MainData[BillID],BillingData[[#This Row],[BillID]],MainData[Billable?],"Y",MainData[Category],$K$6)</f>
        <v>0</v>
      </c>
      <c r="L43" s="109">
        <f>SUM(BillingData[[#This Row],[Subtotal]:[Gratuity]])</f>
        <v>50</v>
      </c>
    </row>
    <row r="44" spans="2:12" x14ac:dyDescent="0.25">
      <c r="B44" s="114">
        <v>39</v>
      </c>
      <c r="C44" s="156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53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56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33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09">
        <f>SUMIFS(MainData[ExtendedPrice],MainData[BillID],BillingData[[#This Row],[BillID]],MainData[Billable?],"Y",MainData[Category],"&lt;&gt;"&amp;$J$6,MainData[Category],"&lt;&gt;"&amp;$K$6,MainData[Category],"&lt;&gt;" &amp; "Info")</f>
        <v>1012.5</v>
      </c>
      <c r="J44" s="109">
        <f>SUMIFS(MainData[ExtendedPrice],MainData[BillID],BillingData[[#This Row],[BillID]],MainData[Billable?],"Y",MainData[Category],$J$6)</f>
        <v>0</v>
      </c>
      <c r="K44" s="109">
        <f>SUMIFS(MainData[ExtendedPrice],MainData[BillID],BillingData[[#This Row],[BillID]],MainData[Billable?],"Y",MainData[Category],$K$6)</f>
        <v>0</v>
      </c>
      <c r="L44" s="109">
        <f>SUM(BillingData[[#This Row],[Subtotal]:[Gratuity]])</f>
        <v>1012.5</v>
      </c>
    </row>
    <row r="45" spans="2:12" x14ac:dyDescent="0.25">
      <c r="B45" s="114">
        <v>38</v>
      </c>
      <c r="C45" s="156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53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56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33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5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09">
        <f>SUMIFS(MainData[ExtendedPrice],MainData[BillID],BillingData[[#This Row],[BillID]],MainData[Billable?],"Y",MainData[Category],$J$6)</f>
        <v>0</v>
      </c>
      <c r="K45" s="109">
        <f>SUMIFS(MainData[ExtendedPrice],MainData[BillID],BillingData[[#This Row],[BillID]],MainData[Billable?],"Y",MainData[Category],$K$6)</f>
        <v>0</v>
      </c>
      <c r="L45" s="109">
        <f>SUM(BillingData[[#This Row],[Subtotal]:[Gratuity]])</f>
        <v>50</v>
      </c>
    </row>
    <row r="46" spans="2:12" x14ac:dyDescent="0.25">
      <c r="B46" s="114">
        <v>37</v>
      </c>
      <c r="C46" s="156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53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56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33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09">
        <f>SUMIFS(MainData[ExtendedPrice],MainData[BillID],BillingData[[#This Row],[BillID]],MainData[Billable?],"Y",MainData[Category],"&lt;&gt;"&amp;$J$6,MainData[Category],"&lt;&gt;"&amp;$K$6,MainData[Category],"&lt;&gt;" &amp; "Info")</f>
        <v>1163.5</v>
      </c>
      <c r="J46" s="109">
        <f>SUMIFS(MainData[ExtendedPrice],MainData[BillID],BillingData[[#This Row],[BillID]],MainData[Billable?],"Y",MainData[Category],$J$6)</f>
        <v>0</v>
      </c>
      <c r="K46" s="109">
        <f>SUMIFS(MainData[ExtendedPrice],MainData[BillID],BillingData[[#This Row],[BillID]],MainData[Billable?],"Y",MainData[Category],$K$6)</f>
        <v>0</v>
      </c>
      <c r="L46" s="109">
        <f>SUM(BillingData[[#This Row],[Subtotal]:[Gratuity]])</f>
        <v>1163.5</v>
      </c>
    </row>
    <row r="47" spans="2:12" x14ac:dyDescent="0.25">
      <c r="B47" s="114">
        <v>41</v>
      </c>
      <c r="C47" s="156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53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56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33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7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09">
        <f>SUMIFS(MainData[ExtendedPrice],MainData[BillID],BillingData[[#This Row],[BillID]],MainData[Billable?],"Y",MainData[Category],$J$6)</f>
        <v>0</v>
      </c>
      <c r="K47" s="109">
        <f>SUMIFS(MainData[ExtendedPrice],MainData[BillID],BillingData[[#This Row],[BillID]],MainData[Billable?],"Y",MainData[Category],$K$6)</f>
        <v>0</v>
      </c>
      <c r="L47" s="109">
        <f>SUM(BillingData[[#This Row],[Subtotal]:[Gratuity]])</f>
        <v>50</v>
      </c>
    </row>
    <row r="48" spans="2:12" x14ac:dyDescent="0.25">
      <c r="B48" s="114">
        <v>40</v>
      </c>
      <c r="C48" s="156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53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56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33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09">
        <f>SUMIFS(MainData[ExtendedPrice],MainData[BillID],BillingData[[#This Row],[BillID]],MainData[Billable?],"Y",MainData[Category],"&lt;&gt;"&amp;$J$6,MainData[Category],"&lt;&gt;"&amp;$K$6,MainData[Category],"&lt;&gt;" &amp; "Info")</f>
        <v>1295.5</v>
      </c>
      <c r="J48" s="109">
        <f>SUMIFS(MainData[ExtendedPrice],MainData[BillID],BillingData[[#This Row],[BillID]],MainData[Billable?],"Y",MainData[Category],$J$6)</f>
        <v>0</v>
      </c>
      <c r="K48" s="109">
        <f>SUMIFS(MainData[ExtendedPrice],MainData[BillID],BillingData[[#This Row],[BillID]],MainData[Billable?],"Y",MainData[Category],$K$6)</f>
        <v>0</v>
      </c>
      <c r="L48" s="109">
        <f>SUM(BillingData[[#This Row],[Subtotal]:[Gratuity]])</f>
        <v>1295.5</v>
      </c>
    </row>
    <row r="49" spans="2:12" x14ac:dyDescent="0.25">
      <c r="B49" s="114">
        <v>42</v>
      </c>
      <c r="C49" s="156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53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56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33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09">
        <f>SUMIFS(MainData[ExtendedPrice],MainData[BillID],BillingData[[#This Row],[BillID]],MainData[Billable?],"Y",MainData[Category],"&lt;&gt;"&amp;$J$6,MainData[Category],"&lt;&gt;"&amp;$K$6,MainData[Category],"&lt;&gt;" &amp; "Info")</f>
        <v>8693</v>
      </c>
      <c r="J49" s="109">
        <f>SUMIFS(MainData[ExtendedPrice],MainData[BillID],BillingData[[#This Row],[BillID]],MainData[Billable?],"Y",MainData[Category],$J$6)</f>
        <v>0</v>
      </c>
      <c r="K49" s="109">
        <f>SUMIFS(MainData[ExtendedPrice],MainData[BillID],BillingData[[#This Row],[BillID]],MainData[Billable?],"Y",MainData[Category],$K$6)</f>
        <v>0</v>
      </c>
      <c r="L49" s="109">
        <f>SUM(BillingData[[#This Row],[Subtotal]:[Gratuity]])</f>
        <v>8693</v>
      </c>
    </row>
    <row r="50" spans="2:12" x14ac:dyDescent="0.25">
      <c r="B50" s="114">
        <v>43</v>
      </c>
      <c r="C50" s="156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53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56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33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09">
        <f>SUMIFS(MainData[ExtendedPrice],MainData[BillID],BillingData[[#This Row],[BillID]],MainData[Billable?],"Y",MainData[Category],"&lt;&gt;"&amp;$J$6,MainData[Category],"&lt;&gt;"&amp;$K$6,MainData[Category],"&lt;&gt;" &amp; "Info")</f>
        <v>5482.5</v>
      </c>
      <c r="J50" s="109">
        <f>SUMIFS(MainData[ExtendedPrice],MainData[BillID],BillingData[[#This Row],[BillID]],MainData[Billable?],"Y",MainData[Category],$J$6)</f>
        <v>0</v>
      </c>
      <c r="K50" s="109">
        <f>SUMIFS(MainData[ExtendedPrice],MainData[BillID],BillingData[[#This Row],[BillID]],MainData[Billable?],"Y",MainData[Category],$K$6)</f>
        <v>0</v>
      </c>
      <c r="L50" s="109">
        <f>SUM(BillingData[[#This Row],[Subtotal]:[Gratuity]])</f>
        <v>5482.5</v>
      </c>
    </row>
    <row r="51" spans="2:12" x14ac:dyDescent="0.25">
      <c r="B51" s="114">
        <v>44</v>
      </c>
      <c r="C51" s="156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53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56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33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09">
        <f>SUMIFS(MainData[ExtendedPrice],MainData[BillID],BillingData[[#This Row],[BillID]],MainData[Billable?],"Y",MainData[Category],"&lt;&gt;"&amp;$J$6,MainData[Category],"&lt;&gt;"&amp;$K$6,MainData[Category],"&lt;&gt;" &amp; "Info")</f>
        <v>526.5</v>
      </c>
      <c r="J51" s="109">
        <f>SUMIFS(MainData[ExtendedPrice],MainData[BillID],BillingData[[#This Row],[BillID]],MainData[Billable?],"Y",MainData[Category],$J$6)</f>
        <v>0</v>
      </c>
      <c r="K51" s="109">
        <f>SUMIFS(MainData[ExtendedPrice],MainData[BillID],BillingData[[#This Row],[BillID]],MainData[Billable?],"Y",MainData[Category],$K$6)</f>
        <v>0</v>
      </c>
      <c r="L51" s="109">
        <f>SUM(BillingData[[#This Row],[Subtotal]:[Gratuity]])</f>
        <v>526.5</v>
      </c>
    </row>
    <row r="52" spans="2:12" x14ac:dyDescent="0.25">
      <c r="B52" s="114">
        <v>46</v>
      </c>
      <c r="C52" s="156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53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56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33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2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09">
        <f>SUMIFS(MainData[ExtendedPrice],MainData[BillID],BillingData[[#This Row],[BillID]],MainData[Billable?],"Y",MainData[Category],$J$6)</f>
        <v>0</v>
      </c>
      <c r="K52" s="109">
        <f>SUMIFS(MainData[ExtendedPrice],MainData[BillID],BillingData[[#This Row],[BillID]],MainData[Billable?],"Y",MainData[Category],$K$6)</f>
        <v>0</v>
      </c>
      <c r="L52" s="109">
        <f>SUM(BillingData[[#This Row],[Subtotal]:[Gratuity]])</f>
        <v>50</v>
      </c>
    </row>
    <row r="53" spans="2:12" x14ac:dyDescent="0.25">
      <c r="B53" s="114">
        <v>45</v>
      </c>
      <c r="C53" s="156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53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56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33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09">
        <f>SUMIFS(MainData[ExtendedPrice],MainData[BillID],BillingData[[#This Row],[BillID]],MainData[Billable?],"Y",MainData[Category],"&lt;&gt;"&amp;$J$6,MainData[Category],"&lt;&gt;"&amp;$K$6,MainData[Category],"&lt;&gt;" &amp; "Info")</f>
        <v>3265.5</v>
      </c>
      <c r="J53" s="109">
        <f>SUMIFS(MainData[ExtendedPrice],MainData[BillID],BillingData[[#This Row],[BillID]],MainData[Billable?],"Y",MainData[Category],$J$6)</f>
        <v>0</v>
      </c>
      <c r="K53" s="109">
        <f>SUMIFS(MainData[ExtendedPrice],MainData[BillID],BillingData[[#This Row],[BillID]],MainData[Billable?],"Y",MainData[Category],$K$6)</f>
        <v>0</v>
      </c>
      <c r="L53" s="109">
        <f>SUM(BillingData[[#This Row],[Subtotal]:[Gratuity]])</f>
        <v>3265.5</v>
      </c>
    </row>
    <row r="54" spans="2:12" x14ac:dyDescent="0.25">
      <c r="B54" s="114">
        <v>48</v>
      </c>
      <c r="C54" s="156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53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56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33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09">
        <f>SUMIFS(MainData[ExtendedPrice],MainData[BillID],BillingData[[#This Row],[BillID]],MainData[Billable?],"Y",MainData[Category],"&lt;&gt;"&amp;$J$6,MainData[Category],"&lt;&gt;"&amp;$K$6,MainData[Category],"&lt;&gt;" &amp; "Info")</f>
        <v>1118.5</v>
      </c>
      <c r="J54" s="109">
        <f>SUMIFS(MainData[ExtendedPrice],MainData[BillID],BillingData[[#This Row],[BillID]],MainData[Billable?],"Y",MainData[Category],$J$6)</f>
        <v>0</v>
      </c>
      <c r="K54" s="109">
        <f>SUMIFS(MainData[ExtendedPrice],MainData[BillID],BillingData[[#This Row],[BillID]],MainData[Billable?],"Y",MainData[Category],$K$6)</f>
        <v>0</v>
      </c>
      <c r="L54" s="109">
        <f>SUM(BillingData[[#This Row],[Subtotal]:[Gratuity]])</f>
        <v>1118.5</v>
      </c>
    </row>
    <row r="55" spans="2:12" x14ac:dyDescent="0.25">
      <c r="B55" s="114">
        <v>47</v>
      </c>
      <c r="C55" s="156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53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56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33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5" s="109">
        <f>SUMIFS(MainData[ExtendedPrice],MainData[BillID],BillingData[[#This Row],[BillID]],MainData[Billable?],"Y",MainData[Category],"&lt;&gt;"&amp;$J$6,MainData[Category],"&lt;&gt;"&amp;$K$6,MainData[Category],"&lt;&gt;" &amp; "Info")</f>
        <v>31465</v>
      </c>
      <c r="J55" s="109">
        <f>SUMIFS(MainData[ExtendedPrice],MainData[BillID],BillingData[[#This Row],[BillID]],MainData[Billable?],"Y",MainData[Category],$J$6)</f>
        <v>0</v>
      </c>
      <c r="K55" s="109">
        <f>SUMIFS(MainData[ExtendedPrice],MainData[BillID],BillingData[[#This Row],[BillID]],MainData[Billable?],"Y",MainData[Category],$K$6)</f>
        <v>0</v>
      </c>
      <c r="L55" s="109">
        <f>SUM(BillingData[[#This Row],[Subtotal]:[Gratuity]])</f>
        <v>31465</v>
      </c>
    </row>
    <row r="56" spans="2:12" x14ac:dyDescent="0.25">
      <c r="B56" s="114">
        <v>49</v>
      </c>
      <c r="C56" s="156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53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56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33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6" s="109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09">
        <f>SUMIFS(MainData[ExtendedPrice],MainData[BillID],BillingData[[#This Row],[BillID]],MainData[Billable?],"Y",MainData[Category],$J$6)</f>
        <v>0</v>
      </c>
      <c r="K56" s="109">
        <f>SUMIFS(MainData[ExtendedPrice],MainData[BillID],BillingData[[#This Row],[BillID]],MainData[Billable?],"Y",MainData[Category],$K$6)</f>
        <v>0</v>
      </c>
      <c r="L56" s="109">
        <f>SUM(BillingData[[#This Row],[Subtotal]:[Gratuity]])</f>
        <v>1845.75</v>
      </c>
    </row>
    <row r="57" spans="2:12" x14ac:dyDescent="0.25">
      <c r="B57" s="114">
        <v>51</v>
      </c>
      <c r="C57" s="156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53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56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33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09">
        <f>SUMIFS(MainData[ExtendedPrice],MainData[BillID],BillingData[[#This Row],[BillID]],MainData[Billable?],"Y",MainData[Category],$J$6)</f>
        <v>0</v>
      </c>
      <c r="K57" s="109">
        <f>SUMIFS(MainData[ExtendedPrice],MainData[BillID],BillingData[[#This Row],[BillID]],MainData[Billable?],"Y",MainData[Category],$K$6)</f>
        <v>0</v>
      </c>
      <c r="L57" s="109">
        <f>SUM(BillingData[[#This Row],[Subtotal]:[Gratuity]])</f>
        <v>41</v>
      </c>
    </row>
    <row r="58" spans="2:12" x14ac:dyDescent="0.25">
      <c r="B58" s="114">
        <v>50</v>
      </c>
      <c r="C58" s="156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53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56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33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09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09">
        <f>SUMIFS(MainData[ExtendedPrice],MainData[BillID],BillingData[[#This Row],[BillID]],MainData[Billable?],"Y",MainData[Category],$J$6)</f>
        <v>0</v>
      </c>
      <c r="K58" s="109">
        <f>SUMIFS(MainData[ExtendedPrice],MainData[BillID],BillingData[[#This Row],[BillID]],MainData[Billable?],"Y",MainData[Category],$K$6)</f>
        <v>0</v>
      </c>
      <c r="L58" s="109">
        <f>SUM(BillingData[[#This Row],[Subtotal]:[Gratuity]])</f>
        <v>2165</v>
      </c>
    </row>
    <row r="59" spans="2:12" x14ac:dyDescent="0.25">
      <c r="B59" s="114">
        <v>55</v>
      </c>
      <c r="C59" s="156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53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56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33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09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09">
        <f>SUMIFS(MainData[ExtendedPrice],MainData[BillID],BillingData[[#This Row],[BillID]],MainData[Billable?],"Y",MainData[Category],$J$6)</f>
        <v>0</v>
      </c>
      <c r="K59" s="109">
        <f>SUMIFS(MainData[ExtendedPrice],MainData[BillID],BillingData[[#This Row],[BillID]],MainData[Billable?],"Y",MainData[Category],$K$6)</f>
        <v>0</v>
      </c>
      <c r="L59" s="109">
        <f>SUM(BillingData[[#This Row],[Subtotal]:[Gratuity]])</f>
        <v>367.31</v>
      </c>
    </row>
    <row r="60" spans="2:12" x14ac:dyDescent="0.25">
      <c r="B60" s="114">
        <v>54</v>
      </c>
      <c r="C60" s="156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53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56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33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09">
        <f>SUMIFS(MainData[ExtendedPrice],MainData[BillID],BillingData[[#This Row],[BillID]],MainData[Billable?],"Y",MainData[Category],"&lt;&gt;"&amp;$J$6,MainData[Category],"&lt;&gt;"&amp;$K$6,MainData[Category],"&lt;&gt;" &amp; "Info")</f>
        <v>2517.5</v>
      </c>
      <c r="J60" s="109">
        <f>SUMIFS(MainData[ExtendedPrice],MainData[BillID],BillingData[[#This Row],[BillID]],MainData[Billable?],"Y",MainData[Category],$J$6)</f>
        <v>0</v>
      </c>
      <c r="K60" s="109">
        <f>SUMIFS(MainData[ExtendedPrice],MainData[BillID],BillingData[[#This Row],[BillID]],MainData[Billable?],"Y",MainData[Category],$K$6)</f>
        <v>0</v>
      </c>
      <c r="L60" s="109">
        <f>SUM(BillingData[[#This Row],[Subtotal]:[Gratuity]])</f>
        <v>2517.5</v>
      </c>
    </row>
    <row r="61" spans="2:12" x14ac:dyDescent="0.25">
      <c r="B61" s="114">
        <v>53</v>
      </c>
      <c r="C61" s="156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53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56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33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09">
        <f>SUMIFS(MainData[ExtendedPrice],MainData[BillID],BillingData[[#This Row],[BillID]],MainData[Billable?],"Y",MainData[Category],"&lt;&gt;"&amp;$J$6,MainData[Category],"&lt;&gt;"&amp;$K$6,MainData[Category],"&lt;&gt;" &amp; "Info")</f>
        <v>626</v>
      </c>
      <c r="J61" s="109">
        <f>SUMIFS(MainData[ExtendedPrice],MainData[BillID],BillingData[[#This Row],[BillID]],MainData[Billable?],"Y",MainData[Category],$J$6)</f>
        <v>0</v>
      </c>
      <c r="K61" s="109">
        <f>SUMIFS(MainData[ExtendedPrice],MainData[BillID],BillingData[[#This Row],[BillID]],MainData[Billable?],"Y",MainData[Category],$K$6)</f>
        <v>0</v>
      </c>
      <c r="L61" s="109">
        <f>SUM(BillingData[[#This Row],[Subtotal]:[Gratuity]])</f>
        <v>626</v>
      </c>
    </row>
    <row r="62" spans="2:12" x14ac:dyDescent="0.25">
      <c r="B62" s="114">
        <v>52</v>
      </c>
      <c r="C62" s="156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53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56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33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09">
        <f>SUMIFS(MainData[ExtendedPrice],MainData[BillID],BillingData[[#This Row],[BillID]],MainData[Billable?],"Y",MainData[Category],"&lt;&gt;"&amp;$J$6,MainData[Category],"&lt;&gt;"&amp;$K$6,MainData[Category],"&lt;&gt;" &amp; "Info")</f>
        <v>1068</v>
      </c>
      <c r="J62" s="109">
        <f>SUMIFS(MainData[ExtendedPrice],MainData[BillID],BillingData[[#This Row],[BillID]],MainData[Billable?],"Y",MainData[Category],$J$6)</f>
        <v>0</v>
      </c>
      <c r="K62" s="109">
        <f>SUMIFS(MainData[ExtendedPrice],MainData[BillID],BillingData[[#This Row],[BillID]],MainData[Billable?],"Y",MainData[Category],$K$6)</f>
        <v>0</v>
      </c>
      <c r="L62" s="109">
        <f>SUM(BillingData[[#This Row],[Subtotal]:[Gratuity]])</f>
        <v>1068</v>
      </c>
    </row>
    <row r="63" spans="2:12" x14ac:dyDescent="0.25">
      <c r="B63" s="114">
        <v>57</v>
      </c>
      <c r="C63" s="156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53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56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33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09">
        <f>SUMIFS(MainData[ExtendedPrice],MainData[BillID],BillingData[[#This Row],[BillID]],MainData[Billable?],"Y",MainData[Category],"&lt;&gt;"&amp;$J$6,MainData[Category],"&lt;&gt;"&amp;$K$6,MainData[Category],"&lt;&gt;" &amp; "Info")</f>
        <v>14127</v>
      </c>
      <c r="J63" s="109">
        <f>SUMIFS(MainData[ExtendedPrice],MainData[BillID],BillingData[[#This Row],[BillID]],MainData[Billable?],"Y",MainData[Category],$J$6)</f>
        <v>0</v>
      </c>
      <c r="K63" s="109">
        <f>SUMIFS(MainData[ExtendedPrice],MainData[BillID],BillingData[[#This Row],[BillID]],MainData[Billable?],"Y",MainData[Category],$K$6)</f>
        <v>0</v>
      </c>
      <c r="L63" s="109">
        <f>SUM(BillingData[[#This Row],[Subtotal]:[Gratuity]])</f>
        <v>14127</v>
      </c>
    </row>
    <row r="64" spans="2:12" x14ac:dyDescent="0.25">
      <c r="B64" s="114">
        <v>59</v>
      </c>
      <c r="C64" s="156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53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56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33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09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09">
        <f>SUMIFS(MainData[ExtendedPrice],MainData[BillID],BillingData[[#This Row],[BillID]],MainData[Billable?],"Y",MainData[Category],$J$6)</f>
        <v>0</v>
      </c>
      <c r="K64" s="109">
        <f>SUMIFS(MainData[ExtendedPrice],MainData[BillID],BillingData[[#This Row],[BillID]],MainData[Billable?],"Y",MainData[Category],$K$6)</f>
        <v>0</v>
      </c>
      <c r="L64" s="109">
        <f>SUM(BillingData[[#This Row],[Subtotal]:[Gratuity]])</f>
        <v>638.38</v>
      </c>
    </row>
    <row r="65" spans="2:12" x14ac:dyDescent="0.25">
      <c r="B65" s="114">
        <v>58</v>
      </c>
      <c r="C65" s="156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53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56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33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09">
        <f>SUMIFS(MainData[ExtendedPrice],MainData[BillID],BillingData[[#This Row],[BillID]],MainData[Billable?],"Y",MainData[Category],"&lt;&gt;"&amp;$J$6,MainData[Category],"&lt;&gt;"&amp;$K$6,MainData[Category],"&lt;&gt;" &amp; "Info")</f>
        <v>2830</v>
      </c>
      <c r="J65" s="109">
        <f>SUMIFS(MainData[ExtendedPrice],MainData[BillID],BillingData[[#This Row],[BillID]],MainData[Billable?],"Y",MainData[Category],$J$6)</f>
        <v>0</v>
      </c>
      <c r="K65" s="109">
        <f>SUMIFS(MainData[ExtendedPrice],MainData[BillID],BillingData[[#This Row],[BillID]],MainData[Billable?],"Y",MainData[Category],$K$6)</f>
        <v>0</v>
      </c>
      <c r="L65" s="109">
        <f>SUM(BillingData[[#This Row],[Subtotal]:[Gratuity]])</f>
        <v>2830</v>
      </c>
    </row>
    <row r="66" spans="2:12" x14ac:dyDescent="0.25">
      <c r="B66" s="114">
        <v>56</v>
      </c>
      <c r="C66" s="156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53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56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33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09">
        <f>SUMIFS(MainData[ExtendedPrice],MainData[BillID],BillingData[[#This Row],[BillID]],MainData[Billable?],"Y",MainData[Category],"&lt;&gt;"&amp;$J$6,MainData[Category],"&lt;&gt;"&amp;$K$6,MainData[Category],"&lt;&gt;" &amp; "Info")</f>
        <v>3680</v>
      </c>
      <c r="J66" s="109">
        <f>SUMIFS(MainData[ExtendedPrice],MainData[BillID],BillingData[[#This Row],[BillID]],MainData[Billable?],"Y",MainData[Category],$J$6)</f>
        <v>0</v>
      </c>
      <c r="K66" s="109">
        <f>SUMIFS(MainData[ExtendedPrice],MainData[BillID],BillingData[[#This Row],[BillID]],MainData[Billable?],"Y",MainData[Category],$K$6)</f>
        <v>0</v>
      </c>
      <c r="L66" s="109">
        <f>SUM(BillingData[[#This Row],[Subtotal]:[Gratuity]])</f>
        <v>3680</v>
      </c>
    </row>
    <row r="67" spans="2:12" x14ac:dyDescent="0.25">
      <c r="B67" s="114">
        <v>60</v>
      </c>
      <c r="C67" s="156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53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56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33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09">
        <f>SUMIFS(MainData[ExtendedPrice],MainData[BillID],BillingData[[#This Row],[BillID]],MainData[Billable?],"Y",MainData[Category],"&lt;&gt;"&amp;$J$6,MainData[Category],"&lt;&gt;"&amp;$K$6,MainData[Category],"&lt;&gt;" &amp; "Info")</f>
        <v>17349.3</v>
      </c>
      <c r="J67" s="109">
        <f>SUMIFS(MainData[ExtendedPrice],MainData[BillID],BillingData[[#This Row],[BillID]],MainData[Billable?],"Y",MainData[Category],$J$6)</f>
        <v>0</v>
      </c>
      <c r="K67" s="109">
        <f>SUMIFS(MainData[ExtendedPrice],MainData[BillID],BillingData[[#This Row],[BillID]],MainData[Billable?],"Y",MainData[Category],$K$6)</f>
        <v>0</v>
      </c>
      <c r="L67" s="109">
        <f>SUM(BillingData[[#This Row],[Subtotal]:[Gratuity]])</f>
        <v>17349.3</v>
      </c>
    </row>
    <row r="68" spans="2:12" x14ac:dyDescent="0.25">
      <c r="B68" s="114">
        <v>61</v>
      </c>
      <c r="C68" s="156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53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56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33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I68" s="109">
        <f>SUMIFS(MainData[ExtendedPrice],MainData[BillID],BillingData[[#This Row],[BillID]],MainData[Billable?],"Y",MainData[Category],"&lt;&gt;"&amp;$J$6,MainData[Category],"&lt;&gt;"&amp;$K$6,MainData[Category],"&lt;&gt;" &amp; "Info")</f>
        <v>1363</v>
      </c>
      <c r="J68" s="109">
        <f>SUMIFS(MainData[ExtendedPrice],MainData[BillID],BillingData[[#This Row],[BillID]],MainData[Billable?],"Y",MainData[Category],$J$6)</f>
        <v>0</v>
      </c>
      <c r="K68" s="109">
        <f>SUMIFS(MainData[ExtendedPrice],MainData[BillID],BillingData[[#This Row],[BillID]],MainData[Billable?],"Y",MainData[Category],$K$6)</f>
        <v>0</v>
      </c>
      <c r="L68" s="109">
        <f>SUM(BillingData[[#This Row],[Subtotal]:[Gratuity]])</f>
        <v>1363</v>
      </c>
    </row>
    <row r="69" spans="2:12" x14ac:dyDescent="0.25">
      <c r="B69" s="114">
        <v>117</v>
      </c>
      <c r="C69" s="156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53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56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33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09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09">
        <f>SUMIFS(MainData[ExtendedPrice],MainData[BillID],BillingData[[#This Row],[BillID]],MainData[Billable?],"Y",MainData[Category],$J$6)</f>
        <v>0</v>
      </c>
      <c r="K69" s="109">
        <f>SUMIFS(MainData[ExtendedPrice],MainData[BillID],BillingData[[#This Row],[BillID]],MainData[Billable?],"Y",MainData[Category],$K$6)</f>
        <v>0</v>
      </c>
      <c r="L69" s="109">
        <f>SUM(BillingData[[#This Row],[Subtotal]:[Gratuity]])</f>
        <v>512.77</v>
      </c>
    </row>
    <row r="70" spans="2:12" x14ac:dyDescent="0.25">
      <c r="B70" s="114">
        <v>62</v>
      </c>
      <c r="C70" s="156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53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56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33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09">
        <f>SUMIFS(MainData[ExtendedPrice],MainData[BillID],BillingData[[#This Row],[BillID]],MainData[Billable?],"Y",MainData[Category],"&lt;&gt;"&amp;$J$6,MainData[Category],"&lt;&gt;"&amp;$K$6,MainData[Category],"&lt;&gt;" &amp; "Info")</f>
        <v>20</v>
      </c>
      <c r="J70" s="109">
        <f>SUMIFS(MainData[ExtendedPrice],MainData[BillID],BillingData[[#This Row],[BillID]],MainData[Billable?],"Y",MainData[Category],$J$6)</f>
        <v>0</v>
      </c>
      <c r="K70" s="109">
        <f>SUMIFS(MainData[ExtendedPrice],MainData[BillID],BillingData[[#This Row],[BillID]],MainData[Billable?],"Y",MainData[Category],$K$6)</f>
        <v>0</v>
      </c>
      <c r="L70" s="109">
        <f>SUM(BillingData[[#This Row],[Subtotal]:[Gratuity]])</f>
        <v>20</v>
      </c>
    </row>
    <row r="71" spans="2:12" x14ac:dyDescent="0.25">
      <c r="B71" s="114">
        <v>119</v>
      </c>
      <c r="C71" s="156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53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56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33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09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09">
        <f>SUMIFS(MainData[ExtendedPrice],MainData[BillID],BillingData[[#This Row],[BillID]],MainData[Billable?],"Y",MainData[Category],$J$6)</f>
        <v>0</v>
      </c>
      <c r="K71" s="109">
        <f>SUMIFS(MainData[ExtendedPrice],MainData[BillID],BillingData[[#This Row],[BillID]],MainData[Billable?],"Y",MainData[Category],$K$6)</f>
        <v>0</v>
      </c>
      <c r="L71" s="109">
        <f>SUM(BillingData[[#This Row],[Subtotal]:[Gratuity]])</f>
        <v>175.58</v>
      </c>
    </row>
    <row r="72" spans="2:12" x14ac:dyDescent="0.25">
      <c r="B72" s="114">
        <v>66</v>
      </c>
      <c r="C72" s="156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53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56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33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72" s="109">
        <f>SUMIFS(MainData[ExtendedPrice],MainData[BillID],BillingData[[#This Row],[BillID]],MainData[Billable?],"Y",MainData[Category],$J$6)</f>
        <v>0</v>
      </c>
      <c r="K72" s="109">
        <f>SUMIFS(MainData[ExtendedPrice],MainData[BillID],BillingData[[#This Row],[BillID]],MainData[Billable?],"Y",MainData[Category],$K$6)</f>
        <v>0</v>
      </c>
      <c r="L72" s="109">
        <f>SUM(BillingData[[#This Row],[Subtotal]:[Gratuity]])</f>
        <v>200</v>
      </c>
    </row>
    <row r="73" spans="2:12" x14ac:dyDescent="0.25">
      <c r="B73" s="114">
        <v>63</v>
      </c>
      <c r="C73" s="156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53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56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33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09">
        <f>SUMIFS(MainData[ExtendedPrice],MainData[BillID],BillingData[[#This Row],[BillID]],MainData[Billable?],"Y",MainData[Category],"&lt;&gt;"&amp;$J$6,MainData[Category],"&lt;&gt;"&amp;$K$6,MainData[Category],"&lt;&gt;" &amp; "Info")</f>
        <v>13349</v>
      </c>
      <c r="J73" s="109">
        <f>SUMIFS(MainData[ExtendedPrice],MainData[BillID],BillingData[[#This Row],[BillID]],MainData[Billable?],"Y",MainData[Category],$J$6)</f>
        <v>0</v>
      </c>
      <c r="K73" s="109">
        <f>SUMIFS(MainData[ExtendedPrice],MainData[BillID],BillingData[[#This Row],[BillID]],MainData[Billable?],"Y",MainData[Category],$K$6)</f>
        <v>0</v>
      </c>
      <c r="L73" s="109">
        <f>SUM(BillingData[[#This Row],[Subtotal]:[Gratuity]])</f>
        <v>13349</v>
      </c>
    </row>
    <row r="74" spans="2:12" x14ac:dyDescent="0.25">
      <c r="B74" s="114">
        <v>65</v>
      </c>
      <c r="C74" s="156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53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56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33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09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09">
        <f>SUMIFS(MainData[ExtendedPrice],MainData[BillID],BillingData[[#This Row],[BillID]],MainData[Billable?],"Y",MainData[Category],$J$6)</f>
        <v>0</v>
      </c>
      <c r="K74" s="109">
        <f>SUMIFS(MainData[ExtendedPrice],MainData[BillID],BillingData[[#This Row],[BillID]],MainData[Billable?],"Y",MainData[Category],$K$6)</f>
        <v>0</v>
      </c>
      <c r="L74" s="109">
        <f>SUM(BillingData[[#This Row],[Subtotal]:[Gratuity]])</f>
        <v>809</v>
      </c>
    </row>
    <row r="75" spans="2:12" x14ac:dyDescent="0.25">
      <c r="B75" s="114">
        <v>118</v>
      </c>
      <c r="C75" s="156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53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56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33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09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09">
        <f>SUMIFS(MainData[ExtendedPrice],MainData[BillID],BillingData[[#This Row],[BillID]],MainData[Billable?],"Y",MainData[Category],$J$6)</f>
        <v>0</v>
      </c>
      <c r="K75" s="109">
        <f>SUMIFS(MainData[ExtendedPrice],MainData[BillID],BillingData[[#This Row],[BillID]],MainData[Billable?],"Y",MainData[Category],$K$6)</f>
        <v>0</v>
      </c>
      <c r="L75" s="109">
        <f>SUM(BillingData[[#This Row],[Subtotal]:[Gratuity]])</f>
        <v>102.84</v>
      </c>
    </row>
    <row r="76" spans="2:12" x14ac:dyDescent="0.25">
      <c r="B76" s="114">
        <v>64</v>
      </c>
      <c r="C76" s="156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53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56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33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76" s="109">
        <f>SUMIFS(MainData[ExtendedPrice],MainData[BillID],BillingData[[#This Row],[BillID]],MainData[Billable?],"Y",MainData[Category],$J$6)</f>
        <v>0</v>
      </c>
      <c r="K76" s="109">
        <f>SUMIFS(MainData[ExtendedPrice],MainData[BillID],BillingData[[#This Row],[BillID]],MainData[Billable?],"Y",MainData[Category],$K$6)</f>
        <v>0</v>
      </c>
      <c r="L76" s="109">
        <f>SUM(BillingData[[#This Row],[Subtotal]:[Gratuity]])</f>
        <v>100</v>
      </c>
    </row>
    <row r="77" spans="2:12" x14ac:dyDescent="0.25">
      <c r="B77" s="114">
        <v>67</v>
      </c>
      <c r="C77" s="156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53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56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33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09">
        <f>SUMIFS(MainData[ExtendedPrice],MainData[BillID],BillingData[[#This Row],[BillID]],MainData[Billable?],"Y",MainData[Category],"&lt;&gt;"&amp;$J$6,MainData[Category],"&lt;&gt;"&amp;$K$6,MainData[Category],"&lt;&gt;" &amp; "Info")</f>
        <v>388</v>
      </c>
      <c r="J77" s="109">
        <f>SUMIFS(MainData[ExtendedPrice],MainData[BillID],BillingData[[#This Row],[BillID]],MainData[Billable?],"Y",MainData[Category],$J$6)</f>
        <v>0</v>
      </c>
      <c r="K77" s="109">
        <f>SUMIFS(MainData[ExtendedPrice],MainData[BillID],BillingData[[#This Row],[BillID]],MainData[Billable?],"Y",MainData[Category],$K$6)</f>
        <v>0</v>
      </c>
      <c r="L77" s="109">
        <f>SUM(BillingData[[#This Row],[Subtotal]:[Gratuity]])</f>
        <v>388</v>
      </c>
    </row>
    <row r="78" spans="2:12" x14ac:dyDescent="0.25">
      <c r="B78" s="114">
        <v>69</v>
      </c>
      <c r="C78" s="156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53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56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33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09">
        <f>SUMIFS(MainData[ExtendedPrice],MainData[BillID],BillingData[[#This Row],[BillID]],MainData[Billable?],"Y",MainData[Category],"&lt;&gt;"&amp;$J$6,MainData[Category],"&lt;&gt;"&amp;$K$6,MainData[Category],"&lt;&gt;" &amp; "Info")</f>
        <v>3548.4800000000005</v>
      </c>
      <c r="J78" s="109">
        <f>SUMIFS(MainData[ExtendedPrice],MainData[BillID],BillingData[[#This Row],[BillID]],MainData[Billable?],"Y",MainData[Category],$J$6)</f>
        <v>0</v>
      </c>
      <c r="K78" s="109">
        <f>SUMIFS(MainData[ExtendedPrice],MainData[BillID],BillingData[[#This Row],[BillID]],MainData[Billable?],"Y",MainData[Category],$K$6)</f>
        <v>0</v>
      </c>
      <c r="L78" s="109">
        <f>SUM(BillingData[[#This Row],[Subtotal]:[Gratuity]])</f>
        <v>3548.4800000000005</v>
      </c>
    </row>
    <row r="79" spans="2:12" x14ac:dyDescent="0.25">
      <c r="B79" s="114">
        <v>68</v>
      </c>
      <c r="C79" s="156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53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56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33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09">
        <f>SUMIFS(MainData[ExtendedPrice],MainData[BillID],BillingData[[#This Row],[BillID]],MainData[Billable?],"Y",MainData[Category],"&lt;&gt;"&amp;$J$6,MainData[Category],"&lt;&gt;"&amp;$K$6,MainData[Category],"&lt;&gt;" &amp; "Info")</f>
        <v>515.5</v>
      </c>
      <c r="J79" s="109">
        <f>SUMIFS(MainData[ExtendedPrice],MainData[BillID],BillingData[[#This Row],[BillID]],MainData[Billable?],"Y",MainData[Category],$J$6)</f>
        <v>0</v>
      </c>
      <c r="K79" s="109">
        <f>SUMIFS(MainData[ExtendedPrice],MainData[BillID],BillingData[[#This Row],[BillID]],MainData[Billable?],"Y",MainData[Category],$K$6)</f>
        <v>0</v>
      </c>
      <c r="L79" s="109">
        <f>SUM(BillingData[[#This Row],[Subtotal]:[Gratuity]])</f>
        <v>515.5</v>
      </c>
    </row>
    <row r="80" spans="2:12" x14ac:dyDescent="0.25">
      <c r="B80" s="114">
        <v>70</v>
      </c>
      <c r="C80" s="156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53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56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33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09">
        <f>SUMIFS(MainData[ExtendedPrice],MainData[BillID],BillingData[[#This Row],[BillID]],MainData[Billable?],"Y",MainData[Category],$J$6)</f>
        <v>0</v>
      </c>
      <c r="K80" s="109">
        <f>SUMIFS(MainData[ExtendedPrice],MainData[BillID],BillingData[[#This Row],[BillID]],MainData[Billable?],"Y",MainData[Category],$K$6)</f>
        <v>0</v>
      </c>
      <c r="L80" s="109">
        <f>SUM(BillingData[[#This Row],[Subtotal]:[Gratuity]])</f>
        <v>41</v>
      </c>
    </row>
    <row r="81" spans="2:12" x14ac:dyDescent="0.25">
      <c r="B81" s="114">
        <v>71</v>
      </c>
      <c r="C81" s="156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53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56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33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09">
        <f>SUMIFS(MainData[ExtendedPrice],MainData[BillID],BillingData[[#This Row],[BillID]],MainData[Billable?],"Y",MainData[Category],"&lt;&gt;"&amp;$J$6,MainData[Category],"&lt;&gt;"&amp;$K$6,MainData[Category],"&lt;&gt;" &amp; "Info")</f>
        <v>5103.2</v>
      </c>
      <c r="J81" s="109">
        <f>SUMIFS(MainData[ExtendedPrice],MainData[BillID],BillingData[[#This Row],[BillID]],MainData[Billable?],"Y",MainData[Category],$J$6)</f>
        <v>0</v>
      </c>
      <c r="K81" s="109">
        <f>SUMIFS(MainData[ExtendedPrice],MainData[BillID],BillingData[[#This Row],[BillID]],MainData[Billable?],"Y",MainData[Category],$K$6)</f>
        <v>0</v>
      </c>
      <c r="L81" s="109">
        <f>SUM(BillingData[[#This Row],[Subtotal]:[Gratuity]])</f>
        <v>5103.2</v>
      </c>
    </row>
    <row r="82" spans="2:12" x14ac:dyDescent="0.25">
      <c r="B82" s="114">
        <v>72</v>
      </c>
      <c r="C82" s="156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53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56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33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09">
        <f>SUMIFS(MainData[ExtendedPrice],MainData[BillID],BillingData[[#This Row],[BillID]],MainData[Billable?],"Y",MainData[Category],"&lt;&gt;"&amp;$J$6,MainData[Category],"&lt;&gt;"&amp;$K$6,MainData[Category],"&lt;&gt;" &amp; "Info")</f>
        <v>390</v>
      </c>
      <c r="J82" s="109">
        <f>SUMIFS(MainData[ExtendedPrice],MainData[BillID],BillingData[[#This Row],[BillID]],MainData[Billable?],"Y",MainData[Category],$J$6)</f>
        <v>0</v>
      </c>
      <c r="K82" s="109">
        <f>SUMIFS(MainData[ExtendedPrice],MainData[BillID],BillingData[[#This Row],[BillID]],MainData[Billable?],"Y",MainData[Category],$K$6)</f>
        <v>0</v>
      </c>
      <c r="L82" s="109">
        <f>SUM(BillingData[[#This Row],[Subtotal]:[Gratuity]])</f>
        <v>390</v>
      </c>
    </row>
    <row r="83" spans="2:12" x14ac:dyDescent="0.25">
      <c r="B83" s="114">
        <v>76</v>
      </c>
      <c r="C83" s="156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53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56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33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09">
        <f>SUMIFS(MainData[ExtendedPrice],MainData[BillID],BillingData[[#This Row],[BillID]],MainData[Billable?],"Y",MainData[Category],"&lt;&gt;"&amp;$J$6,MainData[Category],"&lt;&gt;"&amp;$K$6,MainData[Category],"&lt;&gt;" &amp; "Info")</f>
        <v>16500</v>
      </c>
      <c r="J83" s="109">
        <f>SUMIFS(MainData[ExtendedPrice],MainData[BillID],BillingData[[#This Row],[BillID]],MainData[Billable?],"Y",MainData[Category],$J$6)</f>
        <v>0</v>
      </c>
      <c r="K83" s="109">
        <f>SUMIFS(MainData[ExtendedPrice],MainData[BillID],BillingData[[#This Row],[BillID]],MainData[Billable?],"Y",MainData[Category],$K$6)</f>
        <v>0</v>
      </c>
      <c r="L83" s="109">
        <f>SUM(BillingData[[#This Row],[Subtotal]:[Gratuity]])</f>
        <v>16500</v>
      </c>
    </row>
    <row r="84" spans="2:12" x14ac:dyDescent="0.25">
      <c r="B84" s="114">
        <v>75</v>
      </c>
      <c r="C84" s="156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53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56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33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09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09">
        <f>SUMIFS(MainData[ExtendedPrice],MainData[BillID],BillingData[[#This Row],[BillID]],MainData[Billable?],"Y",MainData[Category],$J$6)</f>
        <v>0</v>
      </c>
      <c r="K84" s="109">
        <f>SUMIFS(MainData[ExtendedPrice],MainData[BillID],BillingData[[#This Row],[BillID]],MainData[Billable?],"Y",MainData[Category],$K$6)</f>
        <v>0</v>
      </c>
      <c r="L84" s="109">
        <f>SUM(BillingData[[#This Row],[Subtotal]:[Gratuity]])</f>
        <v>868</v>
      </c>
    </row>
    <row r="85" spans="2:12" x14ac:dyDescent="0.25">
      <c r="B85" s="114">
        <v>73</v>
      </c>
      <c r="C85" s="156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53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56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33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09">
        <f>SUMIFS(MainData[ExtendedPrice],MainData[BillID],BillingData[[#This Row],[BillID]],MainData[Billable?],"Y",MainData[Category],"&lt;&gt;"&amp;$J$6,MainData[Category],"&lt;&gt;"&amp;$K$6,MainData[Category],"&lt;&gt;" &amp; "Info")</f>
        <v>429.19999999999993</v>
      </c>
      <c r="J85" s="109">
        <f>SUMIFS(MainData[ExtendedPrice],MainData[BillID],BillingData[[#This Row],[BillID]],MainData[Billable?],"Y",MainData[Category],$J$6)</f>
        <v>0</v>
      </c>
      <c r="K85" s="109">
        <f>SUMIFS(MainData[ExtendedPrice],MainData[BillID],BillingData[[#This Row],[BillID]],MainData[Billable?],"Y",MainData[Category],$K$6)</f>
        <v>0</v>
      </c>
      <c r="L85" s="109">
        <f>SUM(BillingData[[#This Row],[Subtotal]:[Gratuity]])</f>
        <v>429.19999999999993</v>
      </c>
    </row>
    <row r="86" spans="2:12" x14ac:dyDescent="0.25">
      <c r="B86" s="114">
        <v>77</v>
      </c>
      <c r="C86" s="156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53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56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33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09">
        <f>SUMIFS(MainData[ExtendedPrice],MainData[BillID],BillingData[[#This Row],[BillID]],MainData[Billable?],"Y",MainData[Category],"&lt;&gt;"&amp;$J$6,MainData[Category],"&lt;&gt;"&amp;$K$6,MainData[Category],"&lt;&gt;" &amp; "Info")</f>
        <v>604</v>
      </c>
      <c r="J86" s="109">
        <f>SUMIFS(MainData[ExtendedPrice],MainData[BillID],BillingData[[#This Row],[BillID]],MainData[Billable?],"Y",MainData[Category],$J$6)</f>
        <v>0</v>
      </c>
      <c r="K86" s="109">
        <f>SUMIFS(MainData[ExtendedPrice],MainData[BillID],BillingData[[#This Row],[BillID]],MainData[Billable?],"Y",MainData[Category],$K$6)</f>
        <v>0</v>
      </c>
      <c r="L86" s="109">
        <f>SUM(BillingData[[#This Row],[Subtotal]:[Gratuity]])</f>
        <v>604</v>
      </c>
    </row>
    <row r="87" spans="2:12" x14ac:dyDescent="0.25">
      <c r="B87" s="114">
        <v>74</v>
      </c>
      <c r="C87" s="156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53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56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33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09">
        <f>SUMIFS(MainData[ExtendedPrice],MainData[BillID],BillingData[[#This Row],[BillID]],MainData[Billable?],"Y",MainData[Category],"&lt;&gt;"&amp;$J$6,MainData[Category],"&lt;&gt;"&amp;$K$6,MainData[Category],"&lt;&gt;" &amp; "Info")</f>
        <v>38833.800000000003</v>
      </c>
      <c r="J87" s="109">
        <f>SUMIFS(MainData[ExtendedPrice],MainData[BillID],BillingData[[#This Row],[BillID]],MainData[Billable?],"Y",MainData[Category],$J$6)</f>
        <v>0</v>
      </c>
      <c r="K87" s="109">
        <f>SUMIFS(MainData[ExtendedPrice],MainData[BillID],BillingData[[#This Row],[BillID]],MainData[Billable?],"Y",MainData[Category],$K$6)</f>
        <v>0</v>
      </c>
      <c r="L87" s="109">
        <f>SUM(BillingData[[#This Row],[Subtotal]:[Gratuity]])</f>
        <v>38833.800000000003</v>
      </c>
    </row>
    <row r="88" spans="2:12" x14ac:dyDescent="0.25">
      <c r="B88" s="114">
        <v>81</v>
      </c>
      <c r="C88" s="156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53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56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33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09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09">
        <f>SUMIFS(MainData[ExtendedPrice],MainData[BillID],BillingData[[#This Row],[BillID]],MainData[Billable?],"Y",MainData[Category],$J$6)</f>
        <v>0</v>
      </c>
      <c r="K88" s="109">
        <f>SUMIFS(MainData[ExtendedPrice],MainData[BillID],BillingData[[#This Row],[BillID]],MainData[Billable?],"Y",MainData[Category],$K$6)</f>
        <v>0</v>
      </c>
      <c r="L88" s="109">
        <f>SUM(BillingData[[#This Row],[Subtotal]:[Gratuity]])</f>
        <v>9.5500000000000007</v>
      </c>
    </row>
    <row r="89" spans="2:12" x14ac:dyDescent="0.25">
      <c r="B89" s="114">
        <v>80</v>
      </c>
      <c r="C89" s="156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53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56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33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09">
        <f>SUMIFS(MainData[ExtendedPrice],MainData[BillID],BillingData[[#This Row],[BillID]],MainData[Billable?],"Y",MainData[Category],"&lt;&gt;"&amp;$J$6,MainData[Category],"&lt;&gt;"&amp;$K$6,MainData[Category],"&lt;&gt;" &amp; "Info")</f>
        <v>1521</v>
      </c>
      <c r="J89" s="109">
        <f>SUMIFS(MainData[ExtendedPrice],MainData[BillID],BillingData[[#This Row],[BillID]],MainData[Billable?],"Y",MainData[Category],$J$6)</f>
        <v>0</v>
      </c>
      <c r="K89" s="109">
        <f>SUMIFS(MainData[ExtendedPrice],MainData[BillID],BillingData[[#This Row],[BillID]],MainData[Billable?],"Y",MainData[Category],$K$6)</f>
        <v>0</v>
      </c>
      <c r="L89" s="109">
        <f>SUM(BillingData[[#This Row],[Subtotal]:[Gratuity]])</f>
        <v>1521</v>
      </c>
    </row>
    <row r="90" spans="2:12" x14ac:dyDescent="0.25">
      <c r="B90" s="114">
        <v>78</v>
      </c>
      <c r="C90" s="156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53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56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33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09">
        <f>SUMIFS(MainData[ExtendedPrice],MainData[BillID],BillingData[[#This Row],[BillID]],MainData[Billable?],"Y",MainData[Category],"&lt;&gt;"&amp;$J$6,MainData[Category],"&lt;&gt;"&amp;$K$6,MainData[Category],"&lt;&gt;" &amp; "Info")</f>
        <v>1012</v>
      </c>
      <c r="J90" s="109">
        <f>SUMIFS(MainData[ExtendedPrice],MainData[BillID],BillingData[[#This Row],[BillID]],MainData[Billable?],"Y",MainData[Category],$J$6)</f>
        <v>0</v>
      </c>
      <c r="K90" s="109">
        <f>SUMIFS(MainData[ExtendedPrice],MainData[BillID],BillingData[[#This Row],[BillID]],MainData[Billable?],"Y",MainData[Category],$K$6)</f>
        <v>0</v>
      </c>
      <c r="L90" s="109">
        <f>SUM(BillingData[[#This Row],[Subtotal]:[Gratuity]])</f>
        <v>1012</v>
      </c>
    </row>
    <row r="91" spans="2:12" x14ac:dyDescent="0.25">
      <c r="B91" s="114">
        <v>79</v>
      </c>
      <c r="C91" s="156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53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56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33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09">
        <f>SUMIFS(MainData[ExtendedPrice],MainData[BillID],BillingData[[#This Row],[BillID]],MainData[Billable?],"Y",MainData[Category],"&lt;&gt;"&amp;$J$6,MainData[Category],"&lt;&gt;"&amp;$K$6,MainData[Category],"&lt;&gt;" &amp; "Info")</f>
        <v>2782</v>
      </c>
      <c r="J91" s="109">
        <f>SUMIFS(MainData[ExtendedPrice],MainData[BillID],BillingData[[#This Row],[BillID]],MainData[Billable?],"Y",MainData[Category],$J$6)</f>
        <v>0</v>
      </c>
      <c r="K91" s="109">
        <f>SUMIFS(MainData[ExtendedPrice],MainData[BillID],BillingData[[#This Row],[BillID]],MainData[Billable?],"Y",MainData[Category],$K$6)</f>
        <v>0</v>
      </c>
      <c r="L91" s="109">
        <f>SUM(BillingData[[#This Row],[Subtotal]:[Gratuity]])</f>
        <v>2782</v>
      </c>
    </row>
    <row r="92" spans="2:12" x14ac:dyDescent="0.25">
      <c r="B92" s="114">
        <v>82</v>
      </c>
      <c r="C92" s="156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53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56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33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09">
        <f>SUMIFS(MainData[ExtendedPrice],MainData[BillID],BillingData[[#This Row],[BillID]],MainData[Billable?],"Y",MainData[Category],"&lt;&gt;"&amp;$J$6,MainData[Category],"&lt;&gt;"&amp;$K$6,MainData[Category],"&lt;&gt;" &amp; "Info")</f>
        <v>66601.8</v>
      </c>
      <c r="J92" s="109">
        <f>SUMIFS(MainData[ExtendedPrice],MainData[BillID],BillingData[[#This Row],[BillID]],MainData[Billable?],"Y",MainData[Category],$J$6)</f>
        <v>0</v>
      </c>
      <c r="K92" s="109">
        <f>SUMIFS(MainData[ExtendedPrice],MainData[BillID],BillingData[[#This Row],[BillID]],MainData[Billable?],"Y",MainData[Category],$K$6)</f>
        <v>0</v>
      </c>
      <c r="L92" s="109">
        <f>SUM(BillingData[[#This Row],[Subtotal]:[Gratuity]])</f>
        <v>66601.8</v>
      </c>
    </row>
    <row r="93" spans="2:12" x14ac:dyDescent="0.25">
      <c r="B93" s="114">
        <v>83</v>
      </c>
      <c r="C93" s="156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53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56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33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09">
        <f>SUMIFS(MainData[ExtendedPrice],MainData[BillID],BillingData[[#This Row],[BillID]],MainData[Billable?],"Y",MainData[Category],"&lt;&gt;"&amp;$J$6,MainData[Category],"&lt;&gt;"&amp;$K$6,MainData[Category],"&lt;&gt;" &amp; "Info")</f>
        <v>7444</v>
      </c>
      <c r="J93" s="109">
        <f>SUMIFS(MainData[ExtendedPrice],MainData[BillID],BillingData[[#This Row],[BillID]],MainData[Billable?],"Y",MainData[Category],$J$6)</f>
        <v>0</v>
      </c>
      <c r="K93" s="109">
        <f>SUMIFS(MainData[ExtendedPrice],MainData[BillID],BillingData[[#This Row],[BillID]],MainData[Billable?],"Y",MainData[Category],$K$6)</f>
        <v>0</v>
      </c>
      <c r="L93" s="109">
        <f>SUM(BillingData[[#This Row],[Subtotal]:[Gratuity]])</f>
        <v>7444</v>
      </c>
    </row>
    <row r="94" spans="2:12" x14ac:dyDescent="0.25">
      <c r="B94" s="114">
        <v>84</v>
      </c>
      <c r="C94" s="156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53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56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33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09">
        <f>SUMIFS(MainData[ExtendedPrice],MainData[BillID],BillingData[[#This Row],[BillID]],MainData[Billable?],"Y",MainData[Category],"&lt;&gt;"&amp;$J$6,MainData[Category],"&lt;&gt;"&amp;$K$6,MainData[Category],"&lt;&gt;" &amp; "Info")</f>
        <v>1648</v>
      </c>
      <c r="J94" s="109">
        <f>SUMIFS(MainData[ExtendedPrice],MainData[BillID],BillingData[[#This Row],[BillID]],MainData[Billable?],"Y",MainData[Category],$J$6)</f>
        <v>0</v>
      </c>
      <c r="K94" s="109">
        <f>SUMIFS(MainData[ExtendedPrice],MainData[BillID],BillingData[[#This Row],[BillID]],MainData[Billable?],"Y",MainData[Category],$K$6)</f>
        <v>0</v>
      </c>
      <c r="L94" s="109">
        <f>SUM(BillingData[[#This Row],[Subtotal]:[Gratuity]])</f>
        <v>1648</v>
      </c>
    </row>
    <row r="95" spans="2:12" x14ac:dyDescent="0.25">
      <c r="B95" s="114">
        <v>85</v>
      </c>
      <c r="C95" s="156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53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56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33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09">
        <f>SUMIFS(MainData[ExtendedPrice],MainData[BillID],BillingData[[#This Row],[BillID]],MainData[Billable?],"Y",MainData[Category],$J$6)</f>
        <v>0</v>
      </c>
      <c r="K95" s="109">
        <f>SUMIFS(MainData[ExtendedPrice],MainData[BillID],BillingData[[#This Row],[BillID]],MainData[Billable?],"Y",MainData[Category],$K$6)</f>
        <v>0</v>
      </c>
      <c r="L95" s="109">
        <f>SUM(BillingData[[#This Row],[Subtotal]:[Gratuity]])</f>
        <v>100</v>
      </c>
    </row>
    <row r="96" spans="2:12" x14ac:dyDescent="0.25">
      <c r="B96" s="114">
        <v>86</v>
      </c>
      <c r="C96" s="156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53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56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33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09">
        <f>SUMIFS(MainData[ExtendedPrice],MainData[BillID],BillingData[[#This Row],[BillID]],MainData[Billable?],"Y",MainData[Category],"&lt;&gt;"&amp;$J$6,MainData[Category],"&lt;&gt;"&amp;$K$6,MainData[Category],"&lt;&gt;" &amp; "Info")</f>
        <v>2760</v>
      </c>
      <c r="J96" s="109">
        <f>SUMIFS(MainData[ExtendedPrice],MainData[BillID],BillingData[[#This Row],[BillID]],MainData[Billable?],"Y",MainData[Category],$J$6)</f>
        <v>0</v>
      </c>
      <c r="K96" s="109">
        <f>SUMIFS(MainData[ExtendedPrice],MainData[BillID],BillingData[[#This Row],[BillID]],MainData[Billable?],"Y",MainData[Category],$K$6)</f>
        <v>0</v>
      </c>
      <c r="L96" s="109">
        <f>SUM(BillingData[[#This Row],[Subtotal]:[Gratuity]])</f>
        <v>2760</v>
      </c>
    </row>
    <row r="97" spans="2:12" x14ac:dyDescent="0.25">
      <c r="B97" s="114">
        <v>89</v>
      </c>
      <c r="C97" s="156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53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56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33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09">
        <f>SUMIFS(MainData[ExtendedPrice],MainData[BillID],BillingData[[#This Row],[BillID]],MainData[Billable?],"Y",MainData[Category],$J$6)</f>
        <v>0</v>
      </c>
      <c r="K97" s="109">
        <f>SUMIFS(MainData[ExtendedPrice],MainData[BillID],BillingData[[#This Row],[BillID]],MainData[Billable?],"Y",MainData[Category],$K$6)</f>
        <v>0</v>
      </c>
      <c r="L97" s="109">
        <f>SUM(BillingData[[#This Row],[Subtotal]:[Gratuity]])</f>
        <v>41</v>
      </c>
    </row>
    <row r="98" spans="2:12" x14ac:dyDescent="0.25">
      <c r="B98" s="114">
        <v>87</v>
      </c>
      <c r="C98" s="156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53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56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33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09">
        <f>SUMIFS(MainData[ExtendedPrice],MainData[BillID],BillingData[[#This Row],[BillID]],MainData[Billable?],"Y",MainData[Category],"&lt;&gt;"&amp;$J$6,MainData[Category],"&lt;&gt;"&amp;$K$6,MainData[Category],"&lt;&gt;" &amp; "Info")</f>
        <v>28664.200000000004</v>
      </c>
      <c r="J98" s="109">
        <f>SUMIFS(MainData[ExtendedPrice],MainData[BillID],BillingData[[#This Row],[BillID]],MainData[Billable?],"Y",MainData[Category],$J$6)</f>
        <v>0</v>
      </c>
      <c r="K98" s="109">
        <f>SUMIFS(MainData[ExtendedPrice],MainData[BillID],BillingData[[#This Row],[BillID]],MainData[Billable?],"Y",MainData[Category],$K$6)</f>
        <v>0</v>
      </c>
      <c r="L98" s="109">
        <f>SUM(BillingData[[#This Row],[Subtotal]:[Gratuity]])</f>
        <v>28664.200000000004</v>
      </c>
    </row>
    <row r="99" spans="2:12" x14ac:dyDescent="0.25">
      <c r="B99" s="114">
        <v>88</v>
      </c>
      <c r="C99" s="156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53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56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33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09">
        <f>SUMIFS(MainData[ExtendedPrice],MainData[BillID],BillingData[[#This Row],[BillID]],MainData[Billable?],"Y",MainData[Category],"&lt;&gt;"&amp;$J$6,MainData[Category],"&lt;&gt;"&amp;$K$6,MainData[Category],"&lt;&gt;" &amp; "Info")</f>
        <v>8782.2999999999993</v>
      </c>
      <c r="J99" s="109">
        <f>SUMIFS(MainData[ExtendedPrice],MainData[BillID],BillingData[[#This Row],[BillID]],MainData[Billable?],"Y",MainData[Category],$J$6)</f>
        <v>0</v>
      </c>
      <c r="K99" s="109">
        <f>SUMIFS(MainData[ExtendedPrice],MainData[BillID],BillingData[[#This Row],[BillID]],MainData[Billable?],"Y",MainData[Category],$K$6)</f>
        <v>0</v>
      </c>
      <c r="L99" s="109">
        <f>SUM(BillingData[[#This Row],[Subtotal]:[Gratuity]])</f>
        <v>8782.2999999999993</v>
      </c>
    </row>
    <row r="100" spans="2:12" x14ac:dyDescent="0.25">
      <c r="B100" s="114">
        <v>91</v>
      </c>
      <c r="C100" s="156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53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56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33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09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09">
        <f>SUMIFS(MainData[ExtendedPrice],MainData[BillID],BillingData[[#This Row],[BillID]],MainData[Billable?],"Y",MainData[Category],$J$6)</f>
        <v>0</v>
      </c>
      <c r="K100" s="109">
        <f>SUMIFS(MainData[ExtendedPrice],MainData[BillID],BillingData[[#This Row],[BillID]],MainData[Billable?],"Y",MainData[Category],$K$6)</f>
        <v>0</v>
      </c>
      <c r="L100" s="109">
        <f>SUM(BillingData[[#This Row],[Subtotal]:[Gratuity]])</f>
        <v>1125</v>
      </c>
    </row>
    <row r="101" spans="2:12" x14ac:dyDescent="0.25">
      <c r="B101" s="114">
        <v>90</v>
      </c>
      <c r="C101" s="156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53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56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33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09">
        <f>SUMIFS(MainData[ExtendedPrice],MainData[BillID],BillingData[[#This Row],[BillID]],MainData[Billable?],"Y",MainData[Category],"&lt;&gt;"&amp;$J$6,MainData[Category],"&lt;&gt;"&amp;$K$6,MainData[Category],"&lt;&gt;" &amp; "Info")</f>
        <v>983.1</v>
      </c>
      <c r="J101" s="109">
        <f>SUMIFS(MainData[ExtendedPrice],MainData[BillID],BillingData[[#This Row],[BillID]],MainData[Billable?],"Y",MainData[Category],$J$6)</f>
        <v>0</v>
      </c>
      <c r="K101" s="109">
        <f>SUMIFS(MainData[ExtendedPrice],MainData[BillID],BillingData[[#This Row],[BillID]],MainData[Billable?],"Y",MainData[Category],$K$6)</f>
        <v>0</v>
      </c>
      <c r="L101" s="109">
        <f>SUM(BillingData[[#This Row],[Subtotal]:[Gratuity]])</f>
        <v>983.1</v>
      </c>
    </row>
    <row r="102" spans="2:12" x14ac:dyDescent="0.25">
      <c r="B102" s="114">
        <v>120</v>
      </c>
      <c r="C102" s="156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53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56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33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09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09">
        <f>SUMIFS(MainData[ExtendedPrice],MainData[BillID],BillingData[[#This Row],[BillID]],MainData[Billable?],"Y",MainData[Category],$J$6)</f>
        <v>0</v>
      </c>
      <c r="K102" s="109">
        <f>SUMIFS(MainData[ExtendedPrice],MainData[BillID],BillingData[[#This Row],[BillID]],MainData[Billable?],"Y",MainData[Category],$K$6)</f>
        <v>0</v>
      </c>
      <c r="L102" s="109">
        <f>SUM(BillingData[[#This Row],[Subtotal]:[Gratuity]])</f>
        <v>19.61</v>
      </c>
    </row>
    <row r="103" spans="2:12" x14ac:dyDescent="0.25">
      <c r="B103" s="114">
        <v>92</v>
      </c>
      <c r="C103" s="156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53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56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33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03" s="109">
        <f>SUMIFS(MainData[ExtendedPrice],MainData[BillID],BillingData[[#This Row],[BillID]],MainData[Billable?],"Y",MainData[Category],$J$6)</f>
        <v>0</v>
      </c>
      <c r="K103" s="109">
        <f>SUMIFS(MainData[ExtendedPrice],MainData[BillID],BillingData[[#This Row],[BillID]],MainData[Billable?],"Y",MainData[Category],$K$6)</f>
        <v>0</v>
      </c>
      <c r="L103" s="109">
        <f>SUM(BillingData[[#This Row],[Subtotal]:[Gratuity]])</f>
        <v>100</v>
      </c>
    </row>
    <row r="104" spans="2:12" x14ac:dyDescent="0.25">
      <c r="B104" s="114">
        <v>121</v>
      </c>
      <c r="C104" s="156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53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56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33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09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09">
        <f>SUMIFS(MainData[ExtendedPrice],MainData[BillID],BillingData[[#This Row],[BillID]],MainData[Billable?],"Y",MainData[Category],$J$6)</f>
        <v>0</v>
      </c>
      <c r="K104" s="109">
        <f>SUMIFS(MainData[ExtendedPrice],MainData[BillID],BillingData[[#This Row],[BillID]],MainData[Billable?],"Y",MainData[Category],$K$6)</f>
        <v>0</v>
      </c>
      <c r="L104" s="109">
        <f>SUM(BillingData[[#This Row],[Subtotal]:[Gratuity]])</f>
        <v>1232.7</v>
      </c>
    </row>
    <row r="105" spans="2:12" x14ac:dyDescent="0.25">
      <c r="B105" s="114">
        <v>93</v>
      </c>
      <c r="C105" s="156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53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56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33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09">
        <f>SUMIFS(MainData[ExtendedPrice],MainData[BillID],BillingData[[#This Row],[BillID]],MainData[Billable?],"Y",MainData[Category],"&lt;&gt;"&amp;$J$6,MainData[Category],"&lt;&gt;"&amp;$K$6,MainData[Category],"&lt;&gt;" &amp; "Info")</f>
        <v>300</v>
      </c>
      <c r="J105" s="109">
        <f>SUMIFS(MainData[ExtendedPrice],MainData[BillID],BillingData[[#This Row],[BillID]],MainData[Billable?],"Y",MainData[Category],$J$6)</f>
        <v>0</v>
      </c>
      <c r="K105" s="109">
        <f>SUMIFS(MainData[ExtendedPrice],MainData[BillID],BillingData[[#This Row],[BillID]],MainData[Billable?],"Y",MainData[Category],$K$6)</f>
        <v>0</v>
      </c>
      <c r="L105" s="109">
        <f>SUM(BillingData[[#This Row],[Subtotal]:[Gratuity]])</f>
        <v>300</v>
      </c>
    </row>
    <row r="106" spans="2:12" x14ac:dyDescent="0.25">
      <c r="B106" s="114">
        <v>122</v>
      </c>
      <c r="C106" s="156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53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56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33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09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09">
        <f>SUMIFS(MainData[ExtendedPrice],MainData[BillID],BillingData[[#This Row],[BillID]],MainData[Billable?],"Y",MainData[Category],$J$6)</f>
        <v>0</v>
      </c>
      <c r="K106" s="109">
        <f>SUMIFS(MainData[ExtendedPrice],MainData[BillID],BillingData[[#This Row],[BillID]],MainData[Billable?],"Y",MainData[Category],$K$6)</f>
        <v>0</v>
      </c>
      <c r="L106" s="109">
        <f>SUM(BillingData[[#This Row],[Subtotal]:[Gratuity]])</f>
        <v>364.5</v>
      </c>
    </row>
    <row r="107" spans="2:12" x14ac:dyDescent="0.25">
      <c r="B107" s="114">
        <v>94</v>
      </c>
      <c r="C107" s="156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53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56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33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07" s="109">
        <f>SUMIFS(MainData[ExtendedPrice],MainData[BillID],BillingData[[#This Row],[BillID]],MainData[Billable?],"Y",MainData[Category],$J$6)</f>
        <v>0</v>
      </c>
      <c r="K107" s="109">
        <f>SUMIFS(MainData[ExtendedPrice],MainData[BillID],BillingData[[#This Row],[BillID]],MainData[Billable?],"Y",MainData[Category],$K$6)</f>
        <v>0</v>
      </c>
      <c r="L107" s="109">
        <f>SUM(BillingData[[#This Row],[Subtotal]:[Gratuity]])</f>
        <v>200</v>
      </c>
    </row>
    <row r="108" spans="2:12" x14ac:dyDescent="0.25">
      <c r="B108" s="114">
        <v>123</v>
      </c>
      <c r="C108" s="156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53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56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33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09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09">
        <f>SUMIFS(MainData[ExtendedPrice],MainData[BillID],BillingData[[#This Row],[BillID]],MainData[Billable?],"Y",MainData[Category],$J$6)</f>
        <v>0</v>
      </c>
      <c r="K108" s="109">
        <f>SUMIFS(MainData[ExtendedPrice],MainData[BillID],BillingData[[#This Row],[BillID]],MainData[Billable?],"Y",MainData[Category],$K$6)</f>
        <v>0</v>
      </c>
      <c r="L108" s="109">
        <f>SUM(BillingData[[#This Row],[Subtotal]:[Gratuity]])</f>
        <v>3266.5200000000004</v>
      </c>
    </row>
    <row r="109" spans="2:12" x14ac:dyDescent="0.25">
      <c r="B109" s="114">
        <v>95</v>
      </c>
      <c r="C109" s="156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53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56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33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09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09" s="109">
        <f>SUMIFS(MainData[ExtendedPrice],MainData[BillID],BillingData[[#This Row],[BillID]],MainData[Billable?],"Y",MainData[Category],$J$6)</f>
        <v>0</v>
      </c>
      <c r="K109" s="109">
        <f>SUMIFS(MainData[ExtendedPrice],MainData[BillID],BillingData[[#This Row],[BillID]],MainData[Billable?],"Y",MainData[Category],$K$6)</f>
        <v>0</v>
      </c>
      <c r="L109" s="109">
        <f>SUM(BillingData[[#This Row],[Subtotal]:[Gratuity]])</f>
        <v>400</v>
      </c>
    </row>
    <row r="110" spans="2:12" x14ac:dyDescent="0.25">
      <c r="B110" s="114">
        <v>98</v>
      </c>
      <c r="C110" s="156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53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56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33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09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09">
        <f>SUMIFS(MainData[ExtendedPrice],MainData[BillID],BillingData[[#This Row],[BillID]],MainData[Billable?],"Y",MainData[Category],$J$6)</f>
        <v>0</v>
      </c>
      <c r="K110" s="109">
        <f>SUMIFS(MainData[ExtendedPrice],MainData[BillID],BillingData[[#This Row],[BillID]],MainData[Billable?],"Y",MainData[Category],$K$6)</f>
        <v>0</v>
      </c>
      <c r="L110" s="109">
        <f>SUM(BillingData[[#This Row],[Subtotal]:[Gratuity]])</f>
        <v>3760.81</v>
      </c>
    </row>
    <row r="111" spans="2:12" x14ac:dyDescent="0.25">
      <c r="B111" s="114">
        <v>97</v>
      </c>
      <c r="C111" s="156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53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56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33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09">
        <f>SUMIFS(MainData[ExtendedPrice],MainData[BillID],BillingData[[#This Row],[BillID]],MainData[Billable?],"Y",MainData[Category],"&lt;&gt;"&amp;$J$6,MainData[Category],"&lt;&gt;"&amp;$K$6,MainData[Category],"&lt;&gt;" &amp; "Info")</f>
        <v>472</v>
      </c>
      <c r="J111" s="109">
        <f>SUMIFS(MainData[ExtendedPrice],MainData[BillID],BillingData[[#This Row],[BillID]],MainData[Billable?],"Y",MainData[Category],$J$6)</f>
        <v>0</v>
      </c>
      <c r="K111" s="109">
        <f>SUMIFS(MainData[ExtendedPrice],MainData[BillID],BillingData[[#This Row],[BillID]],MainData[Billable?],"Y",MainData[Category],$K$6)</f>
        <v>0</v>
      </c>
      <c r="L111" s="109">
        <f>SUM(BillingData[[#This Row],[Subtotal]:[Gratuity]])</f>
        <v>472</v>
      </c>
    </row>
    <row r="112" spans="2:12" x14ac:dyDescent="0.25">
      <c r="B112" s="114">
        <v>124</v>
      </c>
      <c r="C112" s="156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53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56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33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09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09">
        <f>SUMIFS(MainData[ExtendedPrice],MainData[BillID],BillingData[[#This Row],[BillID]],MainData[Billable?],"Y",MainData[Category],$J$6)</f>
        <v>0</v>
      </c>
      <c r="K112" s="109">
        <f>SUMIFS(MainData[ExtendedPrice],MainData[BillID],BillingData[[#This Row],[BillID]],MainData[Billable?],"Y",MainData[Category],$K$6)</f>
        <v>0</v>
      </c>
      <c r="L112" s="109">
        <f>SUM(BillingData[[#This Row],[Subtotal]:[Gratuity]])</f>
        <v>473.93</v>
      </c>
    </row>
    <row r="113" spans="2:12" x14ac:dyDescent="0.25">
      <c r="B113" s="114">
        <v>99</v>
      </c>
      <c r="C113" s="156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53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56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33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3" s="109">
        <f>SUMIFS(MainData[ExtendedPrice],MainData[BillID],BillingData[[#This Row],[BillID]],MainData[Billable?],"Y",MainData[Category],$J$6)</f>
        <v>0</v>
      </c>
      <c r="K113" s="109">
        <f>SUMIFS(MainData[ExtendedPrice],MainData[BillID],BillingData[[#This Row],[BillID]],MainData[Billable?],"Y",MainData[Category],$K$6)</f>
        <v>0</v>
      </c>
      <c r="L113" s="109">
        <f>SUM(BillingData[[#This Row],[Subtotal]:[Gratuity]])</f>
        <v>200</v>
      </c>
    </row>
    <row r="114" spans="2:12" x14ac:dyDescent="0.25">
      <c r="B114" s="114">
        <v>100</v>
      </c>
      <c r="C114" s="156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53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56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33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09">
        <f>SUMIFS(MainData[ExtendedPrice],MainData[BillID],BillingData[[#This Row],[BillID]],MainData[Billable?],"Y",MainData[Category],"&lt;&gt;"&amp;$J$6,MainData[Category],"&lt;&gt;"&amp;$K$6,MainData[Category],"&lt;&gt;" &amp; "Info")</f>
        <v>440</v>
      </c>
      <c r="J114" s="109">
        <f>SUMIFS(MainData[ExtendedPrice],MainData[BillID],BillingData[[#This Row],[BillID]],MainData[Billable?],"Y",MainData[Category],$J$6)</f>
        <v>0</v>
      </c>
      <c r="K114" s="109">
        <f>SUMIFS(MainData[ExtendedPrice],MainData[BillID],BillingData[[#This Row],[BillID]],MainData[Billable?],"Y",MainData[Category],$K$6)</f>
        <v>0</v>
      </c>
      <c r="L114" s="109">
        <f>SUM(BillingData[[#This Row],[Subtotal]:[Gratuity]])</f>
        <v>440</v>
      </c>
    </row>
    <row r="115" spans="2:12" x14ac:dyDescent="0.25">
      <c r="B115" s="114">
        <v>96</v>
      </c>
      <c r="C115" s="156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53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56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33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09">
        <f>SUMIFS(MainData[ExtendedPrice],MainData[BillID],BillingData[[#This Row],[BillID]],MainData[Billable?],"Y",MainData[Category],"&lt;&gt;"&amp;$J$6,MainData[Category],"&lt;&gt;"&amp;$K$6,MainData[Category],"&lt;&gt;" &amp; "Info")</f>
        <v>816</v>
      </c>
      <c r="J115" s="109">
        <f>SUMIFS(MainData[ExtendedPrice],MainData[BillID],BillingData[[#This Row],[BillID]],MainData[Billable?],"Y",MainData[Category],$J$6)</f>
        <v>0</v>
      </c>
      <c r="K115" s="109">
        <f>SUMIFS(MainData[ExtendedPrice],MainData[BillID],BillingData[[#This Row],[BillID]],MainData[Billable?],"Y",MainData[Category],$K$6)</f>
        <v>0</v>
      </c>
      <c r="L115" s="109">
        <f>SUM(BillingData[[#This Row],[Subtotal]:[Gratuity]])</f>
        <v>816</v>
      </c>
    </row>
    <row r="116" spans="2:12" x14ac:dyDescent="0.25">
      <c r="B116" s="114">
        <v>125</v>
      </c>
      <c r="C116" s="156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53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56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33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09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09">
        <f>SUMIFS(MainData[ExtendedPrice],MainData[BillID],BillingData[[#This Row],[BillID]],MainData[Billable?],"Y",MainData[Category],$J$6)</f>
        <v>0</v>
      </c>
      <c r="K116" s="109">
        <f>SUMIFS(MainData[ExtendedPrice],MainData[BillID],BillingData[[#This Row],[BillID]],MainData[Billable?],"Y",MainData[Category],$K$6)</f>
        <v>0</v>
      </c>
      <c r="L116" s="109">
        <f>SUM(BillingData[[#This Row],[Subtotal]:[Gratuity]])</f>
        <v>497.31999999999994</v>
      </c>
    </row>
    <row r="117" spans="2:12" x14ac:dyDescent="0.25">
      <c r="B117" s="114">
        <v>104</v>
      </c>
      <c r="C117" s="156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53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56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33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7" s="109">
        <f>SUMIFS(MainData[ExtendedPrice],MainData[BillID],BillingData[[#This Row],[BillID]],MainData[Billable?],"Y",MainData[Category],$J$6)</f>
        <v>0</v>
      </c>
      <c r="K117" s="109">
        <f>SUMIFS(MainData[ExtendedPrice],MainData[BillID],BillingData[[#This Row],[BillID]],MainData[Billable?],"Y",MainData[Category],$K$6)</f>
        <v>0</v>
      </c>
      <c r="L117" s="109">
        <f>SUM(BillingData[[#This Row],[Subtotal]:[Gratuity]])</f>
        <v>200</v>
      </c>
    </row>
    <row r="118" spans="2:12" x14ac:dyDescent="0.25">
      <c r="B118" s="114">
        <v>126</v>
      </c>
      <c r="C118" s="156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53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56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33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09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09">
        <f>SUMIFS(MainData[ExtendedPrice],MainData[BillID],BillingData[[#This Row],[BillID]],MainData[Billable?],"Y",MainData[Category],$J$6)</f>
        <v>0</v>
      </c>
      <c r="K118" s="109">
        <f>SUMIFS(MainData[ExtendedPrice],MainData[BillID],BillingData[[#This Row],[BillID]],MainData[Billable?],"Y",MainData[Category],$K$6)</f>
        <v>0</v>
      </c>
      <c r="L118" s="109">
        <f>SUM(BillingData[[#This Row],[Subtotal]:[Gratuity]])</f>
        <v>306.7</v>
      </c>
    </row>
    <row r="119" spans="2:12" x14ac:dyDescent="0.25">
      <c r="B119" s="114">
        <v>105</v>
      </c>
      <c r="C119" s="156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53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56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33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19" s="109">
        <f>SUMIFS(MainData[ExtendedPrice],MainData[BillID],BillingData[[#This Row],[BillID]],MainData[Billable?],"Y",MainData[Category],$J$6)</f>
        <v>0</v>
      </c>
      <c r="K119" s="109">
        <f>SUMIFS(MainData[ExtendedPrice],MainData[BillID],BillingData[[#This Row],[BillID]],MainData[Billable?],"Y",MainData[Category],$K$6)</f>
        <v>0</v>
      </c>
      <c r="L119" s="109">
        <f>SUM(BillingData[[#This Row],[Subtotal]:[Gratuity]])</f>
        <v>100</v>
      </c>
    </row>
    <row r="120" spans="2:12" x14ac:dyDescent="0.25">
      <c r="B120" s="114">
        <v>101</v>
      </c>
      <c r="C120" s="156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53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56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33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09">
        <f>SUMIFS(MainData[ExtendedPrice],MainData[BillID],BillingData[[#This Row],[BillID]],MainData[Billable?],"Y",MainData[Category],"&lt;&gt;"&amp;$J$6,MainData[Category],"&lt;&gt;"&amp;$K$6,MainData[Category],"&lt;&gt;" &amp; "Info")</f>
        <v>505</v>
      </c>
      <c r="J120" s="109">
        <f>SUMIFS(MainData[ExtendedPrice],MainData[BillID],BillingData[[#This Row],[BillID]],MainData[Billable?],"Y",MainData[Category],$J$6)</f>
        <v>0</v>
      </c>
      <c r="K120" s="109">
        <f>SUMIFS(MainData[ExtendedPrice],MainData[BillID],BillingData[[#This Row],[BillID]],MainData[Billable?],"Y",MainData[Category],$K$6)</f>
        <v>0</v>
      </c>
      <c r="L120" s="109">
        <f>SUM(BillingData[[#This Row],[Subtotal]:[Gratuity]])</f>
        <v>505</v>
      </c>
    </row>
    <row r="121" spans="2:12" x14ac:dyDescent="0.25">
      <c r="B121" s="114">
        <v>102</v>
      </c>
      <c r="C121" s="156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53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56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33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09">
        <f>SUMIFS(MainData[ExtendedPrice],MainData[BillID],BillingData[[#This Row],[BillID]],MainData[Billable?],"Y",MainData[Category],"&lt;&gt;"&amp;$J$6,MainData[Category],"&lt;&gt;"&amp;$K$6,MainData[Category],"&lt;&gt;" &amp; "Info")</f>
        <v>1075</v>
      </c>
      <c r="J121" s="109">
        <f>SUMIFS(MainData[ExtendedPrice],MainData[BillID],BillingData[[#This Row],[BillID]],MainData[Billable?],"Y",MainData[Category],$J$6)</f>
        <v>0</v>
      </c>
      <c r="K121" s="109">
        <f>SUMIFS(MainData[ExtendedPrice],MainData[BillID],BillingData[[#This Row],[BillID]],MainData[Billable?],"Y",MainData[Category],$K$6)</f>
        <v>0</v>
      </c>
      <c r="L121" s="109">
        <f>SUM(BillingData[[#This Row],[Subtotal]:[Gratuity]])</f>
        <v>1075</v>
      </c>
    </row>
    <row r="122" spans="2:12" x14ac:dyDescent="0.25">
      <c r="B122" s="114">
        <v>103</v>
      </c>
      <c r="C122" s="156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53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56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33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09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122" s="109">
        <f>SUMIFS(MainData[ExtendedPrice],MainData[BillID],BillingData[[#This Row],[BillID]],MainData[Billable?],"Y",MainData[Category],$J$6)</f>
        <v>0</v>
      </c>
      <c r="K122" s="109">
        <f>SUMIFS(MainData[ExtendedPrice],MainData[BillID],BillingData[[#This Row],[BillID]],MainData[Billable?],"Y",MainData[Category],$K$6)</f>
        <v>0</v>
      </c>
      <c r="L122" s="109">
        <f>SUM(BillingData[[#This Row],[Subtotal]:[Gratuity]])</f>
        <v>220</v>
      </c>
    </row>
    <row r="123" spans="2:12" x14ac:dyDescent="0.25">
      <c r="B123" s="114">
        <v>106</v>
      </c>
      <c r="C123" s="156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53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56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33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09">
        <f>SUMIFS(MainData[ExtendedPrice],MainData[BillID],BillingData[[#This Row],[BillID]],MainData[Billable?],"Y",MainData[Category],"&lt;&gt;"&amp;$J$6,MainData[Category],"&lt;&gt;"&amp;$K$6,MainData[Category],"&lt;&gt;" &amp; "Info")</f>
        <v>439</v>
      </c>
      <c r="J123" s="109">
        <f>SUMIFS(MainData[ExtendedPrice],MainData[BillID],BillingData[[#This Row],[BillID]],MainData[Billable?],"Y",MainData[Category],$J$6)</f>
        <v>0</v>
      </c>
      <c r="K123" s="109">
        <f>SUMIFS(MainData[ExtendedPrice],MainData[BillID],BillingData[[#This Row],[BillID]],MainData[Billable?],"Y",MainData[Category],$K$6)</f>
        <v>0</v>
      </c>
      <c r="L123" s="109">
        <f>SUM(BillingData[[#This Row],[Subtotal]:[Gratuity]])</f>
        <v>439</v>
      </c>
    </row>
    <row r="124" spans="2:12" x14ac:dyDescent="0.25">
      <c r="B124" s="114">
        <v>107</v>
      </c>
      <c r="C124" s="156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53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56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33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09">
        <f>SUMIFS(MainData[ExtendedPrice],MainData[BillID],BillingData[[#This Row],[BillID]],MainData[Billable?],"Y",MainData[Category],"&lt;&gt;"&amp;$J$6,MainData[Category],"&lt;&gt;"&amp;$K$6,MainData[Category],"&lt;&gt;" &amp; "Info")</f>
        <v>232</v>
      </c>
      <c r="J124" s="109">
        <f>SUMIFS(MainData[ExtendedPrice],MainData[BillID],BillingData[[#This Row],[BillID]],MainData[Billable?],"Y",MainData[Category],$J$6)</f>
        <v>0</v>
      </c>
      <c r="K124" s="109">
        <f>SUMIFS(MainData[ExtendedPrice],MainData[BillID],BillingData[[#This Row],[BillID]],MainData[Billable?],"Y",MainData[Category],$K$6)</f>
        <v>0</v>
      </c>
      <c r="L124" s="109">
        <f>SUM(BillingData[[#This Row],[Subtotal]:[Gratuity]])</f>
        <v>232</v>
      </c>
    </row>
    <row r="125" spans="2:12" x14ac:dyDescent="0.25">
      <c r="B125" s="114">
        <v>108</v>
      </c>
      <c r="C125" s="156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53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56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33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09">
        <f>SUMIFS(MainData[ExtendedPrice],MainData[BillID],BillingData[[#This Row],[BillID]],MainData[Billable?],"Y",MainData[Category],"&lt;&gt;"&amp;$J$6,MainData[Category],"&lt;&gt;"&amp;$K$6,MainData[Category],"&lt;&gt;" &amp; "Info")</f>
        <v>557</v>
      </c>
      <c r="J125" s="109">
        <f>SUMIFS(MainData[ExtendedPrice],MainData[BillID],BillingData[[#This Row],[BillID]],MainData[Billable?],"Y",MainData[Category],$J$6)</f>
        <v>0</v>
      </c>
      <c r="K125" s="109">
        <f>SUMIFS(MainData[ExtendedPrice],MainData[BillID],BillingData[[#This Row],[BillID]],MainData[Billable?],"Y",MainData[Category],$K$6)</f>
        <v>0</v>
      </c>
      <c r="L125" s="109">
        <f>SUM(BillingData[[#This Row],[Subtotal]:[Gratuity]])</f>
        <v>557</v>
      </c>
    </row>
    <row r="126" spans="2:12" x14ac:dyDescent="0.25">
      <c r="B126" s="114">
        <v>110</v>
      </c>
      <c r="C126" s="156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53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56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33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09">
        <f>SUMIFS(MainData[ExtendedPrice],MainData[BillID],BillingData[[#This Row],[BillID]],MainData[Billable?],"Y",MainData[Category],$J$6)</f>
        <v>0</v>
      </c>
      <c r="K126" s="109">
        <f>SUMIFS(MainData[ExtendedPrice],MainData[BillID],BillingData[[#This Row],[BillID]],MainData[Billable?],"Y",MainData[Category],$K$6)</f>
        <v>0</v>
      </c>
      <c r="L126" s="109">
        <f>SUM(BillingData[[#This Row],[Subtotal]:[Gratuity]])</f>
        <v>41</v>
      </c>
    </row>
    <row r="127" spans="2:12" x14ac:dyDescent="0.25">
      <c r="B127" s="114">
        <v>111</v>
      </c>
      <c r="C127" s="156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53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56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33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09">
        <f>SUMIFS(MainData[ExtendedPrice],MainData[BillID],BillingData[[#This Row],[BillID]],MainData[Billable?],"Y",MainData[Category],"&lt;&gt;"&amp;$J$6,MainData[Category],"&lt;&gt;"&amp;$K$6,MainData[Category],"&lt;&gt;" &amp; "Info")</f>
        <v>17493</v>
      </c>
      <c r="J127" s="109">
        <f>SUMIFS(MainData[ExtendedPrice],MainData[BillID],BillingData[[#This Row],[BillID]],MainData[Billable?],"Y",MainData[Category],$J$6)</f>
        <v>0</v>
      </c>
      <c r="K127" s="109">
        <f>SUMIFS(MainData[ExtendedPrice],MainData[BillID],BillingData[[#This Row],[BillID]],MainData[Billable?],"Y",MainData[Category],$K$6)</f>
        <v>0</v>
      </c>
      <c r="L127" s="109">
        <f>SUM(BillingData[[#This Row],[Subtotal]:[Gratuity]])</f>
        <v>17493</v>
      </c>
    </row>
    <row r="128" spans="2:12" x14ac:dyDescent="0.25">
      <c r="B128" s="114">
        <v>109</v>
      </c>
      <c r="C128" s="156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53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56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33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09">
        <f>SUMIFS(MainData[ExtendedPrice],MainData[BillID],BillingData[[#This Row],[BillID]],MainData[Billable?],"Y",MainData[Category],$J$6)</f>
        <v>0</v>
      </c>
      <c r="K128" s="109">
        <f>SUMIFS(MainData[ExtendedPrice],MainData[BillID],BillingData[[#This Row],[BillID]],MainData[Billable?],"Y",MainData[Category],$K$6)</f>
        <v>0</v>
      </c>
      <c r="L128" s="109">
        <f>SUM(BillingData[[#This Row],[Subtotal]:[Gratuity]])</f>
        <v>41</v>
      </c>
    </row>
    <row r="129" spans="2:12" x14ac:dyDescent="0.25">
      <c r="B129" s="114">
        <v>112</v>
      </c>
      <c r="C129" s="156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53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56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33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09">
        <f>SUMIFS(MainData[ExtendedPrice],MainData[BillID],BillingData[[#This Row],[BillID]],MainData[Billable?],"Y",MainData[Category],$J$6)</f>
        <v>0</v>
      </c>
      <c r="K129" s="109">
        <f>SUMIFS(MainData[ExtendedPrice],MainData[BillID],BillingData[[#This Row],[BillID]],MainData[Billable?],"Y",MainData[Category],$K$6)</f>
        <v>0</v>
      </c>
      <c r="L129" s="109">
        <f>SUM(BillingData[[#This Row],[Subtotal]:[Gratuity]])</f>
        <v>100</v>
      </c>
    </row>
    <row r="130" spans="2:12" x14ac:dyDescent="0.25">
      <c r="B130" s="114">
        <v>114</v>
      </c>
      <c r="C130" s="156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53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56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33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09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09">
        <f>SUMIFS(MainData[ExtendedPrice],MainData[BillID],BillingData[[#This Row],[BillID]],MainData[Billable?],"Y",MainData[Category],$J$6)</f>
        <v>0</v>
      </c>
      <c r="K130" s="109">
        <f>SUMIFS(MainData[ExtendedPrice],MainData[BillID],BillingData[[#This Row],[BillID]],MainData[Billable?],"Y",MainData[Category],$K$6)</f>
        <v>0</v>
      </c>
      <c r="L130" s="109">
        <f>SUM(BillingData[[#This Row],[Subtotal]:[Gratuity]])</f>
        <v>400</v>
      </c>
    </row>
    <row r="131" spans="2:12" x14ac:dyDescent="0.25">
      <c r="B131" s="114">
        <v>113</v>
      </c>
      <c r="C131" s="156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53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56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33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09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09">
        <f>SUMIFS(MainData[ExtendedPrice],MainData[BillID],BillingData[[#This Row],[BillID]],MainData[Billable?],"Y",MainData[Category],$J$6)</f>
        <v>36</v>
      </c>
      <c r="K131" s="109">
        <f>SUMIFS(MainData[ExtendedPrice],MainData[BillID],BillingData[[#This Row],[BillID]],MainData[Billable?],"Y",MainData[Category],$K$6)</f>
        <v>48</v>
      </c>
      <c r="L131" s="109">
        <f>SUM(BillingData[[#This Row],[Subtotal]:[Gratuity]])</f>
        <v>8484</v>
      </c>
    </row>
    <row r="132" spans="2:12" x14ac:dyDescent="0.25">
      <c r="B132" s="114">
        <v>115</v>
      </c>
      <c r="C132" s="156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53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56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33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09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09">
        <f>SUMIFS(MainData[ExtendedPrice],MainData[BillID],BillingData[[#This Row],[BillID]],MainData[Billable?],"Y",MainData[Category],$J$6)</f>
        <v>0</v>
      </c>
      <c r="K132" s="109">
        <f>SUMIFS(MainData[ExtendedPrice],MainData[BillID],BillingData[[#This Row],[BillID]],MainData[Billable?],"Y",MainData[Category],$K$6)</f>
        <v>0</v>
      </c>
      <c r="L132" s="109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5" r:id="rId4" name="ManualEditButton">
          <controlPr defaultSize="0" print="0" autoLine="0" r:id="rId5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4" name="ManualEdit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8" r:id="rId8" name="RefreshDataButton">
          <controlPr defaultSize="0" print="0" autoLine="0" r:id="rId9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8" name="RefreshData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workbookViewId="0">
      <pane ySplit="7" topLeftCell="A8" activePane="bottomLeft" state="frozen"/>
      <selection pane="bottomLeft" activeCell="AC8" sqref="AC8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Revenue'!C1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16" t="str">
        <f>Transactions!U1</f>
        <v/>
      </c>
      <c r="AH1" s="216"/>
    </row>
    <row r="2" spans="2:34" ht="15.75" x14ac:dyDescent="0.25">
      <c r="C2" s="1" t="s">
        <v>114</v>
      </c>
      <c r="D2" s="1"/>
      <c r="AC2" s="10" t="str">
        <f>"To:  " &amp; TEXT(SUBTOTAL(104,BeverageCost[Date]),"mmmm dd, yyyy")</f>
        <v>To:  February 28, 2022</v>
      </c>
      <c r="AG2" s="216"/>
      <c r="AH2" s="216"/>
    </row>
    <row r="3" spans="2:34" x14ac:dyDescent="0.25">
      <c r="C3" s="199">
        <f>Transactions!$B$3</f>
        <v>44887.394606481481</v>
      </c>
      <c r="D3" s="199"/>
      <c r="E3" s="199"/>
      <c r="F3" s="199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AC3" s="79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64"/>
      <c r="C4" s="64"/>
      <c r="D4" s="64"/>
      <c r="E4" s="64"/>
      <c r="F4" s="64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AC4" s="79"/>
    </row>
    <row r="5" spans="2:34" x14ac:dyDescent="0.25">
      <c r="C5" s="63" t="str">
        <f>IF(AC3="(Filtered)","Subtotals:","Totals:")</f>
        <v>Totals:</v>
      </c>
      <c r="H5" s="80">
        <f>SUBTOTAL(109,BeverageCost[Liquor])</f>
        <v>201963.12999999998</v>
      </c>
      <c r="I5" s="80">
        <f>SUBTOTAL(109,BeverageCost[Wine])</f>
        <v>165885.79250000004</v>
      </c>
      <c r="J5" s="80">
        <f>SUBTOTAL(109,BeverageCost[Beer])</f>
        <v>165197.43</v>
      </c>
      <c r="K5" s="80">
        <f>SUBTOTAL(109,BeverageCost[Other])</f>
        <v>33902.479999999996</v>
      </c>
      <c r="L5" s="80">
        <f>SUBTOTAL(109,BeverageCost[Total])</f>
        <v>566948.83250000002</v>
      </c>
      <c r="M5" s="80">
        <f>SUBTOTAL(109,BeverageCost[$Liq])</f>
        <v>21996.239999999998</v>
      </c>
      <c r="N5" s="80">
        <f>SUBTOTAL(109,BeverageCost[$Wine])</f>
        <v>18150.890000000007</v>
      </c>
      <c r="O5" s="80">
        <f>SUBTOTAL(109,BeverageCost[$Beer])</f>
        <v>15126.54</v>
      </c>
      <c r="P5" s="80">
        <f>SUBTOTAL(109,BeverageCost[$Other])</f>
        <v>2024.48</v>
      </c>
      <c r="Q5" s="80">
        <f>SUBTOTAL(109,BeverageCost[$Total])</f>
        <v>57298.149999999987</v>
      </c>
      <c r="R5" s="81">
        <f>IFERROR(M5/H5,0)</f>
        <v>0.10891215639210979</v>
      </c>
      <c r="S5" s="81"/>
      <c r="T5" s="81">
        <f>IFERROR(N5/I5,0)</f>
        <v>0.10941799009098385</v>
      </c>
      <c r="U5" s="81"/>
      <c r="V5" s="81">
        <f>IFERROR(O5/J5,0)</f>
        <v>9.1566436596501544E-2</v>
      </c>
      <c r="W5" s="81"/>
      <c r="X5" s="81">
        <f>IFERROR(P5/K5,0)</f>
        <v>5.9714805524551606E-2</v>
      </c>
      <c r="Y5" s="81"/>
      <c r="Z5" s="81">
        <f>IFERROR(Q5/L5,0)</f>
        <v>0.1010640585453538</v>
      </c>
      <c r="AA5" s="81"/>
      <c r="AB5" s="82">
        <f>IFERROR(SUBTOTAL(109,BeverageCost[Impact])/SUM(BeverageCost[Impact]),0)</f>
        <v>1</v>
      </c>
      <c r="AG5" s="10"/>
    </row>
    <row r="6" spans="2:34" x14ac:dyDescent="0.25">
      <c r="B6" s="66" t="s">
        <v>67</v>
      </c>
      <c r="C6" s="67"/>
      <c r="D6" s="67"/>
      <c r="E6" s="67"/>
      <c r="F6" s="67"/>
      <c r="G6" s="68"/>
      <c r="H6" s="212" t="s">
        <v>68</v>
      </c>
      <c r="I6" s="213"/>
      <c r="J6" s="213"/>
      <c r="K6" s="213"/>
      <c r="L6" s="214"/>
      <c r="M6" s="215" t="s">
        <v>71</v>
      </c>
      <c r="N6" s="213"/>
      <c r="O6" s="213"/>
      <c r="P6" s="213"/>
      <c r="Q6" s="214"/>
      <c r="R6" s="215" t="s">
        <v>70</v>
      </c>
      <c r="S6" s="213"/>
      <c r="T6" s="213"/>
      <c r="U6" s="213"/>
      <c r="V6" s="213"/>
      <c r="W6" s="213"/>
      <c r="X6" s="213"/>
      <c r="Y6" s="213"/>
      <c r="Z6" s="213"/>
      <c r="AA6" s="213"/>
      <c r="AB6" s="214"/>
      <c r="AC6" s="8"/>
      <c r="AG6" s="10"/>
    </row>
    <row r="7" spans="2:34" x14ac:dyDescent="0.25">
      <c r="B7" s="70" t="s">
        <v>112</v>
      </c>
      <c r="C7" s="69" t="s">
        <v>0</v>
      </c>
      <c r="D7" s="70" t="s">
        <v>82</v>
      </c>
      <c r="E7" s="70" t="s">
        <v>81</v>
      </c>
      <c r="F7" s="70" t="s">
        <v>18</v>
      </c>
      <c r="G7" s="71" t="s">
        <v>19</v>
      </c>
      <c r="H7" s="72" t="s">
        <v>36</v>
      </c>
      <c r="I7" s="73" t="s">
        <v>25</v>
      </c>
      <c r="J7" s="73" t="s">
        <v>35</v>
      </c>
      <c r="K7" s="74" t="s">
        <v>24</v>
      </c>
      <c r="L7" s="73" t="s">
        <v>93</v>
      </c>
      <c r="M7" s="75" t="s">
        <v>94</v>
      </c>
      <c r="N7" s="73" t="s">
        <v>95</v>
      </c>
      <c r="O7" s="73" t="s">
        <v>96</v>
      </c>
      <c r="P7" s="73" t="s">
        <v>97</v>
      </c>
      <c r="Q7" s="76" t="s">
        <v>98</v>
      </c>
      <c r="R7" s="75" t="s">
        <v>99</v>
      </c>
      <c r="S7" s="73" t="s">
        <v>74</v>
      </c>
      <c r="T7" s="73" t="s">
        <v>100</v>
      </c>
      <c r="U7" s="73" t="s">
        <v>73</v>
      </c>
      <c r="V7" s="73" t="s">
        <v>101</v>
      </c>
      <c r="W7" s="73" t="s">
        <v>72</v>
      </c>
      <c r="X7" s="73" t="s">
        <v>102</v>
      </c>
      <c r="Y7" s="73" t="s">
        <v>76</v>
      </c>
      <c r="Z7" s="73" t="s">
        <v>103</v>
      </c>
      <c r="AA7" s="73" t="s">
        <v>75</v>
      </c>
      <c r="AB7" s="76" t="s">
        <v>3</v>
      </c>
      <c r="AC7" s="2" t="s">
        <v>17</v>
      </c>
      <c r="AE7" t="s">
        <v>512</v>
      </c>
      <c r="AG7" s="10"/>
      <c r="AH7" s="10"/>
    </row>
    <row r="8" spans="2:34" x14ac:dyDescent="0.25">
      <c r="B8" s="114">
        <v>1</v>
      </c>
      <c r="C8" s="154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55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55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08">
        <f>SUMIFS(MainData[ExtendedPrice],MainData[BillID],BeverageCost[[#This Row],[BillID]],MainData[Billable?],"Y",MainData[Category],"Beverage",MainData[Product],H$7)</f>
        <v>0</v>
      </c>
      <c r="I8" s="109">
        <f>SUMIFS(MainData[ExtendedPrice],MainData[BillID],BeverageCost[[#This Row],[BillID]],MainData[Billable?],"Y",MainData[Category],"Beverage",MainData[Product],I$7)</f>
        <v>594.54999999999995</v>
      </c>
      <c r="J8" s="109">
        <f>SUMIFS(MainData[ExtendedPrice],MainData[BillID],BeverageCost[[#This Row],[BillID]],MainData[Billable?],"Y",MainData[Category],"Beverage",MainData[Product],J$7)</f>
        <v>475.64</v>
      </c>
      <c r="K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0">
        <f>SUMIFS(MainData[ExtendedCost],MainData[BillID],BeverageCost[[#This Row],[BillID]],MainData[Billable?],"Y",MainData[Category],"Beverage",MainData[Product],H$7)</f>
        <v>0</v>
      </c>
      <c r="N8" s="109">
        <f>SUMIFS(MainData[ExtendedCost],MainData[BillID],BeverageCost[[#This Row],[BillID]],MainData[Billable?],"Y",MainData[Category],"Beverage",MainData[Product],I$7)</f>
        <v>54.88</v>
      </c>
      <c r="O8" s="109">
        <f>SUMIFS(MainData[ExtendedCost],MainData[BillID],BeverageCost[[#This Row],[BillID]],MainData[Billable?],"Y",MainData[Category],"Beverage",MainData[Product],J$7)</f>
        <v>43.91</v>
      </c>
      <c r="P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11">
        <f>IFERROR(BeverageCost[[#This Row],[$Liq]]/BeverageCost[[#This Row],[Liquor]],0)</f>
        <v>0</v>
      </c>
      <c r="S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" s="112">
        <f>IFERROR(BeverageCost[[#This Row],[$Wine]]/BeverageCost[[#This Row],[Wine]],0)</f>
        <v>9.230510470103441E-2</v>
      </c>
      <c r="U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" s="112">
        <f>IFERROR(BeverageCost[[#This Row],[$Beer]]/BeverageCost[[#This Row],[Beer]],0)</f>
        <v>9.2317719283491709E-2</v>
      </c>
      <c r="W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" s="112">
        <f>IFERROR(BeverageCost[[#This Row],[$Other]]/BeverageCost[[#This Row],[Other]],0)</f>
        <v>9.2254646371205118E-2</v>
      </c>
      <c r="Y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" s="77">
        <f>IFERROR(BeverageCost[[#This Row],[$Total]]/BeverageCost[[#This Row],[Total]],0)</f>
        <v>9.2305104701034382E-2</v>
      </c>
      <c r="AA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" s="78">
        <f>IFERROR(BeverageCost[[#This Row],[$Total]]/$Q$5,0)</f>
        <v>1.9155941334929665E-3</v>
      </c>
      <c r="AC8" s="113"/>
    </row>
    <row r="9" spans="2:34" x14ac:dyDescent="0.25">
      <c r="B9" s="114">
        <v>2</v>
      </c>
      <c r="C9" s="154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55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55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08">
        <f>SUMIFS(MainData[ExtendedPrice],MainData[BillID],BeverageCost[[#This Row],[BillID]],MainData[Billable?],"Y",MainData[Category],"Beverage",MainData[Product],H$7)</f>
        <v>16427.189999999999</v>
      </c>
      <c r="I9" s="109">
        <f>SUMIFS(MainData[ExtendedPrice],MainData[BillID],BeverageCost[[#This Row],[BillID]],MainData[Billable?],"Y",MainData[Category],"Beverage",MainData[Product],I$7)</f>
        <v>12078.8125</v>
      </c>
      <c r="J9" s="109">
        <f>SUMIFS(MainData[ExtendedPrice],MainData[BillID],BeverageCost[[#This Row],[BillID]],MainData[Billable?],"Y",MainData[Category],"Beverage",MainData[Product],J$7)</f>
        <v>15550</v>
      </c>
      <c r="K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0">
        <f>SUMIFS(MainData[ExtendedCost],MainData[BillID],BeverageCost[[#This Row],[BillID]],MainData[Billable?],"Y",MainData[Category],"Beverage",MainData[Product],H$7)</f>
        <v>1591.62</v>
      </c>
      <c r="N9" s="109">
        <f>SUMIFS(MainData[ExtendedCost],MainData[BillID],BeverageCost[[#This Row],[BillID]],MainData[Billable?],"Y",MainData[Category],"Beverage",MainData[Product],I$7)</f>
        <v>1170.31</v>
      </c>
      <c r="O9" s="109">
        <f>SUMIFS(MainData[ExtendedCost],MainData[BillID],BeverageCost[[#This Row],[BillID]],MainData[Billable?],"Y",MainData[Category],"Beverage",MainData[Product],J$7)</f>
        <v>1501</v>
      </c>
      <c r="P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11">
        <f>IFERROR(BeverageCost[[#This Row],[$Liq]]/BeverageCost[[#This Row],[Liquor]],0)</f>
        <v>9.6889364523086427E-2</v>
      </c>
      <c r="S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" s="112">
        <f>IFERROR(BeverageCost[[#This Row],[$Wine]]/BeverageCost[[#This Row],[Wine]],0)</f>
        <v>9.6889491413166648E-2</v>
      </c>
      <c r="U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" s="112">
        <f>IFERROR(BeverageCost[[#This Row],[$Beer]]/BeverageCost[[#This Row],[Beer]],0)</f>
        <v>9.6527331189710616E-2</v>
      </c>
      <c r="W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" s="112">
        <f>IFERROR(BeverageCost[[#This Row],[$Other]]/BeverageCost[[#This Row],[Other]],0)</f>
        <v>9.8214474379292122E-2</v>
      </c>
      <c r="Y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" s="77">
        <f>IFERROR(BeverageCost[[#This Row],[$Total]]/BeverageCost[[#This Row],[Total]],0)</f>
        <v>9.6889693373743618E-2</v>
      </c>
      <c r="AA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" s="78">
        <f>IFERROR(BeverageCost[[#This Row],[$Total]]/$Q$5,0)</f>
        <v>8.169984545748861E-2</v>
      </c>
      <c r="AC9" s="113"/>
      <c r="AG9" s="13"/>
      <c r="AH9" s="14"/>
    </row>
    <row r="10" spans="2:34" x14ac:dyDescent="0.25">
      <c r="B10" s="114">
        <v>3</v>
      </c>
      <c r="C10" s="154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55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55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08">
        <f>SUMIFS(MainData[ExtendedPrice],MainData[BillID],BeverageCost[[#This Row],[BillID]],MainData[Billable?],"Y",MainData[Category],"Beverage",MainData[Product],H$7)</f>
        <v>0</v>
      </c>
      <c r="I10" s="109">
        <f>SUMIFS(MainData[ExtendedPrice],MainData[BillID],BeverageCost[[#This Row],[BillID]],MainData[Billable?],"Y",MainData[Category],"Beverage",MainData[Product],I$7)</f>
        <v>4273.5</v>
      </c>
      <c r="J10" s="109">
        <f>SUMIFS(MainData[ExtendedPrice],MainData[BillID],BeverageCost[[#This Row],[BillID]],MainData[Billable?],"Y",MainData[Category],"Beverage",MainData[Product],J$7)</f>
        <v>6715.5</v>
      </c>
      <c r="K1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0">
        <f>SUMIFS(MainData[ExtendedCost],MainData[BillID],BeverageCost[[#This Row],[BillID]],MainData[Billable?],"Y",MainData[Category],"Beverage",MainData[Product],H$7)</f>
        <v>0</v>
      </c>
      <c r="N10" s="109">
        <f>SUMIFS(MainData[ExtendedCost],MainData[BillID],BeverageCost[[#This Row],[BillID]],MainData[Billable?],"Y",MainData[Category],"Beverage",MainData[Product],I$7)</f>
        <v>386.75</v>
      </c>
      <c r="O10" s="109">
        <f>SUMIFS(MainData[ExtendedCost],MainData[BillID],BeverageCost[[#This Row],[BillID]],MainData[Billable?],"Y",MainData[Category],"Beverage",MainData[Product],J$7)</f>
        <v>607.78</v>
      </c>
      <c r="P1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11">
        <f>IFERROR(BeverageCost[[#This Row],[$Liq]]/BeverageCost[[#This Row],[Liquor]],0)</f>
        <v>0</v>
      </c>
      <c r="S1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" s="112">
        <f>IFERROR(BeverageCost[[#This Row],[$Wine]]/BeverageCost[[#This Row],[Wine]],0)</f>
        <v>9.0499590499590499E-2</v>
      </c>
      <c r="U1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" s="112">
        <f>IFERROR(BeverageCost[[#This Row],[$Beer]]/BeverageCost[[#This Row],[Beer]],0)</f>
        <v>9.0504057776785052E-2</v>
      </c>
      <c r="W1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" s="112">
        <f>IFERROR(BeverageCost[[#This Row],[$Other]]/BeverageCost[[#This Row],[Other]],0)</f>
        <v>9.0491400491400489E-2</v>
      </c>
      <c r="Y1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" s="77">
        <f>IFERROR(BeverageCost[[#This Row],[$Total]]/BeverageCost[[#This Row],[Total]],0)</f>
        <v>9.0501228501228506E-2</v>
      </c>
      <c r="AA1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" s="78">
        <f>IFERROR(BeverageCost[[#This Row],[$Total]]/$Q$5,0)</f>
        <v>1.9285439407729574E-2</v>
      </c>
      <c r="AC10" s="113"/>
      <c r="AG10" s="13"/>
      <c r="AH10" s="14"/>
    </row>
    <row r="11" spans="2:34" x14ac:dyDescent="0.25">
      <c r="B11" s="114">
        <v>4</v>
      </c>
      <c r="C11" s="154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55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55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08">
        <f>SUMIFS(MainData[ExtendedPrice],MainData[BillID],BeverageCost[[#This Row],[BillID]],MainData[Billable?],"Y",MainData[Category],"Beverage",MainData[Product],H$7)</f>
        <v>350</v>
      </c>
      <c r="I11" s="109">
        <f>SUMIFS(MainData[ExtendedPrice],MainData[BillID],BeverageCost[[#This Row],[BillID]],MainData[Billable?],"Y",MainData[Category],"Beverage",MainData[Product],I$7)</f>
        <v>175</v>
      </c>
      <c r="J11" s="109">
        <f>SUMIFS(MainData[ExtendedPrice],MainData[BillID],BeverageCost[[#This Row],[BillID]],MainData[Billable?],"Y",MainData[Category],"Beverage",MainData[Product],J$7)</f>
        <v>150</v>
      </c>
      <c r="K1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0">
        <f>SUMIFS(MainData[ExtendedCost],MainData[BillID],BeverageCost[[#This Row],[BillID]],MainData[Billable?],"Y",MainData[Category],"Beverage",MainData[Product],H$7)</f>
        <v>30.2</v>
      </c>
      <c r="N11" s="109">
        <f>SUMIFS(MainData[ExtendedCost],MainData[BillID],BeverageCost[[#This Row],[BillID]],MainData[Billable?],"Y",MainData[Category],"Beverage",MainData[Product],I$7)</f>
        <v>15</v>
      </c>
      <c r="O11" s="109">
        <f>SUMIFS(MainData[ExtendedCost],MainData[BillID],BeverageCost[[#This Row],[BillID]],MainData[Billable?],"Y",MainData[Category],"Beverage",MainData[Product],J$7)</f>
        <v>16</v>
      </c>
      <c r="P1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11">
        <f>IFERROR(BeverageCost[[#This Row],[$Liq]]/BeverageCost[[#This Row],[Liquor]],0)</f>
        <v>8.6285714285714285E-2</v>
      </c>
      <c r="S1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" s="112">
        <f>IFERROR(BeverageCost[[#This Row],[$Wine]]/BeverageCost[[#This Row],[Wine]],0)</f>
        <v>8.5714285714285715E-2</v>
      </c>
      <c r="U1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" s="112">
        <f>IFERROR(BeverageCost[[#This Row],[$Beer]]/BeverageCost[[#This Row],[Beer]],0)</f>
        <v>0.10666666666666667</v>
      </c>
      <c r="W1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" s="112">
        <f>IFERROR(BeverageCost[[#This Row],[$Other]]/BeverageCost[[#This Row],[Other]],0)</f>
        <v>0.20689655172413793</v>
      </c>
      <c r="Y1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" s="77">
        <f>IFERROR(BeverageCost[[#This Row],[$Total]]/BeverageCost[[#This Row],[Total]],0)</f>
        <v>9.5454545454545459E-2</v>
      </c>
      <c r="AA1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" s="78">
        <f>IFERROR(BeverageCost[[#This Row],[$Total]]/$Q$5,0)</f>
        <v>1.1728127347916122E-3</v>
      </c>
      <c r="AC11" s="113"/>
      <c r="AG11" s="13"/>
      <c r="AH11" s="14"/>
    </row>
    <row r="12" spans="2:34" x14ac:dyDescent="0.25">
      <c r="B12" s="114">
        <v>5</v>
      </c>
      <c r="C12" s="154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55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55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08">
        <f>SUMIFS(MainData[ExtendedPrice],MainData[BillID],BeverageCost[[#This Row],[BillID]],MainData[Billable?],"Y",MainData[Category],"Beverage",MainData[Product],H$7)</f>
        <v>0</v>
      </c>
      <c r="I12" s="109">
        <f>SUMIFS(MainData[ExtendedPrice],MainData[BillID],BeverageCost[[#This Row],[BillID]],MainData[Billable?],"Y",MainData[Category],"Beverage",MainData[Product],I$7)</f>
        <v>41</v>
      </c>
      <c r="J12" s="109">
        <f>SUMIFS(MainData[ExtendedPrice],MainData[BillID],BeverageCost[[#This Row],[BillID]],MainData[Billable?],"Y",MainData[Category],"Beverage",MainData[Product],J$7)</f>
        <v>0</v>
      </c>
      <c r="K1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0">
        <f>SUMIFS(MainData[ExtendedCost],MainData[BillID],BeverageCost[[#This Row],[BillID]],MainData[Billable?],"Y",MainData[Category],"Beverage",MainData[Product],H$7)</f>
        <v>0</v>
      </c>
      <c r="N12" s="109">
        <f>SUMIFS(MainData[ExtendedCost],MainData[BillID],BeverageCost[[#This Row],[BillID]],MainData[Billable?],"Y",MainData[Category],"Beverage",MainData[Product],I$7)</f>
        <v>11.5</v>
      </c>
      <c r="O12" s="109">
        <f>SUMIFS(MainData[ExtendedCost],MainData[BillID],BeverageCost[[#This Row],[BillID]],MainData[Billable?],"Y",MainData[Category],"Beverage",MainData[Product],J$7)</f>
        <v>0</v>
      </c>
      <c r="P1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11">
        <f>IFERROR(BeverageCost[[#This Row],[$Liq]]/BeverageCost[[#This Row],[Liquor]],0)</f>
        <v>0</v>
      </c>
      <c r="S1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" s="112">
        <f>IFERROR(BeverageCost[[#This Row],[$Wine]]/BeverageCost[[#This Row],[Wine]],0)</f>
        <v>0.28048780487804881</v>
      </c>
      <c r="U1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" s="112">
        <f>IFERROR(BeverageCost[[#This Row],[$Beer]]/BeverageCost[[#This Row],[Beer]],0)</f>
        <v>0</v>
      </c>
      <c r="W1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" s="112">
        <f>IFERROR(BeverageCost[[#This Row],[$Other]]/BeverageCost[[#This Row],[Other]],0)</f>
        <v>0</v>
      </c>
      <c r="Y1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" s="77">
        <f>IFERROR(BeverageCost[[#This Row],[$Total]]/BeverageCost[[#This Row],[Total]],0)</f>
        <v>0.28048780487804881</v>
      </c>
      <c r="AA1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" s="78">
        <f>IFERROR(BeverageCost[[#This Row],[$Total]]/$Q$5,0)</f>
        <v>2.0070456026939791E-4</v>
      </c>
      <c r="AC12" s="113" t="s">
        <v>6</v>
      </c>
      <c r="AG12" s="13"/>
      <c r="AH12" s="14"/>
    </row>
    <row r="13" spans="2:34" x14ac:dyDescent="0.25">
      <c r="B13" s="114">
        <v>7</v>
      </c>
      <c r="C13" s="154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55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55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08">
        <f>SUMIFS(MainData[ExtendedPrice],MainData[BillID],BeverageCost[[#This Row],[BillID]],MainData[Billable?],"Y",MainData[Category],"Beverage",MainData[Product],H$7)</f>
        <v>68.48</v>
      </c>
      <c r="I13" s="109">
        <f>SUMIFS(MainData[ExtendedPrice],MainData[BillID],BeverageCost[[#This Row],[BillID]],MainData[Billable?],"Y",MainData[Category],"Beverage",MainData[Product],I$7)</f>
        <v>0</v>
      </c>
      <c r="J13" s="109">
        <f>SUMIFS(MainData[ExtendedPrice],MainData[BillID],BeverageCost[[#This Row],[BillID]],MainData[Billable?],"Y",MainData[Category],"Beverage",MainData[Product],J$7)</f>
        <v>0</v>
      </c>
      <c r="K1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0">
        <f>SUMIFS(MainData[ExtendedCost],MainData[BillID],BeverageCost[[#This Row],[BillID]],MainData[Billable?],"Y",MainData[Category],"Beverage",MainData[Product],H$7)</f>
        <v>6.8</v>
      </c>
      <c r="N13" s="109">
        <f>SUMIFS(MainData[ExtendedCost],MainData[BillID],BeverageCost[[#This Row],[BillID]],MainData[Billable?],"Y",MainData[Category],"Beverage",MainData[Product],I$7)</f>
        <v>0</v>
      </c>
      <c r="O13" s="109">
        <f>SUMIFS(MainData[ExtendedCost],MainData[BillID],BeverageCost[[#This Row],[BillID]],MainData[Billable?],"Y",MainData[Category],"Beverage",MainData[Product],J$7)</f>
        <v>0</v>
      </c>
      <c r="P1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11">
        <f>IFERROR(BeverageCost[[#This Row],[$Liq]]/BeverageCost[[#This Row],[Liquor]],0)</f>
        <v>9.9299065420560745E-2</v>
      </c>
      <c r="S1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" s="112">
        <f>IFERROR(BeverageCost[[#This Row],[$Wine]]/BeverageCost[[#This Row],[Wine]],0)</f>
        <v>0</v>
      </c>
      <c r="U1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" s="112">
        <f>IFERROR(BeverageCost[[#This Row],[$Beer]]/BeverageCost[[#This Row],[Beer]],0)</f>
        <v>0</v>
      </c>
      <c r="W1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" s="112">
        <f>IFERROR(BeverageCost[[#This Row],[$Other]]/BeverageCost[[#This Row],[Other]],0)</f>
        <v>0</v>
      </c>
      <c r="Y1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" s="77">
        <f>IFERROR(BeverageCost[[#This Row],[$Total]]/BeverageCost[[#This Row],[Total]],0)</f>
        <v>9.9299065420560745E-2</v>
      </c>
      <c r="AA1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" s="78">
        <f>IFERROR(BeverageCost[[#This Row],[$Total]]/$Q$5,0)</f>
        <v>1.186774791158179E-4</v>
      </c>
      <c r="AC13" s="113"/>
      <c r="AG13" s="13"/>
      <c r="AH13" s="14"/>
    </row>
    <row r="14" spans="2:34" x14ac:dyDescent="0.25">
      <c r="B14" s="114">
        <v>6</v>
      </c>
      <c r="C14" s="154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55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55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08">
        <f>SUMIFS(MainData[ExtendedPrice],MainData[BillID],BeverageCost[[#This Row],[BillID]],MainData[Billable?],"Y",MainData[Category],"Beverage",MainData[Product],H$7)</f>
        <v>0</v>
      </c>
      <c r="I14" s="109">
        <f>SUMIFS(MainData[ExtendedPrice],MainData[BillID],BeverageCost[[#This Row],[BillID]],MainData[Billable?],"Y",MainData[Category],"Beverage",MainData[Product],I$7)</f>
        <v>253.8</v>
      </c>
      <c r="J14" s="109">
        <f>SUMIFS(MainData[ExtendedPrice],MainData[BillID],BeverageCost[[#This Row],[BillID]],MainData[Billable?],"Y",MainData[Category],"Beverage",MainData[Product],J$7)</f>
        <v>282</v>
      </c>
      <c r="K1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0">
        <f>SUMIFS(MainData[ExtendedCost],MainData[BillID],BeverageCost[[#This Row],[BillID]],MainData[Billable?],"Y",MainData[Category],"Beverage",MainData[Product],H$7)</f>
        <v>0</v>
      </c>
      <c r="N14" s="109">
        <f>SUMIFS(MainData[ExtendedCost],MainData[BillID],BeverageCost[[#This Row],[BillID]],MainData[Billable?],"Y",MainData[Category],"Beverage",MainData[Product],I$7)</f>
        <v>19.37</v>
      </c>
      <c r="O14" s="109">
        <f>SUMIFS(MainData[ExtendedCost],MainData[BillID],BeverageCost[[#This Row],[BillID]],MainData[Billable?],"Y",MainData[Category],"Beverage",MainData[Product],J$7)</f>
        <v>21.53</v>
      </c>
      <c r="P1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11">
        <f>IFERROR(BeverageCost[[#This Row],[$Liq]]/BeverageCost[[#This Row],[Liquor]],0)</f>
        <v>0</v>
      </c>
      <c r="S1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4" s="112">
        <f>IFERROR(BeverageCost[[#This Row],[$Wine]]/BeverageCost[[#This Row],[Wine]],0)</f>
        <v>7.631993695823483E-2</v>
      </c>
      <c r="U1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4" s="112">
        <f>IFERROR(BeverageCost[[#This Row],[$Beer]]/BeverageCost[[#This Row],[Beer]],0)</f>
        <v>7.6347517730496459E-2</v>
      </c>
      <c r="W1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4" s="112">
        <f>IFERROR(BeverageCost[[#This Row],[$Other]]/BeverageCost[[#This Row],[Other]],0)</f>
        <v>7.6595744680851077E-2</v>
      </c>
      <c r="Y1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4" s="77">
        <f>IFERROR(BeverageCost[[#This Row],[$Total]]/BeverageCost[[#This Row],[Total]],0)</f>
        <v>7.6347517730496459E-2</v>
      </c>
      <c r="AA1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4" s="78">
        <f>IFERROR(BeverageCost[[#This Row],[$Total]]/$Q$5,0)</f>
        <v>7.5150768393045871E-4</v>
      </c>
      <c r="AC14" s="113"/>
      <c r="AG14" s="13"/>
      <c r="AH14" s="14"/>
    </row>
    <row r="15" spans="2:34" x14ac:dyDescent="0.25">
      <c r="B15" s="114">
        <v>8</v>
      </c>
      <c r="C15" s="154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55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55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08">
        <f>SUMIFS(MainData[ExtendedPrice],MainData[BillID],BeverageCost[[#This Row],[BillID]],MainData[Billable?],"Y",MainData[Category],"Beverage",MainData[Product],H$7)</f>
        <v>7642</v>
      </c>
      <c r="I15" s="109">
        <f>SUMIFS(MainData[ExtendedPrice],MainData[BillID],BeverageCost[[#This Row],[BillID]],MainData[Billable?],"Y",MainData[Category],"Beverage",MainData[Product],I$7)</f>
        <v>3821</v>
      </c>
      <c r="J15" s="109">
        <f>SUMIFS(MainData[ExtendedPrice],MainData[BillID],BeverageCost[[#This Row],[BillID]],MainData[Billable?],"Y",MainData[Category],"Beverage",MainData[Product],J$7)</f>
        <v>3600</v>
      </c>
      <c r="K1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0">
        <f>SUMIFS(MainData[ExtendedCost],MainData[BillID],BeverageCost[[#This Row],[BillID]],MainData[Billable?],"Y",MainData[Category],"Beverage",MainData[Product],H$7)</f>
        <v>673.1</v>
      </c>
      <c r="N15" s="109">
        <f>SUMIFS(MainData[ExtendedCost],MainData[BillID],BeverageCost[[#This Row],[BillID]],MainData[Billable?],"Y",MainData[Category],"Beverage",MainData[Product],I$7)</f>
        <v>336.55</v>
      </c>
      <c r="O15" s="109">
        <f>SUMIFS(MainData[ExtendedCost],MainData[BillID],BeverageCost[[#This Row],[BillID]],MainData[Billable?],"Y",MainData[Category],"Beverage",MainData[Product],J$7)</f>
        <v>306.54000000000002</v>
      </c>
      <c r="P1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11">
        <f>IFERROR(BeverageCost[[#This Row],[$Liq]]/BeverageCost[[#This Row],[Liquor]],0)</f>
        <v>8.8079036901334729E-2</v>
      </c>
      <c r="S1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5" s="112">
        <f>IFERROR(BeverageCost[[#This Row],[$Wine]]/BeverageCost[[#This Row],[Wine]],0)</f>
        <v>8.8079036901334729E-2</v>
      </c>
      <c r="U1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5" s="112">
        <f>IFERROR(BeverageCost[[#This Row],[$Beer]]/BeverageCost[[#This Row],[Beer]],0)</f>
        <v>8.5150000000000003E-2</v>
      </c>
      <c r="W1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5" s="112">
        <f>IFERROR(BeverageCost[[#This Row],[$Other]]/BeverageCost[[#This Row],[Other]],0)</f>
        <v>0.13513513513513514</v>
      </c>
      <c r="Y1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5" s="77">
        <f>IFERROR(BeverageCost[[#This Row],[$Total]]/BeverageCost[[#This Row],[Total]],0)</f>
        <v>8.8072620215897943E-2</v>
      </c>
      <c r="AA1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5" s="78">
        <f>IFERROR(BeverageCost[[#This Row],[$Total]]/$Q$5,0)</f>
        <v>2.3494475825135721E-2</v>
      </c>
      <c r="AC15" s="113"/>
      <c r="AG15" s="13"/>
      <c r="AH15" s="14"/>
    </row>
    <row r="16" spans="2:34" x14ac:dyDescent="0.25">
      <c r="B16" s="114">
        <v>9</v>
      </c>
      <c r="C16" s="154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55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55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08">
        <f>SUMIFS(MainData[ExtendedPrice],MainData[BillID],BeverageCost[[#This Row],[BillID]],MainData[Billable?],"Y",MainData[Category],"Beverage",MainData[Product],H$7)</f>
        <v>0</v>
      </c>
      <c r="I16" s="109">
        <f>SUMIFS(MainData[ExtendedPrice],MainData[BillID],BeverageCost[[#This Row],[BillID]],MainData[Billable?],"Y",MainData[Category],"Beverage",MainData[Product],I$7)</f>
        <v>41</v>
      </c>
      <c r="J16" s="109">
        <f>SUMIFS(MainData[ExtendedPrice],MainData[BillID],BeverageCost[[#This Row],[BillID]],MainData[Billable?],"Y",MainData[Category],"Beverage",MainData[Product],J$7)</f>
        <v>0</v>
      </c>
      <c r="K1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0">
        <f>SUMIFS(MainData[ExtendedCost],MainData[BillID],BeverageCost[[#This Row],[BillID]],MainData[Billable?],"Y",MainData[Category],"Beverage",MainData[Product],H$7)</f>
        <v>0</v>
      </c>
      <c r="N16" s="109">
        <f>SUMIFS(MainData[ExtendedCost],MainData[BillID],BeverageCost[[#This Row],[BillID]],MainData[Billable?],"Y",MainData[Category],"Beverage",MainData[Product],I$7)</f>
        <v>11.5</v>
      </c>
      <c r="O16" s="109">
        <f>SUMIFS(MainData[ExtendedCost],MainData[BillID],BeverageCost[[#This Row],[BillID]],MainData[Billable?],"Y",MainData[Category],"Beverage",MainData[Product],J$7)</f>
        <v>0</v>
      </c>
      <c r="P1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11">
        <f>IFERROR(BeverageCost[[#This Row],[$Liq]]/BeverageCost[[#This Row],[Liquor]],0)</f>
        <v>0</v>
      </c>
      <c r="S1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6" s="112">
        <f>IFERROR(BeverageCost[[#This Row],[$Wine]]/BeverageCost[[#This Row],[Wine]],0)</f>
        <v>0.28048780487804881</v>
      </c>
      <c r="U1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6" s="112">
        <f>IFERROR(BeverageCost[[#This Row],[$Beer]]/BeverageCost[[#This Row],[Beer]],0)</f>
        <v>0</v>
      </c>
      <c r="W1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6" s="112">
        <f>IFERROR(BeverageCost[[#This Row],[$Other]]/BeverageCost[[#This Row],[Other]],0)</f>
        <v>0</v>
      </c>
      <c r="Y1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6" s="77">
        <f>IFERROR(BeverageCost[[#This Row],[$Total]]/BeverageCost[[#This Row],[Total]],0)</f>
        <v>0.28048780487804881</v>
      </c>
      <c r="AA1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6" s="78">
        <f>IFERROR(BeverageCost[[#This Row],[$Total]]/$Q$5,0)</f>
        <v>2.0070456026939791E-4</v>
      </c>
      <c r="AC16" s="113" t="s">
        <v>6</v>
      </c>
      <c r="AG16" s="13"/>
      <c r="AH16" s="14"/>
    </row>
    <row r="17" spans="2:34" x14ac:dyDescent="0.25">
      <c r="B17" s="114">
        <v>116</v>
      </c>
      <c r="C17" s="154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55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55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08">
        <f>SUMIFS(MainData[ExtendedPrice],MainData[BillID],BeverageCost[[#This Row],[BillID]],MainData[Billable?],"Y",MainData[Category],"Beverage",MainData[Product],H$7)</f>
        <v>0</v>
      </c>
      <c r="I17" s="109">
        <f>SUMIFS(MainData[ExtendedPrice],MainData[BillID],BeverageCost[[#This Row],[BillID]],MainData[Billable?],"Y",MainData[Category],"Beverage",MainData[Product],I$7)</f>
        <v>12</v>
      </c>
      <c r="J17" s="109">
        <f>SUMIFS(MainData[ExtendedPrice],MainData[BillID],BeverageCost[[#This Row],[BillID]],MainData[Billable?],"Y",MainData[Category],"Beverage",MainData[Product],J$7)</f>
        <v>0</v>
      </c>
      <c r="K1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0">
        <f>SUMIFS(MainData[ExtendedCost],MainData[BillID],BeverageCost[[#This Row],[BillID]],MainData[Billable?],"Y",MainData[Category],"Beverage",MainData[Product],H$7)</f>
        <v>0</v>
      </c>
      <c r="N17" s="109">
        <f>SUMIFS(MainData[ExtendedCost],MainData[BillID],BeverageCost[[#This Row],[BillID]],MainData[Billable?],"Y",MainData[Category],"Beverage",MainData[Product],I$7)</f>
        <v>0.5</v>
      </c>
      <c r="O17" s="109">
        <f>SUMIFS(MainData[ExtendedCost],MainData[BillID],BeverageCost[[#This Row],[BillID]],MainData[Billable?],"Y",MainData[Category],"Beverage",MainData[Product],J$7)</f>
        <v>0</v>
      </c>
      <c r="P1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11">
        <f>IFERROR(BeverageCost[[#This Row],[$Liq]]/BeverageCost[[#This Row],[Liquor]],0)</f>
        <v>0</v>
      </c>
      <c r="S1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7" s="112">
        <f>IFERROR(BeverageCost[[#This Row],[$Wine]]/BeverageCost[[#This Row],[Wine]],0)</f>
        <v>4.1666666666666664E-2</v>
      </c>
      <c r="U1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7" s="112">
        <f>IFERROR(BeverageCost[[#This Row],[$Beer]]/BeverageCost[[#This Row],[Beer]],0)</f>
        <v>0</v>
      </c>
      <c r="W1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7" s="112">
        <f>IFERROR(BeverageCost[[#This Row],[$Other]]/BeverageCost[[#This Row],[Other]],0)</f>
        <v>9.5238095238095233E-2</v>
      </c>
      <c r="Y1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7" s="77">
        <f>IFERROR(BeverageCost[[#This Row],[$Total]]/BeverageCost[[#This Row],[Total]],0)</f>
        <v>5.7971014492753624E-2</v>
      </c>
      <c r="AA1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7" s="78">
        <f>IFERROR(BeverageCost[[#This Row],[$Total]]/$Q$5,0)</f>
        <v>1.7452570458208515E-5</v>
      </c>
      <c r="AC17" s="113"/>
      <c r="AG17" s="13"/>
      <c r="AH17" s="14"/>
    </row>
    <row r="18" spans="2:34" x14ac:dyDescent="0.25">
      <c r="B18" s="114">
        <v>10</v>
      </c>
      <c r="C18" s="154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55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55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08">
        <f>SUMIFS(MainData[ExtendedPrice],MainData[BillID],BeverageCost[[#This Row],[BillID]],MainData[Billable?],"Y",MainData[Category],"Beverage",MainData[Product],H$7)</f>
        <v>0</v>
      </c>
      <c r="I18" s="109">
        <f>SUMIFS(MainData[ExtendedPrice],MainData[BillID],BeverageCost[[#This Row],[BillID]],MainData[Billable?],"Y",MainData[Category],"Beverage",MainData[Product],I$7)</f>
        <v>0</v>
      </c>
      <c r="J18" s="109">
        <f>SUMIFS(MainData[ExtendedPrice],MainData[BillID],BeverageCost[[#This Row],[BillID]],MainData[Billable?],"Y",MainData[Category],"Beverage",MainData[Product],J$7)</f>
        <v>0</v>
      </c>
      <c r="K1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0">
        <f>SUMIFS(MainData[ExtendedCost],MainData[BillID],BeverageCost[[#This Row],[BillID]],MainData[Billable?],"Y",MainData[Category],"Beverage",MainData[Product],H$7)</f>
        <v>0</v>
      </c>
      <c r="N18" s="109">
        <f>SUMIFS(MainData[ExtendedCost],MainData[BillID],BeverageCost[[#This Row],[BillID]],MainData[Billable?],"Y",MainData[Category],"Beverage",MainData[Product],I$7)</f>
        <v>0</v>
      </c>
      <c r="O18" s="109">
        <f>SUMIFS(MainData[ExtendedCost],MainData[BillID],BeverageCost[[#This Row],[BillID]],MainData[Billable?],"Y",MainData[Category],"Beverage",MainData[Product],J$7)</f>
        <v>0</v>
      </c>
      <c r="P1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11">
        <f>IFERROR(BeverageCost[[#This Row],[$Liq]]/BeverageCost[[#This Row],[Liquor]],0)</f>
        <v>0</v>
      </c>
      <c r="S1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8" s="112">
        <f>IFERROR(BeverageCost[[#This Row],[$Wine]]/BeverageCost[[#This Row],[Wine]],0)</f>
        <v>0</v>
      </c>
      <c r="U1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8" s="112">
        <f>IFERROR(BeverageCost[[#This Row],[$Beer]]/BeverageCost[[#This Row],[Beer]],0)</f>
        <v>0</v>
      </c>
      <c r="W1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8" s="112">
        <f>IFERROR(BeverageCost[[#This Row],[$Other]]/BeverageCost[[#This Row],[Other]],0)</f>
        <v>0</v>
      </c>
      <c r="Y1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8" s="77">
        <f>IFERROR(BeverageCost[[#This Row],[$Total]]/BeverageCost[[#This Row],[Total]],0)</f>
        <v>0</v>
      </c>
      <c r="AA1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8" s="78">
        <f>IFERROR(BeverageCost[[#This Row],[$Total]]/$Q$5,0)</f>
        <v>0</v>
      </c>
      <c r="AC18" s="113" t="s">
        <v>231</v>
      </c>
      <c r="AG18" s="13"/>
      <c r="AH18" s="14"/>
    </row>
    <row r="19" spans="2:34" x14ac:dyDescent="0.25">
      <c r="B19" s="114">
        <v>14</v>
      </c>
      <c r="C19" s="154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55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55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08">
        <f>SUMIFS(MainData[ExtendedPrice],MainData[BillID],BeverageCost[[#This Row],[BillID]],MainData[Billable?],"Y",MainData[Category],"Beverage",MainData[Product],H$7)</f>
        <v>1122</v>
      </c>
      <c r="I19" s="109">
        <f>SUMIFS(MainData[ExtendedPrice],MainData[BillID],BeverageCost[[#This Row],[BillID]],MainData[Billable?],"Y",MainData[Category],"Beverage",MainData[Product],I$7)</f>
        <v>600</v>
      </c>
      <c r="J19" s="109">
        <f>SUMIFS(MainData[ExtendedPrice],MainData[BillID],BeverageCost[[#This Row],[BillID]],MainData[Billable?],"Y",MainData[Category],"Beverage",MainData[Product],J$7)</f>
        <v>650</v>
      </c>
      <c r="K1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0">
        <f>SUMIFS(MainData[ExtendedCost],MainData[BillID],BeverageCost[[#This Row],[BillID]],MainData[Billable?],"Y",MainData[Category],"Beverage",MainData[Product],H$7)</f>
        <v>63</v>
      </c>
      <c r="N19" s="109">
        <f>SUMIFS(MainData[ExtendedCost],MainData[BillID],BeverageCost[[#This Row],[BillID]],MainData[Billable?],"Y",MainData[Category],"Beverage",MainData[Product],I$7)</f>
        <v>62</v>
      </c>
      <c r="O19" s="109">
        <f>SUMIFS(MainData[ExtendedCost],MainData[BillID],BeverageCost[[#This Row],[BillID]],MainData[Billable?],"Y",MainData[Category],"Beverage",MainData[Product],J$7)</f>
        <v>65</v>
      </c>
      <c r="P1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11">
        <f>IFERROR(BeverageCost[[#This Row],[$Liq]]/BeverageCost[[#This Row],[Liquor]],0)</f>
        <v>5.6149732620320858E-2</v>
      </c>
      <c r="S1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9" s="112">
        <f>IFERROR(BeverageCost[[#This Row],[$Wine]]/BeverageCost[[#This Row],[Wine]],0)</f>
        <v>0.10333333333333333</v>
      </c>
      <c r="U1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9" s="112">
        <f>IFERROR(BeverageCost[[#This Row],[$Beer]]/BeverageCost[[#This Row],[Beer]],0)</f>
        <v>0.1</v>
      </c>
      <c r="W1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9" s="112">
        <f>IFERROR(BeverageCost[[#This Row],[$Other]]/BeverageCost[[#This Row],[Other]],0)</f>
        <v>5.5000000000000007E-2</v>
      </c>
      <c r="Y1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9" s="77">
        <f>IFERROR(BeverageCost[[#This Row],[$Total]]/BeverageCost[[#This Row],[Total]],0)</f>
        <v>7.9891304347826084E-2</v>
      </c>
      <c r="AA1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9" s="78">
        <f>IFERROR(BeverageCost[[#This Row],[$Total]]/$Q$5,0)</f>
        <v>3.3351862145636472E-3</v>
      </c>
      <c r="AC19" s="113"/>
      <c r="AG19" s="13"/>
      <c r="AH19" s="14"/>
    </row>
    <row r="20" spans="2:34" x14ac:dyDescent="0.25">
      <c r="B20" s="114">
        <v>11</v>
      </c>
      <c r="C20" s="154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55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55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08">
        <f>SUMIFS(MainData[ExtendedPrice],MainData[BillID],BeverageCost[[#This Row],[BillID]],MainData[Billable?],"Y",MainData[Category],"Beverage",MainData[Product],H$7)</f>
        <v>4318.5</v>
      </c>
      <c r="I20" s="109">
        <f>SUMIFS(MainData[ExtendedPrice],MainData[BillID],BeverageCost[[#This Row],[BillID]],MainData[Billable?],"Y",MainData[Category],"Beverage",MainData[Product],I$7)</f>
        <v>2159.25</v>
      </c>
      <c r="J20" s="109">
        <f>SUMIFS(MainData[ExtendedPrice],MainData[BillID],BeverageCost[[#This Row],[BillID]],MainData[Billable?],"Y",MainData[Category],"Beverage",MainData[Product],J$7)</f>
        <v>1295.55</v>
      </c>
      <c r="K2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0">
        <f>SUMIFS(MainData[ExtendedCost],MainData[BillID],BeverageCost[[#This Row],[BillID]],MainData[Billable?],"Y",MainData[Category],"Beverage",MainData[Product],H$7)</f>
        <v>371.63</v>
      </c>
      <c r="N20" s="109">
        <f>SUMIFS(MainData[ExtendedCost],MainData[BillID],BeverageCost[[#This Row],[BillID]],MainData[Billable?],"Y",MainData[Category],"Beverage",MainData[Product],I$7)</f>
        <v>185.81</v>
      </c>
      <c r="O20" s="109">
        <f>SUMIFS(MainData[ExtendedCost],MainData[BillID],BeverageCost[[#This Row],[BillID]],MainData[Billable?],"Y",MainData[Category],"Beverage",MainData[Product],J$7)</f>
        <v>111.48</v>
      </c>
      <c r="P2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11">
        <f>IFERROR(BeverageCost[[#This Row],[$Liq]]/BeverageCost[[#This Row],[Liquor]],0)</f>
        <v>8.6055343290494385E-2</v>
      </c>
      <c r="S2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0" s="112">
        <f>IFERROR(BeverageCost[[#This Row],[$Wine]]/BeverageCost[[#This Row],[Wine]],0)</f>
        <v>8.6053027671645244E-2</v>
      </c>
      <c r="U2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0" s="112">
        <f>IFERROR(BeverageCost[[#This Row],[$Beer]]/BeverageCost[[#This Row],[Beer]],0)</f>
        <v>8.6048396433946975E-2</v>
      </c>
      <c r="W2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0" s="112">
        <f>IFERROR(BeverageCost[[#This Row],[$Other]]/BeverageCost[[#This Row],[Other]],0)</f>
        <v>8.6059974528192654E-2</v>
      </c>
      <c r="Y2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0" s="77">
        <f>IFERROR(BeverageCost[[#This Row],[$Total]]/BeverageCost[[#This Row],[Total]],0)</f>
        <v>8.6054185481069828E-2</v>
      </c>
      <c r="AA2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0" s="78">
        <f>IFERROR(BeverageCost[[#This Row],[$Total]]/$Q$5,0)</f>
        <v>1.2971622993063481E-2</v>
      </c>
      <c r="AC20" s="113"/>
      <c r="AG20" s="13"/>
      <c r="AH20" s="14"/>
    </row>
    <row r="21" spans="2:34" x14ac:dyDescent="0.25">
      <c r="B21" s="114">
        <v>12</v>
      </c>
      <c r="C21" s="154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55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55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08">
        <f>SUMIFS(MainData[ExtendedPrice],MainData[BillID],BeverageCost[[#This Row],[BillID]],MainData[Billable?],"Y",MainData[Category],"Beverage",MainData[Product],H$7)</f>
        <v>0</v>
      </c>
      <c r="I21" s="109">
        <f>SUMIFS(MainData[ExtendedPrice],MainData[BillID],BeverageCost[[#This Row],[BillID]],MainData[Billable?],"Y",MainData[Category],"Beverage",MainData[Product],I$7)</f>
        <v>250</v>
      </c>
      <c r="J21" s="109">
        <f>SUMIFS(MainData[ExtendedPrice],MainData[BillID],BeverageCost[[#This Row],[BillID]],MainData[Billable?],"Y",MainData[Category],"Beverage",MainData[Product],J$7)</f>
        <v>200</v>
      </c>
      <c r="K2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0">
        <f>SUMIFS(MainData[ExtendedCost],MainData[BillID],BeverageCost[[#This Row],[BillID]],MainData[Billable?],"Y",MainData[Category],"Beverage",MainData[Product],H$7)</f>
        <v>0</v>
      </c>
      <c r="N21" s="109">
        <f>SUMIFS(MainData[ExtendedCost],MainData[BillID],BeverageCost[[#This Row],[BillID]],MainData[Billable?],"Y",MainData[Category],"Beverage",MainData[Product],I$7)</f>
        <v>26</v>
      </c>
      <c r="O21" s="109">
        <f>SUMIFS(MainData[ExtendedCost],MainData[BillID],BeverageCost[[#This Row],[BillID]],MainData[Billable?],"Y",MainData[Category],"Beverage",MainData[Product],J$7)</f>
        <v>25</v>
      </c>
      <c r="P2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11">
        <f>IFERROR(BeverageCost[[#This Row],[$Liq]]/BeverageCost[[#This Row],[Liquor]],0)</f>
        <v>0</v>
      </c>
      <c r="S2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1" s="112">
        <f>IFERROR(BeverageCost[[#This Row],[$Wine]]/BeverageCost[[#This Row],[Wine]],0)</f>
        <v>0.104</v>
      </c>
      <c r="U2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1" s="112">
        <f>IFERROR(BeverageCost[[#This Row],[$Beer]]/BeverageCost[[#This Row],[Beer]],0)</f>
        <v>0.125</v>
      </c>
      <c r="W2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1" s="112">
        <f>IFERROR(BeverageCost[[#This Row],[$Other]]/BeverageCost[[#This Row],[Other]],0)</f>
        <v>7.2800000000000004E-2</v>
      </c>
      <c r="Y2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1" s="77">
        <f>IFERROR(BeverageCost[[#This Row],[$Total]]/BeverageCost[[#This Row],[Total]],0)</f>
        <v>0.11120000000000001</v>
      </c>
      <c r="AA2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1" s="78">
        <f>IFERROR(BeverageCost[[#This Row],[$Total]]/$Q$5,0)</f>
        <v>9.2184477160257372E-4</v>
      </c>
      <c r="AC21" s="113"/>
    </row>
    <row r="22" spans="2:34" x14ac:dyDescent="0.25">
      <c r="B22" s="114">
        <v>13</v>
      </c>
      <c r="C22" s="154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55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55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08">
        <f>SUMIFS(MainData[ExtendedPrice],MainData[BillID],BeverageCost[[#This Row],[BillID]],MainData[Billable?],"Y",MainData[Category],"Beverage",MainData[Product],H$7)</f>
        <v>329</v>
      </c>
      <c r="I22" s="109">
        <f>SUMIFS(MainData[ExtendedPrice],MainData[BillID],BeverageCost[[#This Row],[BillID]],MainData[Billable?],"Y",MainData[Category],"Beverage",MainData[Product],I$7)</f>
        <v>150</v>
      </c>
      <c r="J22" s="109">
        <f>SUMIFS(MainData[ExtendedPrice],MainData[BillID],BeverageCost[[#This Row],[BillID]],MainData[Billable?],"Y",MainData[Category],"Beverage",MainData[Product],J$7)</f>
        <v>125</v>
      </c>
      <c r="K2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0">
        <f>SUMIFS(MainData[ExtendedCost],MainData[BillID],BeverageCost[[#This Row],[BillID]],MainData[Billable?],"Y",MainData[Category],"Beverage",MainData[Product],H$7)</f>
        <v>20</v>
      </c>
      <c r="N22" s="109">
        <f>SUMIFS(MainData[ExtendedCost],MainData[BillID],BeverageCost[[#This Row],[BillID]],MainData[Billable?],"Y",MainData[Category],"Beverage",MainData[Product],I$7)</f>
        <v>15</v>
      </c>
      <c r="O22" s="109">
        <f>SUMIFS(MainData[ExtendedCost],MainData[BillID],BeverageCost[[#This Row],[BillID]],MainData[Billable?],"Y",MainData[Category],"Beverage",MainData[Product],J$7)</f>
        <v>10</v>
      </c>
      <c r="P2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11">
        <f>IFERROR(BeverageCost[[#This Row],[$Liq]]/BeverageCost[[#This Row],[Liquor]],0)</f>
        <v>6.0790273556231005E-2</v>
      </c>
      <c r="S2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2" s="112">
        <f>IFERROR(BeverageCost[[#This Row],[$Wine]]/BeverageCost[[#This Row],[Wine]],0)</f>
        <v>0.1</v>
      </c>
      <c r="U2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2" s="112">
        <f>IFERROR(BeverageCost[[#This Row],[$Beer]]/BeverageCost[[#This Row],[Beer]],0)</f>
        <v>0.08</v>
      </c>
      <c r="W2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2" s="112">
        <f>IFERROR(BeverageCost[[#This Row],[$Other]]/BeverageCost[[#This Row],[Other]],0)</f>
        <v>0.05</v>
      </c>
      <c r="Y2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2" s="77">
        <f>IFERROR(BeverageCost[[#This Row],[$Total]]/BeverageCost[[#This Row],[Total]],0)</f>
        <v>7.430213464696224E-2</v>
      </c>
      <c r="AA2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2" s="78">
        <f>IFERROR(BeverageCost[[#This Row],[$Total]]/$Q$5,0)</f>
        <v>7.8972881323393534E-4</v>
      </c>
      <c r="AC22" s="113"/>
    </row>
    <row r="23" spans="2:34" x14ac:dyDescent="0.25">
      <c r="B23" s="114">
        <v>15</v>
      </c>
      <c r="C23" s="154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55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55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08">
        <f>SUMIFS(MainData[ExtendedPrice],MainData[BillID],BeverageCost[[#This Row],[BillID]],MainData[Billable?],"Y",MainData[Category],"Beverage",MainData[Product],H$7)</f>
        <v>5190</v>
      </c>
      <c r="I23" s="109">
        <f>SUMIFS(MainData[ExtendedPrice],MainData[BillID],BeverageCost[[#This Row],[BillID]],MainData[Billable?],"Y",MainData[Category],"Beverage",MainData[Product],I$7)</f>
        <v>1150</v>
      </c>
      <c r="J23" s="109">
        <f>SUMIFS(MainData[ExtendedPrice],MainData[BillID],BeverageCost[[#This Row],[BillID]],MainData[Billable?],"Y",MainData[Category],"Beverage",MainData[Product],J$7)</f>
        <v>1660</v>
      </c>
      <c r="K2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0">
        <f>SUMIFS(MainData[ExtendedCost],MainData[BillID],BeverageCost[[#This Row],[BillID]],MainData[Billable?],"Y",MainData[Category],"Beverage",MainData[Product],H$7)</f>
        <v>510</v>
      </c>
      <c r="N23" s="109">
        <f>SUMIFS(MainData[ExtendedCost],MainData[BillID],BeverageCost[[#This Row],[BillID]],MainData[Billable?],"Y",MainData[Category],"Beverage",MainData[Product],I$7)</f>
        <v>120</v>
      </c>
      <c r="O23" s="109">
        <f>SUMIFS(MainData[ExtendedCost],MainData[BillID],BeverageCost[[#This Row],[BillID]],MainData[Billable?],"Y",MainData[Category],"Beverage",MainData[Product],J$7)</f>
        <v>70</v>
      </c>
      <c r="P2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11">
        <f>IFERROR(BeverageCost[[#This Row],[$Liq]]/BeverageCost[[#This Row],[Liquor]],0)</f>
        <v>9.8265895953757232E-2</v>
      </c>
      <c r="S2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3" s="112">
        <f>IFERROR(BeverageCost[[#This Row],[$Wine]]/BeverageCost[[#This Row],[Wine]],0)</f>
        <v>0.10434782608695652</v>
      </c>
      <c r="U2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3" s="112">
        <f>IFERROR(BeverageCost[[#This Row],[$Beer]]/BeverageCost[[#This Row],[Beer]],0)</f>
        <v>4.2168674698795178E-2</v>
      </c>
      <c r="W2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3" s="112">
        <f>IFERROR(BeverageCost[[#This Row],[$Other]]/BeverageCost[[#This Row],[Other]],0)</f>
        <v>0.1028673835125448</v>
      </c>
      <c r="Y2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3" s="77">
        <f>IFERROR(BeverageCost[[#This Row],[$Total]]/BeverageCost[[#This Row],[Total]],0)</f>
        <v>8.8501986445431169E-2</v>
      </c>
      <c r="AA2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3" s="78">
        <f>IFERROR(BeverageCost[[#This Row],[$Total]]/$Q$5,0)</f>
        <v>1.3218576865047129E-2</v>
      </c>
      <c r="AC23" s="113"/>
    </row>
    <row r="24" spans="2:34" x14ac:dyDescent="0.25">
      <c r="B24" s="114">
        <v>16</v>
      </c>
      <c r="C24" s="154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55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55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08">
        <f>SUMIFS(MainData[ExtendedPrice],MainData[BillID],BeverageCost[[#This Row],[BillID]],MainData[Billable?],"Y",MainData[Category],"Beverage",MainData[Product],H$7)</f>
        <v>10799</v>
      </c>
      <c r="I24" s="109">
        <f>SUMIFS(MainData[ExtendedPrice],MainData[BillID],BeverageCost[[#This Row],[BillID]],MainData[Billable?],"Y",MainData[Category],"Beverage",MainData[Product],I$7)</f>
        <v>7600</v>
      </c>
      <c r="J24" s="109">
        <f>SUMIFS(MainData[ExtendedPrice],MainData[BillID],BeverageCost[[#This Row],[BillID]],MainData[Billable?],"Y",MainData[Category],"Beverage",MainData[Product],J$7)</f>
        <v>4950</v>
      </c>
      <c r="K2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0">
        <f>SUMIFS(MainData[ExtendedCost],MainData[BillID],BeverageCost[[#This Row],[BillID]],MainData[Billable?],"Y",MainData[Category],"Beverage",MainData[Product],H$7)</f>
        <v>2196.17</v>
      </c>
      <c r="N24" s="109">
        <f>SUMIFS(MainData[ExtendedCost],MainData[BillID],BeverageCost[[#This Row],[BillID]],MainData[Billable?],"Y",MainData[Category],"Beverage",MainData[Product],I$7)</f>
        <v>1900</v>
      </c>
      <c r="O24" s="109">
        <f>SUMIFS(MainData[ExtendedCost],MainData[BillID],BeverageCost[[#This Row],[BillID]],MainData[Billable?],"Y",MainData[Category],"Beverage",MainData[Product],J$7)</f>
        <v>525</v>
      </c>
      <c r="P2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11">
        <f>IFERROR(BeverageCost[[#This Row],[$Liq]]/BeverageCost[[#This Row],[Liquor]],0)</f>
        <v>0.20336790443559591</v>
      </c>
      <c r="S2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4" s="112">
        <f>IFERROR(BeverageCost[[#This Row],[$Wine]]/BeverageCost[[#This Row],[Wine]],0)</f>
        <v>0.25</v>
      </c>
      <c r="U2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4" s="112">
        <f>IFERROR(BeverageCost[[#This Row],[$Beer]]/BeverageCost[[#This Row],[Beer]],0)</f>
        <v>0.10606060606060606</v>
      </c>
      <c r="W2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4" s="112">
        <f>IFERROR(BeverageCost[[#This Row],[$Other]]/BeverageCost[[#This Row],[Other]],0)</f>
        <v>9.4339622641509441E-2</v>
      </c>
      <c r="Y2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4" s="77">
        <f>IFERROR(BeverageCost[[#This Row],[$Total]]/BeverageCost[[#This Row],[Total]],0)</f>
        <v>0.19450670974155071</v>
      </c>
      <c r="AA2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4" s="78">
        <f>IFERROR(BeverageCost[[#This Row],[$Total]]/$Q$5,0)</f>
        <v>8.1960237808725078E-2</v>
      </c>
      <c r="AC24" s="113" t="s">
        <v>8</v>
      </c>
    </row>
    <row r="25" spans="2:34" x14ac:dyDescent="0.25">
      <c r="B25" s="114">
        <v>17</v>
      </c>
      <c r="C25" s="154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55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55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08">
        <f>SUMIFS(MainData[ExtendedPrice],MainData[BillID],BeverageCost[[#This Row],[BillID]],MainData[Billable?],"Y",MainData[Category],"Beverage",MainData[Product],H$7)</f>
        <v>3292</v>
      </c>
      <c r="I25" s="109">
        <f>SUMIFS(MainData[ExtendedPrice],MainData[BillID],BeverageCost[[#This Row],[BillID]],MainData[Billable?],"Y",MainData[Category],"Beverage",MainData[Product],I$7)</f>
        <v>2100</v>
      </c>
      <c r="J25" s="109">
        <f>SUMIFS(MainData[ExtendedPrice],MainData[BillID],BeverageCost[[#This Row],[BillID]],MainData[Billable?],"Y",MainData[Category],"Beverage",MainData[Product],J$7)</f>
        <v>1250</v>
      </c>
      <c r="K2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0">
        <f>SUMIFS(MainData[ExtendedCost],MainData[BillID],BeverageCost[[#This Row],[BillID]],MainData[Billable?],"Y",MainData[Category],"Beverage",MainData[Product],H$7)</f>
        <v>269.2</v>
      </c>
      <c r="N25" s="109">
        <f>SUMIFS(MainData[ExtendedCost],MainData[BillID],BeverageCost[[#This Row],[BillID]],MainData[Billable?],"Y",MainData[Category],"Beverage",MainData[Product],I$7)</f>
        <v>210</v>
      </c>
      <c r="O25" s="109">
        <f>SUMIFS(MainData[ExtendedCost],MainData[BillID],BeverageCost[[#This Row],[BillID]],MainData[Billable?],"Y",MainData[Category],"Beverage",MainData[Product],J$7)</f>
        <v>125</v>
      </c>
      <c r="P2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11">
        <f>IFERROR(BeverageCost[[#This Row],[$Liq]]/BeverageCost[[#This Row],[Liquor]],0)</f>
        <v>8.1773997569866336E-2</v>
      </c>
      <c r="S2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5" s="112">
        <f>IFERROR(BeverageCost[[#This Row],[$Wine]]/BeverageCost[[#This Row],[Wine]],0)</f>
        <v>0.1</v>
      </c>
      <c r="U2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5" s="112">
        <f>IFERROR(BeverageCost[[#This Row],[$Beer]]/BeverageCost[[#This Row],[Beer]],0)</f>
        <v>0.1</v>
      </c>
      <c r="W2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5" s="112">
        <f>IFERROR(BeverageCost[[#This Row],[$Other]]/BeverageCost[[#This Row],[Other]],0)</f>
        <v>8.2191780821917804E-2</v>
      </c>
      <c r="Y2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5" s="77">
        <f>IFERROR(BeverageCost[[#This Row],[$Total]]/BeverageCost[[#This Row],[Total]],0)</f>
        <v>9.0509490509490517E-2</v>
      </c>
      <c r="AA2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5" s="78">
        <f>IFERROR(BeverageCost[[#This Row],[$Total]]/$Q$5,0)</f>
        <v>1.1068420184595841E-2</v>
      </c>
      <c r="AC25" s="113"/>
    </row>
    <row r="26" spans="2:34" x14ac:dyDescent="0.25">
      <c r="B26" s="114">
        <v>18</v>
      </c>
      <c r="C26" s="154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55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55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08">
        <f>SUMIFS(MainData[ExtendedPrice],MainData[BillID],BeverageCost[[#This Row],[BillID]],MainData[Billable?],"Y",MainData[Category],"Beverage",MainData[Product],H$7)</f>
        <v>0</v>
      </c>
      <c r="I26" s="109">
        <f>SUMIFS(MainData[ExtendedPrice],MainData[BillID],BeverageCost[[#This Row],[BillID]],MainData[Billable?],"Y",MainData[Category],"Beverage",MainData[Product],I$7)</f>
        <v>41</v>
      </c>
      <c r="J26" s="109">
        <f>SUMIFS(MainData[ExtendedPrice],MainData[BillID],BeverageCost[[#This Row],[BillID]],MainData[Billable?],"Y",MainData[Category],"Beverage",MainData[Product],J$7)</f>
        <v>0</v>
      </c>
      <c r="K2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0">
        <f>SUMIFS(MainData[ExtendedCost],MainData[BillID],BeverageCost[[#This Row],[BillID]],MainData[Billable?],"Y",MainData[Category],"Beverage",MainData[Product],H$7)</f>
        <v>0</v>
      </c>
      <c r="N26" s="109">
        <f>SUMIFS(MainData[ExtendedCost],MainData[BillID],BeverageCost[[#This Row],[BillID]],MainData[Billable?],"Y",MainData[Category],"Beverage",MainData[Product],I$7)</f>
        <v>23</v>
      </c>
      <c r="O26" s="109">
        <f>SUMIFS(MainData[ExtendedCost],MainData[BillID],BeverageCost[[#This Row],[BillID]],MainData[Billable?],"Y",MainData[Category],"Beverage",MainData[Product],J$7)</f>
        <v>0</v>
      </c>
      <c r="P2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11">
        <f>IFERROR(BeverageCost[[#This Row],[$Liq]]/BeverageCost[[#This Row],[Liquor]],0)</f>
        <v>0</v>
      </c>
      <c r="S2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6" s="112">
        <f>IFERROR(BeverageCost[[#This Row],[$Wine]]/BeverageCost[[#This Row],[Wine]],0)</f>
        <v>0.56097560975609762</v>
      </c>
      <c r="U2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6" s="112">
        <f>IFERROR(BeverageCost[[#This Row],[$Beer]]/BeverageCost[[#This Row],[Beer]],0)</f>
        <v>0</v>
      </c>
      <c r="W2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6" s="112">
        <f>IFERROR(BeverageCost[[#This Row],[$Other]]/BeverageCost[[#This Row],[Other]],0)</f>
        <v>0</v>
      </c>
      <c r="Y2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6" s="77">
        <f>IFERROR(BeverageCost[[#This Row],[$Total]]/BeverageCost[[#This Row],[Total]],0)</f>
        <v>0.56097560975609762</v>
      </c>
      <c r="AA2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6" s="78">
        <f>IFERROR(BeverageCost[[#This Row],[$Total]]/$Q$5,0)</f>
        <v>4.0140912053879583E-4</v>
      </c>
      <c r="AC26" s="113" t="s">
        <v>6</v>
      </c>
    </row>
    <row r="27" spans="2:34" x14ac:dyDescent="0.25">
      <c r="B27" s="114">
        <v>19</v>
      </c>
      <c r="C27" s="154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55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55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08">
        <f>SUMIFS(MainData[ExtendedPrice],MainData[BillID],BeverageCost[[#This Row],[BillID]],MainData[Billable?],"Y",MainData[Category],"Beverage",MainData[Product],H$7)</f>
        <v>423</v>
      </c>
      <c r="I27" s="109">
        <f>SUMIFS(MainData[ExtendedPrice],MainData[BillID],BeverageCost[[#This Row],[BillID]],MainData[Billable?],"Y",MainData[Category],"Beverage",MainData[Product],I$7)</f>
        <v>350</v>
      </c>
      <c r="J27" s="109">
        <f>SUMIFS(MainData[ExtendedPrice],MainData[BillID],BeverageCost[[#This Row],[BillID]],MainData[Billable?],"Y",MainData[Category],"Beverage",MainData[Product],J$7)</f>
        <v>230</v>
      </c>
      <c r="K2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0">
        <f>SUMIFS(MainData[ExtendedCost],MainData[BillID],BeverageCost[[#This Row],[BillID]],MainData[Billable?],"Y",MainData[Category],"Beverage",MainData[Product],H$7)</f>
        <v>31.8</v>
      </c>
      <c r="N27" s="109">
        <f>SUMIFS(MainData[ExtendedCost],MainData[BillID],BeverageCost[[#This Row],[BillID]],MainData[Billable?],"Y",MainData[Category],"Beverage",MainData[Product],I$7)</f>
        <v>35</v>
      </c>
      <c r="O27" s="109">
        <f>SUMIFS(MainData[ExtendedCost],MainData[BillID],BeverageCost[[#This Row],[BillID]],MainData[Billable?],"Y",MainData[Category],"Beverage",MainData[Product],J$7)</f>
        <v>25</v>
      </c>
      <c r="P2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11">
        <f>IFERROR(BeverageCost[[#This Row],[$Liq]]/BeverageCost[[#This Row],[Liquor]],0)</f>
        <v>7.5177304964539005E-2</v>
      </c>
      <c r="S2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7" s="112">
        <f>IFERROR(BeverageCost[[#This Row],[$Wine]]/BeverageCost[[#This Row],[Wine]],0)</f>
        <v>0.1</v>
      </c>
      <c r="U2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7" s="112">
        <f>IFERROR(BeverageCost[[#This Row],[$Beer]]/BeverageCost[[#This Row],[Beer]],0)</f>
        <v>0.10869565217391304</v>
      </c>
      <c r="W2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7" s="112">
        <f>IFERROR(BeverageCost[[#This Row],[$Other]]/BeverageCost[[#This Row],[Other]],0)</f>
        <v>7.2727272727272724E-2</v>
      </c>
      <c r="Y2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7" s="77">
        <f>IFERROR(BeverageCost[[#This Row],[$Total]]/BeverageCost[[#This Row],[Total]],0)</f>
        <v>9.0548204158790169E-2</v>
      </c>
      <c r="AA2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7" s="78">
        <f>IFERROR(BeverageCost[[#This Row],[$Total]]/$Q$5,0)</f>
        <v>1.6719562498963758E-3</v>
      </c>
      <c r="AC27" s="113"/>
    </row>
    <row r="28" spans="2:34" x14ac:dyDescent="0.25">
      <c r="B28" s="114">
        <v>20</v>
      </c>
      <c r="C28" s="154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55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55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08">
        <f>SUMIFS(MainData[ExtendedPrice],MainData[BillID],BeverageCost[[#This Row],[BillID]],MainData[Billable?],"Y",MainData[Category],"Beverage",MainData[Product],H$7)</f>
        <v>2704.65</v>
      </c>
      <c r="I28" s="109">
        <f>SUMIFS(MainData[ExtendedPrice],MainData[BillID],BeverageCost[[#This Row],[BillID]],MainData[Billable?],"Y",MainData[Category],"Beverage",MainData[Product],I$7)</f>
        <v>1680</v>
      </c>
      <c r="J28" s="109">
        <f>SUMIFS(MainData[ExtendedPrice],MainData[BillID],BeverageCost[[#This Row],[BillID]],MainData[Billable?],"Y",MainData[Category],"Beverage",MainData[Product],J$7)</f>
        <v>1190</v>
      </c>
      <c r="K2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0">
        <f>SUMIFS(MainData[ExtendedCost],MainData[BillID],BeverageCost[[#This Row],[BillID]],MainData[Billable?],"Y",MainData[Category],"Beverage",MainData[Product],H$7)</f>
        <v>281.7</v>
      </c>
      <c r="N28" s="109">
        <f>SUMIFS(MainData[ExtendedCost],MainData[BillID],BeverageCost[[#This Row],[BillID]],MainData[Billable?],"Y",MainData[Category],"Beverage",MainData[Product],I$7)</f>
        <v>168</v>
      </c>
      <c r="O28" s="109">
        <f>SUMIFS(MainData[ExtendedCost],MainData[BillID],BeverageCost[[#This Row],[BillID]],MainData[Billable?],"Y",MainData[Category],"Beverage",MainData[Product],J$7)</f>
        <v>120</v>
      </c>
      <c r="P2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11">
        <f>IFERROR(BeverageCost[[#This Row],[$Liq]]/BeverageCost[[#This Row],[Liquor]],0)</f>
        <v>0.10415395707392823</v>
      </c>
      <c r="S2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8" s="112">
        <f>IFERROR(BeverageCost[[#This Row],[$Wine]]/BeverageCost[[#This Row],[Wine]],0)</f>
        <v>0.1</v>
      </c>
      <c r="U2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8" s="112">
        <f>IFERROR(BeverageCost[[#This Row],[$Beer]]/BeverageCost[[#This Row],[Beer]],0)</f>
        <v>0.10084033613445378</v>
      </c>
      <c r="W2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8" s="112">
        <f>IFERROR(BeverageCost[[#This Row],[$Other]]/BeverageCost[[#This Row],[Other]],0)</f>
        <v>0.05</v>
      </c>
      <c r="Y2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8" s="77">
        <f>IFERROR(BeverageCost[[#This Row],[$Total]]/BeverageCost[[#This Row],[Total]],0)</f>
        <v>0.10145632355671882</v>
      </c>
      <c r="AA2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8" s="78">
        <f>IFERROR(BeverageCost[[#This Row],[$Total]]/$Q$5,0)</f>
        <v>1.0012539671874226E-2</v>
      </c>
      <c r="AC28" s="113"/>
    </row>
    <row r="29" spans="2:34" x14ac:dyDescent="0.25">
      <c r="B29" s="114">
        <v>21</v>
      </c>
      <c r="C29" s="154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55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55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08">
        <f>SUMIFS(MainData[ExtendedPrice],MainData[BillID],BeverageCost[[#This Row],[BillID]],MainData[Billable?],"Y",MainData[Category],"Beverage",MainData[Product],H$7)</f>
        <v>14326.97</v>
      </c>
      <c r="I29" s="109">
        <f>SUMIFS(MainData[ExtendedPrice],MainData[BillID],BeverageCost[[#This Row],[BillID]],MainData[Billable?],"Y",MainData[Category],"Beverage",MainData[Product],I$7)</f>
        <v>11149.23</v>
      </c>
      <c r="J29" s="109">
        <f>SUMIFS(MainData[ExtendedPrice],MainData[BillID],BeverageCost[[#This Row],[BillID]],MainData[Billable?],"Y",MainData[Category],"Beverage",MainData[Product],J$7)</f>
        <v>8990.11</v>
      </c>
      <c r="K2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0">
        <f>SUMIFS(MainData[ExtendedCost],MainData[BillID],BeverageCost[[#This Row],[BillID]],MainData[Billable?],"Y",MainData[Category],"Beverage",MainData[Product],H$7)</f>
        <v>1323.2</v>
      </c>
      <c r="N29" s="109">
        <f>SUMIFS(MainData[ExtendedCost],MainData[BillID],BeverageCost[[#This Row],[BillID]],MainData[Billable?],"Y",MainData[Category],"Beverage",MainData[Product],I$7)</f>
        <v>1110</v>
      </c>
      <c r="O29" s="109">
        <f>SUMIFS(MainData[ExtendedCost],MainData[BillID],BeverageCost[[#This Row],[BillID]],MainData[Billable?],"Y",MainData[Category],"Beverage",MainData[Product],J$7)</f>
        <v>890</v>
      </c>
      <c r="P2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11">
        <f>IFERROR(BeverageCost[[#This Row],[$Liq]]/BeverageCost[[#This Row],[Liquor]],0)</f>
        <v>9.2357281407024663E-2</v>
      </c>
      <c r="S2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9" s="112">
        <f>IFERROR(BeverageCost[[#This Row],[$Wine]]/BeverageCost[[#This Row],[Wine]],0)</f>
        <v>9.9558444843276181E-2</v>
      </c>
      <c r="U2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9" s="112">
        <f>IFERROR(BeverageCost[[#This Row],[$Beer]]/BeverageCost[[#This Row],[Beer]],0)</f>
        <v>9.899767633543971E-2</v>
      </c>
      <c r="W2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9" s="112">
        <f>IFERROR(BeverageCost[[#This Row],[$Other]]/BeverageCost[[#This Row],[Other]],0)</f>
        <v>5.7778804956532558E-2</v>
      </c>
      <c r="Y2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9" s="77">
        <f>IFERROR(BeverageCost[[#This Row],[$Total]]/BeverageCost[[#This Row],[Total]],0)</f>
        <v>9.519744858924753E-2</v>
      </c>
      <c r="AA2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9" s="78">
        <f>IFERROR(BeverageCost[[#This Row],[$Total]]/$Q$5,0)</f>
        <v>5.9132799226502088E-2</v>
      </c>
      <c r="AC29" s="113"/>
    </row>
    <row r="30" spans="2:34" x14ac:dyDescent="0.25">
      <c r="B30" s="114">
        <v>22</v>
      </c>
      <c r="C30" s="154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55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55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08">
        <f>SUMIFS(MainData[ExtendedPrice],MainData[BillID],BeverageCost[[#This Row],[BillID]],MainData[Billable?],"Y",MainData[Category],"Beverage",MainData[Product],H$7)</f>
        <v>0</v>
      </c>
      <c r="I30" s="109">
        <f>SUMIFS(MainData[ExtendedPrice],MainData[BillID],BeverageCost[[#This Row],[BillID]],MainData[Billable?],"Y",MainData[Category],"Beverage",MainData[Product],I$7)</f>
        <v>9456</v>
      </c>
      <c r="J30" s="109">
        <f>SUMIFS(MainData[ExtendedPrice],MainData[BillID],BeverageCost[[#This Row],[BillID]],MainData[Billable?],"Y",MainData[Category],"Beverage",MainData[Product],J$7)</f>
        <v>0</v>
      </c>
      <c r="K3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0">
        <f>SUMIFS(MainData[ExtendedCost],MainData[BillID],BeverageCost[[#This Row],[BillID]],MainData[Billable?],"Y",MainData[Category],"Beverage",MainData[Product],H$7)</f>
        <v>0</v>
      </c>
      <c r="N30" s="109">
        <f>SUMIFS(MainData[ExtendedCost],MainData[BillID],BeverageCost[[#This Row],[BillID]],MainData[Billable?],"Y",MainData[Category],"Beverage",MainData[Product],I$7)</f>
        <v>827.4</v>
      </c>
      <c r="O30" s="109">
        <f>SUMIFS(MainData[ExtendedCost],MainData[BillID],BeverageCost[[#This Row],[BillID]],MainData[Billable?],"Y",MainData[Category],"Beverage",MainData[Product],J$7)</f>
        <v>0</v>
      </c>
      <c r="P3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11">
        <f>IFERROR(BeverageCost[[#This Row],[$Liq]]/BeverageCost[[#This Row],[Liquor]],0)</f>
        <v>0</v>
      </c>
      <c r="S3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0" s="112">
        <f>IFERROR(BeverageCost[[#This Row],[$Wine]]/BeverageCost[[#This Row],[Wine]],0)</f>
        <v>8.7499999999999994E-2</v>
      </c>
      <c r="U3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0" s="112">
        <f>IFERROR(BeverageCost[[#This Row],[$Beer]]/BeverageCost[[#This Row],[Beer]],0)</f>
        <v>0</v>
      </c>
      <c r="W3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0" s="112">
        <f>IFERROR(BeverageCost[[#This Row],[$Other]]/BeverageCost[[#This Row],[Other]],0)</f>
        <v>0</v>
      </c>
      <c r="Y3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0" s="77">
        <f>IFERROR(BeverageCost[[#This Row],[$Total]]/BeverageCost[[#This Row],[Total]],0)</f>
        <v>8.7499999999999994E-2</v>
      </c>
      <c r="AA3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0" s="78">
        <f>IFERROR(BeverageCost[[#This Row],[$Total]]/$Q$5,0)</f>
        <v>1.4440256797121725E-2</v>
      </c>
      <c r="AC30" s="113"/>
    </row>
    <row r="31" spans="2:34" x14ac:dyDescent="0.25">
      <c r="B31" s="114">
        <v>23</v>
      </c>
      <c r="C31" s="154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55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55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08">
        <f>SUMIFS(MainData[ExtendedPrice],MainData[BillID],BeverageCost[[#This Row],[BillID]],MainData[Billable?],"Y",MainData[Category],"Beverage",MainData[Product],H$7)</f>
        <v>0</v>
      </c>
      <c r="I31" s="109">
        <f>SUMIFS(MainData[ExtendedPrice],MainData[BillID],BeverageCost[[#This Row],[BillID]],MainData[Billable?],"Y",MainData[Category],"Beverage",MainData[Product],I$7)</f>
        <v>155</v>
      </c>
      <c r="J31" s="109">
        <f>SUMIFS(MainData[ExtendedPrice],MainData[BillID],BeverageCost[[#This Row],[BillID]],MainData[Billable?],"Y",MainData[Category],"Beverage",MainData[Product],J$7)</f>
        <v>40</v>
      </c>
      <c r="K3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0">
        <f>SUMIFS(MainData[ExtendedCost],MainData[BillID],BeverageCost[[#This Row],[BillID]],MainData[Billable?],"Y",MainData[Category],"Beverage",MainData[Product],H$7)</f>
        <v>0</v>
      </c>
      <c r="N31" s="109">
        <f>SUMIFS(MainData[ExtendedCost],MainData[BillID],BeverageCost[[#This Row],[BillID]],MainData[Billable?],"Y",MainData[Category],"Beverage",MainData[Product],I$7)</f>
        <v>50.75</v>
      </c>
      <c r="O31" s="109">
        <f>SUMIFS(MainData[ExtendedCost],MainData[BillID],BeverageCost[[#This Row],[BillID]],MainData[Billable?],"Y",MainData[Category],"Beverage",MainData[Product],J$7)</f>
        <v>4</v>
      </c>
      <c r="P3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11">
        <f>IFERROR(BeverageCost[[#This Row],[$Liq]]/BeverageCost[[#This Row],[Liquor]],0)</f>
        <v>0</v>
      </c>
      <c r="S3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1" s="112">
        <f>IFERROR(BeverageCost[[#This Row],[$Wine]]/BeverageCost[[#This Row],[Wine]],0)</f>
        <v>0.32741935483870965</v>
      </c>
      <c r="U3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1" s="112">
        <f>IFERROR(BeverageCost[[#This Row],[$Beer]]/BeverageCost[[#This Row],[Beer]],0)</f>
        <v>0.1</v>
      </c>
      <c r="W3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1" s="112">
        <f>IFERROR(BeverageCost[[#This Row],[$Other]]/BeverageCost[[#This Row],[Other]],0)</f>
        <v>0.05</v>
      </c>
      <c r="Y3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1" s="77">
        <f>IFERROR(BeverageCost[[#This Row],[$Total]]/BeverageCost[[#This Row],[Total]],0)</f>
        <v>0.25454545454545452</v>
      </c>
      <c r="AA3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1" s="78">
        <f>IFERROR(BeverageCost[[#This Row],[$Total]]/$Q$5,0)</f>
        <v>9.7734394565967674E-4</v>
      </c>
      <c r="AC31" s="113" t="s">
        <v>8</v>
      </c>
    </row>
    <row r="32" spans="2:34" x14ac:dyDescent="0.25">
      <c r="B32" s="114">
        <v>24</v>
      </c>
      <c r="C32" s="154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55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55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08">
        <f>SUMIFS(MainData[ExtendedPrice],MainData[BillID],BeverageCost[[#This Row],[BillID]],MainData[Billable?],"Y",MainData[Category],"Beverage",MainData[Product],H$7)</f>
        <v>0</v>
      </c>
      <c r="I32" s="109">
        <f>SUMIFS(MainData[ExtendedPrice],MainData[BillID],BeverageCost[[#This Row],[BillID]],MainData[Billable?],"Y",MainData[Category],"Beverage",MainData[Product],I$7)</f>
        <v>143.68</v>
      </c>
      <c r="J32" s="109">
        <f>SUMIFS(MainData[ExtendedPrice],MainData[BillID],BeverageCost[[#This Row],[BillID]],MainData[Billable?],"Y",MainData[Category],"Beverage",MainData[Product],J$7)</f>
        <v>890</v>
      </c>
      <c r="K3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0">
        <f>SUMIFS(MainData[ExtendedCost],MainData[BillID],BeverageCost[[#This Row],[BillID]],MainData[Billable?],"Y",MainData[Category],"Beverage",MainData[Product],H$7)</f>
        <v>0</v>
      </c>
      <c r="N32" s="109">
        <f>SUMIFS(MainData[ExtendedCost],MainData[BillID],BeverageCost[[#This Row],[BillID]],MainData[Billable?],"Y",MainData[Category],"Beverage",MainData[Product],I$7)</f>
        <v>26.66</v>
      </c>
      <c r="O32" s="109">
        <f>SUMIFS(MainData[ExtendedCost],MainData[BillID],BeverageCost[[#This Row],[BillID]],MainData[Billable?],"Y",MainData[Category],"Beverage",MainData[Product],J$7)</f>
        <v>89</v>
      </c>
      <c r="P3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11">
        <f>IFERROR(BeverageCost[[#This Row],[$Liq]]/BeverageCost[[#This Row],[Liquor]],0)</f>
        <v>0</v>
      </c>
      <c r="S3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2" s="112">
        <f>IFERROR(BeverageCost[[#This Row],[$Wine]]/BeverageCost[[#This Row],[Wine]],0)</f>
        <v>0.18555122494432069</v>
      </c>
      <c r="U3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2" s="112">
        <f>IFERROR(BeverageCost[[#This Row],[$Beer]]/BeverageCost[[#This Row],[Beer]],0)</f>
        <v>0.1</v>
      </c>
      <c r="W3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2" s="112">
        <f>IFERROR(BeverageCost[[#This Row],[$Other]]/BeverageCost[[#This Row],[Other]],0)</f>
        <v>0.05</v>
      </c>
      <c r="Y3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2" s="77">
        <f>IFERROR(BeverageCost[[#This Row],[$Total]]/BeverageCost[[#This Row],[Total]],0)</f>
        <v>9.4623625913732481E-2</v>
      </c>
      <c r="AA3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2" s="78">
        <f>IFERROR(BeverageCost[[#This Row],[$Total]]/$Q$5,0)</f>
        <v>2.3676157083605672E-3</v>
      </c>
      <c r="AC32" s="113" t="s">
        <v>8</v>
      </c>
    </row>
    <row r="33" spans="2:29" x14ac:dyDescent="0.25">
      <c r="B33" s="114">
        <v>25</v>
      </c>
      <c r="C33" s="154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55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55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08">
        <f>SUMIFS(MainData[ExtendedPrice],MainData[BillID],BeverageCost[[#This Row],[BillID]],MainData[Billable?],"Y",MainData[Category],"Beverage",MainData[Product],H$7)</f>
        <v>0</v>
      </c>
      <c r="I33" s="109">
        <f>SUMIFS(MainData[ExtendedPrice],MainData[BillID],BeverageCost[[#This Row],[BillID]],MainData[Billable?],"Y",MainData[Category],"Beverage",MainData[Product],I$7)</f>
        <v>287.89999999999998</v>
      </c>
      <c r="J33" s="109">
        <f>SUMIFS(MainData[ExtendedPrice],MainData[BillID],BeverageCost[[#This Row],[BillID]],MainData[Billable?],"Y",MainData[Category],"Beverage",MainData[Product],J$7)</f>
        <v>249.95</v>
      </c>
      <c r="K3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0">
        <f>SUMIFS(MainData[ExtendedCost],MainData[BillID],BeverageCost[[#This Row],[BillID]],MainData[Billable?],"Y",MainData[Category],"Beverage",MainData[Product],H$7)</f>
        <v>0</v>
      </c>
      <c r="N33" s="109">
        <f>SUMIFS(MainData[ExtendedCost],MainData[BillID],BeverageCost[[#This Row],[BillID]],MainData[Billable?],"Y",MainData[Category],"Beverage",MainData[Product],I$7)</f>
        <v>70.97</v>
      </c>
      <c r="O33" s="109">
        <f>SUMIFS(MainData[ExtendedCost],MainData[BillID],BeverageCost[[#This Row],[BillID]],MainData[Billable?],"Y",MainData[Category],"Beverage",MainData[Product],J$7)</f>
        <v>25</v>
      </c>
      <c r="P3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11">
        <f>IFERROR(BeverageCost[[#This Row],[$Liq]]/BeverageCost[[#This Row],[Liquor]],0)</f>
        <v>0</v>
      </c>
      <c r="S3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3" s="112">
        <f>IFERROR(BeverageCost[[#This Row],[$Wine]]/BeverageCost[[#This Row],[Wine]],0)</f>
        <v>0.24650920458492534</v>
      </c>
      <c r="U3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3" s="112">
        <f>IFERROR(BeverageCost[[#This Row],[$Beer]]/BeverageCost[[#This Row],[Beer]],0)</f>
        <v>0.10002000400080016</v>
      </c>
      <c r="W3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3" s="112">
        <f>IFERROR(BeverageCost[[#This Row],[$Other]]/BeverageCost[[#This Row],[Other]],0)</f>
        <v>4.6111281893636641E-2</v>
      </c>
      <c r="Y3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3" s="77">
        <f>IFERROR(BeverageCost[[#This Row],[$Total]]/BeverageCost[[#This Row],[Total]],0)</f>
        <v>0.16415385380902625</v>
      </c>
      <c r="AA3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3" s="78">
        <f>IFERROR(BeverageCost[[#This Row],[$Total]]/$Q$5,0)</f>
        <v>1.7272808982488968E-3</v>
      </c>
      <c r="AC33" s="113" t="s">
        <v>8</v>
      </c>
    </row>
    <row r="34" spans="2:29" x14ac:dyDescent="0.25">
      <c r="B34" s="114">
        <v>26</v>
      </c>
      <c r="C34" s="154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55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55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08">
        <f>SUMIFS(MainData[ExtendedPrice],MainData[BillID],BeverageCost[[#This Row],[BillID]],MainData[Billable?],"Y",MainData[Category],"Beverage",MainData[Product],H$7)</f>
        <v>0</v>
      </c>
      <c r="I34" s="109">
        <f>SUMIFS(MainData[ExtendedPrice],MainData[BillID],BeverageCost[[#This Row],[BillID]],MainData[Billable?],"Y",MainData[Category],"Beverage",MainData[Product],I$7)</f>
        <v>276</v>
      </c>
      <c r="J34" s="109">
        <f>SUMIFS(MainData[ExtendedPrice],MainData[BillID],BeverageCost[[#This Row],[BillID]],MainData[Billable?],"Y",MainData[Category],"Beverage",MainData[Product],J$7)</f>
        <v>125</v>
      </c>
      <c r="K3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0">
        <f>SUMIFS(MainData[ExtendedCost],MainData[BillID],BeverageCost[[#This Row],[BillID]],MainData[Billable?],"Y",MainData[Category],"Beverage",MainData[Product],H$7)</f>
        <v>0</v>
      </c>
      <c r="N34" s="109">
        <f>SUMIFS(MainData[ExtendedCost],MainData[BillID],BeverageCost[[#This Row],[BillID]],MainData[Billable?],"Y",MainData[Category],"Beverage",MainData[Product],I$7)</f>
        <v>60</v>
      </c>
      <c r="O34" s="109">
        <f>SUMIFS(MainData[ExtendedCost],MainData[BillID],BeverageCost[[#This Row],[BillID]],MainData[Billable?],"Y",MainData[Category],"Beverage",MainData[Product],J$7)</f>
        <v>12.5</v>
      </c>
      <c r="P3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11">
        <f>IFERROR(BeverageCost[[#This Row],[$Liq]]/BeverageCost[[#This Row],[Liquor]],0)</f>
        <v>0</v>
      </c>
      <c r="S3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4" s="112">
        <f>IFERROR(BeverageCost[[#This Row],[$Wine]]/BeverageCost[[#This Row],[Wine]],0)</f>
        <v>0.21739130434782608</v>
      </c>
      <c r="U3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4" s="112">
        <f>IFERROR(BeverageCost[[#This Row],[$Beer]]/BeverageCost[[#This Row],[Beer]],0)</f>
        <v>0.1</v>
      </c>
      <c r="W3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4" s="112">
        <f>IFERROR(BeverageCost[[#This Row],[$Other]]/BeverageCost[[#This Row],[Other]],0)</f>
        <v>4.5454545454545456E-2</v>
      </c>
      <c r="Y3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4" s="77">
        <f>IFERROR(BeverageCost[[#This Row],[$Total]]/BeverageCost[[#This Row],[Total]],0)</f>
        <v>0.16447368421052633</v>
      </c>
      <c r="AA3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4" s="78">
        <f>IFERROR(BeverageCost[[#This Row],[$Total]]/$Q$5,0)</f>
        <v>1.3089427843656386E-3</v>
      </c>
      <c r="AC34" s="113" t="s">
        <v>8</v>
      </c>
    </row>
    <row r="35" spans="2:29" x14ac:dyDescent="0.25">
      <c r="B35" s="114">
        <v>28</v>
      </c>
      <c r="C35" s="154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55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55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08">
        <f>SUMIFS(MainData[ExtendedPrice],MainData[BillID],BeverageCost[[#This Row],[BillID]],MainData[Billable?],"Y",MainData[Category],"Beverage",MainData[Product],H$7)</f>
        <v>13326</v>
      </c>
      <c r="I35" s="109">
        <f>SUMIFS(MainData[ExtendedPrice],MainData[BillID],BeverageCost[[#This Row],[BillID]],MainData[Billable?],"Y",MainData[Category],"Beverage",MainData[Product],I$7)</f>
        <v>9800</v>
      </c>
      <c r="J35" s="109">
        <f>SUMIFS(MainData[ExtendedPrice],MainData[BillID],BeverageCost[[#This Row],[BillID]],MainData[Billable?],"Y",MainData[Category],"Beverage",MainData[Product],J$7)</f>
        <v>11001</v>
      </c>
      <c r="K3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0">
        <f>SUMIFS(MainData[ExtendedCost],MainData[BillID],BeverageCost[[#This Row],[BillID]],MainData[Billable?],"Y",MainData[Category],"Beverage",MainData[Product],H$7)</f>
        <v>1778.4</v>
      </c>
      <c r="N35" s="109">
        <f>SUMIFS(MainData[ExtendedCost],MainData[BillID],BeverageCost[[#This Row],[BillID]],MainData[Billable?],"Y",MainData[Category],"Beverage",MainData[Product],I$7)</f>
        <v>1500</v>
      </c>
      <c r="O35" s="109">
        <f>SUMIFS(MainData[ExtendedCost],MainData[BillID],BeverageCost[[#This Row],[BillID]],MainData[Billable?],"Y",MainData[Category],"Beverage",MainData[Product],J$7)</f>
        <v>120</v>
      </c>
      <c r="P3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11">
        <f>IFERROR(BeverageCost[[#This Row],[$Liq]]/BeverageCost[[#This Row],[Liquor]],0)</f>
        <v>0.13345339936965331</v>
      </c>
      <c r="S3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5" s="112">
        <f>IFERROR(BeverageCost[[#This Row],[$Wine]]/BeverageCost[[#This Row],[Wine]],0)</f>
        <v>0.15306122448979592</v>
      </c>
      <c r="U3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5" s="112">
        <f>IFERROR(BeverageCost[[#This Row],[$Beer]]/BeverageCost[[#This Row],[Beer]],0)</f>
        <v>1.09080992637033E-2</v>
      </c>
      <c r="W3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5" s="112">
        <f>IFERROR(BeverageCost[[#This Row],[$Other]]/BeverageCost[[#This Row],[Other]],0)</f>
        <v>4.9982506122856998E-2</v>
      </c>
      <c r="Y3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5" s="77">
        <f>IFERROR(BeverageCost[[#This Row],[$Total]]/BeverageCost[[#This Row],[Total]],0)</f>
        <v>9.6321052654632755E-2</v>
      </c>
      <c r="AA3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5" s="78">
        <f>IFERROR(BeverageCost[[#This Row],[$Total]]/$Q$5,0)</f>
        <v>6.1405123900160841E-2</v>
      </c>
      <c r="AC35" s="113" t="s">
        <v>8</v>
      </c>
    </row>
    <row r="36" spans="2:29" x14ac:dyDescent="0.25">
      <c r="B36" s="114">
        <v>29</v>
      </c>
      <c r="C36" s="154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55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55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08">
        <f>SUMIFS(MainData[ExtendedPrice],MainData[BillID],BeverageCost[[#This Row],[BillID]],MainData[Billable?],"Y",MainData[Category],"Beverage",MainData[Product],H$7)</f>
        <v>0</v>
      </c>
      <c r="I36" s="109">
        <f>SUMIFS(MainData[ExtendedPrice],MainData[BillID],BeverageCost[[#This Row],[BillID]],MainData[Billable?],"Y",MainData[Category],"Beverage",MainData[Product],I$7)</f>
        <v>521.58000000000004</v>
      </c>
      <c r="J36" s="109">
        <f>SUMIFS(MainData[ExtendedPrice],MainData[BillID],BeverageCost[[#This Row],[BillID]],MainData[Billable?],"Y",MainData[Category],"Beverage",MainData[Product],J$7)</f>
        <v>450</v>
      </c>
      <c r="K3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0">
        <f>SUMIFS(MainData[ExtendedCost],MainData[BillID],BeverageCost[[#This Row],[BillID]],MainData[Billable?],"Y",MainData[Category],"Beverage",MainData[Product],H$7)</f>
        <v>0</v>
      </c>
      <c r="N36" s="109">
        <f>SUMIFS(MainData[ExtendedCost],MainData[BillID],BeverageCost[[#This Row],[BillID]],MainData[Billable?],"Y",MainData[Category],"Beverage",MainData[Product],I$7)</f>
        <v>44.34</v>
      </c>
      <c r="O36" s="109">
        <f>SUMIFS(MainData[ExtendedCost],MainData[BillID],BeverageCost[[#This Row],[BillID]],MainData[Billable?],"Y",MainData[Category],"Beverage",MainData[Product],J$7)</f>
        <v>49</v>
      </c>
      <c r="P3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11">
        <f>IFERROR(BeverageCost[[#This Row],[$Liq]]/BeverageCost[[#This Row],[Liquor]],0)</f>
        <v>0</v>
      </c>
      <c r="S3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6" s="112">
        <f>IFERROR(BeverageCost[[#This Row],[$Wine]]/BeverageCost[[#This Row],[Wine]],0)</f>
        <v>8.5010928333141611E-2</v>
      </c>
      <c r="U3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6" s="112">
        <f>IFERROR(BeverageCost[[#This Row],[$Beer]]/BeverageCost[[#This Row],[Beer]],0)</f>
        <v>0.10888888888888888</v>
      </c>
      <c r="W3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6" s="112">
        <f>IFERROR(BeverageCost[[#This Row],[$Other]]/BeverageCost[[#This Row],[Other]],0)</f>
        <v>0.05</v>
      </c>
      <c r="Y3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6" s="77">
        <f>IFERROR(BeverageCost[[#This Row],[$Total]]/BeverageCost[[#This Row],[Total]],0)</f>
        <v>8.6344370645837068E-2</v>
      </c>
      <c r="AA3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6" s="78">
        <f>IFERROR(BeverageCost[[#This Row],[$Total]]/$Q$5,0)</f>
        <v>1.8559063425258935E-3</v>
      </c>
      <c r="AC36" s="113" t="s">
        <v>8</v>
      </c>
    </row>
    <row r="37" spans="2:29" x14ac:dyDescent="0.25">
      <c r="B37" s="114">
        <v>27</v>
      </c>
      <c r="C37" s="154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55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55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08">
        <f>SUMIFS(MainData[ExtendedPrice],MainData[BillID],BeverageCost[[#This Row],[BillID]],MainData[Billable?],"Y",MainData[Category],"Beverage",MainData[Product],H$7)</f>
        <v>0</v>
      </c>
      <c r="I37" s="109">
        <f>SUMIFS(MainData[ExtendedPrice],MainData[BillID],BeverageCost[[#This Row],[BillID]],MainData[Billable?],"Y",MainData[Category],"Beverage",MainData[Product],I$7)</f>
        <v>41</v>
      </c>
      <c r="J37" s="109">
        <f>SUMIFS(MainData[ExtendedPrice],MainData[BillID],BeverageCost[[#This Row],[BillID]],MainData[Billable?],"Y",MainData[Category],"Beverage",MainData[Product],J$7)</f>
        <v>0</v>
      </c>
      <c r="K3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0">
        <f>SUMIFS(MainData[ExtendedCost],MainData[BillID],BeverageCost[[#This Row],[BillID]],MainData[Billable?],"Y",MainData[Category],"Beverage",MainData[Product],H$7)</f>
        <v>0</v>
      </c>
      <c r="N37" s="109">
        <f>SUMIFS(MainData[ExtendedCost],MainData[BillID],BeverageCost[[#This Row],[BillID]],MainData[Billable?],"Y",MainData[Category],"Beverage",MainData[Product],I$7)</f>
        <v>11.5</v>
      </c>
      <c r="O37" s="109">
        <f>SUMIFS(MainData[ExtendedCost],MainData[BillID],BeverageCost[[#This Row],[BillID]],MainData[Billable?],"Y",MainData[Category],"Beverage",MainData[Product],J$7)</f>
        <v>0</v>
      </c>
      <c r="P3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11">
        <f>IFERROR(BeverageCost[[#This Row],[$Liq]]/BeverageCost[[#This Row],[Liquor]],0)</f>
        <v>0</v>
      </c>
      <c r="S3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7" s="112">
        <f>IFERROR(BeverageCost[[#This Row],[$Wine]]/BeverageCost[[#This Row],[Wine]],0)</f>
        <v>0.28048780487804881</v>
      </c>
      <c r="U3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7" s="112">
        <f>IFERROR(BeverageCost[[#This Row],[$Beer]]/BeverageCost[[#This Row],[Beer]],0)</f>
        <v>0</v>
      </c>
      <c r="W3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7" s="112">
        <f>IFERROR(BeverageCost[[#This Row],[$Other]]/BeverageCost[[#This Row],[Other]],0)</f>
        <v>0</v>
      </c>
      <c r="Y3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7" s="77">
        <f>IFERROR(BeverageCost[[#This Row],[$Total]]/BeverageCost[[#This Row],[Total]],0)</f>
        <v>0.28048780487804881</v>
      </c>
      <c r="AA3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7" s="78">
        <f>IFERROR(BeverageCost[[#This Row],[$Total]]/$Q$5,0)</f>
        <v>2.0070456026939791E-4</v>
      </c>
      <c r="AC37" s="113" t="s">
        <v>6</v>
      </c>
    </row>
    <row r="38" spans="2:29" x14ac:dyDescent="0.25">
      <c r="B38" s="114">
        <v>30</v>
      </c>
      <c r="C38" s="154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55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55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08">
        <f>SUMIFS(MainData[ExtendedPrice],MainData[BillID],BeverageCost[[#This Row],[BillID]],MainData[Billable?],"Y",MainData[Category],"Beverage",MainData[Product],H$7)</f>
        <v>0</v>
      </c>
      <c r="I38" s="109">
        <f>SUMIFS(MainData[ExtendedPrice],MainData[BillID],BeverageCost[[#This Row],[BillID]],MainData[Billable?],"Y",MainData[Category],"Beverage",MainData[Product],I$7)</f>
        <v>448.98</v>
      </c>
      <c r="J38" s="109">
        <f>SUMIFS(MainData[ExtendedPrice],MainData[BillID],BeverageCost[[#This Row],[BillID]],MainData[Billable?],"Y",MainData[Category],"Beverage",MainData[Product],J$7)</f>
        <v>0</v>
      </c>
      <c r="K3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0">
        <f>SUMIFS(MainData[ExtendedCost],MainData[BillID],BeverageCost[[#This Row],[BillID]],MainData[Billable?],"Y",MainData[Category],"Beverage",MainData[Product],H$7)</f>
        <v>0</v>
      </c>
      <c r="N38" s="109">
        <f>SUMIFS(MainData[ExtendedCost],MainData[BillID],BeverageCost[[#This Row],[BillID]],MainData[Billable?],"Y",MainData[Category],"Beverage",MainData[Product],I$7)</f>
        <v>72</v>
      </c>
      <c r="O38" s="109">
        <f>SUMIFS(MainData[ExtendedCost],MainData[BillID],BeverageCost[[#This Row],[BillID]],MainData[Billable?],"Y",MainData[Category],"Beverage",MainData[Product],J$7)</f>
        <v>0</v>
      </c>
      <c r="P3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11">
        <f>IFERROR(BeverageCost[[#This Row],[$Liq]]/BeverageCost[[#This Row],[Liquor]],0)</f>
        <v>0</v>
      </c>
      <c r="S3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8" s="112">
        <f>IFERROR(BeverageCost[[#This Row],[$Wine]]/BeverageCost[[#This Row],[Wine]],0)</f>
        <v>0.16036349057864493</v>
      </c>
      <c r="U3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8" s="112">
        <f>IFERROR(BeverageCost[[#This Row],[$Beer]]/BeverageCost[[#This Row],[Beer]],0)</f>
        <v>0</v>
      </c>
      <c r="W3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8" s="112">
        <f>IFERROR(BeverageCost[[#This Row],[$Other]]/BeverageCost[[#This Row],[Other]],0)</f>
        <v>0</v>
      </c>
      <c r="Y3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8" s="77">
        <f>IFERROR(BeverageCost[[#This Row],[$Total]]/BeverageCost[[#This Row],[Total]],0)</f>
        <v>0.16036349057864493</v>
      </c>
      <c r="AA3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8" s="78">
        <f>IFERROR(BeverageCost[[#This Row],[$Total]]/$Q$5,0)</f>
        <v>1.2565850729910131E-3</v>
      </c>
      <c r="AC38" s="113" t="s">
        <v>8</v>
      </c>
    </row>
    <row r="39" spans="2:29" x14ac:dyDescent="0.25">
      <c r="B39" s="114">
        <v>33</v>
      </c>
      <c r="C39" s="154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55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55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08">
        <f>SUMIFS(MainData[ExtendedPrice],MainData[BillID],BeverageCost[[#This Row],[BillID]],MainData[Billable?],"Y",MainData[Category],"Beverage",MainData[Product],H$7)</f>
        <v>400</v>
      </c>
      <c r="I39" s="109">
        <f>SUMIFS(MainData[ExtendedPrice],MainData[BillID],BeverageCost[[#This Row],[BillID]],MainData[Billable?],"Y",MainData[Category],"Beverage",MainData[Product],I$7)</f>
        <v>895</v>
      </c>
      <c r="J39" s="109">
        <f>SUMIFS(MainData[ExtendedPrice],MainData[BillID],BeverageCost[[#This Row],[BillID]],MainData[Billable?],"Y",MainData[Category],"Beverage",MainData[Product],J$7)</f>
        <v>120</v>
      </c>
      <c r="K3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39" s="3">
        <f>SUM(BeverageCost[[#This Row],[Liquor]:[Other]])</f>
        <v>1450</v>
      </c>
      <c r="M39" s="110">
        <f>SUMIFS(MainData[ExtendedCost],MainData[BillID],BeverageCost[[#This Row],[BillID]],MainData[Billable?],"Y",MainData[Category],"Beverage",MainData[Product],H$7)</f>
        <v>34.950000000000003</v>
      </c>
      <c r="N39" s="109">
        <f>SUMIFS(MainData[ExtendedCost],MainData[BillID],BeverageCost[[#This Row],[BillID]],MainData[Billable?],"Y",MainData[Category],"Beverage",MainData[Product],I$7)</f>
        <v>118.55</v>
      </c>
      <c r="O39" s="109">
        <f>SUMIFS(MainData[ExtendedCost],MainData[BillID],BeverageCost[[#This Row],[BillID]],MainData[Billable?],"Y",MainData[Category],"Beverage",MainData[Product],J$7)</f>
        <v>12</v>
      </c>
      <c r="P3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9" s="3">
        <f>SUM(BeverageCost[[#This Row],[$Liq]:[$Other]])</f>
        <v>166.75</v>
      </c>
      <c r="R39" s="111">
        <f>IFERROR(BeverageCost[[#This Row],[$Liq]]/BeverageCost[[#This Row],[Liquor]],0)</f>
        <v>8.7375000000000008E-2</v>
      </c>
      <c r="S3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9" s="112">
        <f>IFERROR(BeverageCost[[#This Row],[$Wine]]/BeverageCost[[#This Row],[Wine]],0)</f>
        <v>0.13245810055865923</v>
      </c>
      <c r="U3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9" s="112">
        <f>IFERROR(BeverageCost[[#This Row],[$Beer]]/BeverageCost[[#This Row],[Beer]],0)</f>
        <v>0.1</v>
      </c>
      <c r="W3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9" s="112">
        <f>IFERROR(BeverageCost[[#This Row],[$Other]]/BeverageCost[[#This Row],[Other]],0)</f>
        <v>3.5714285714285712E-2</v>
      </c>
      <c r="Y3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9" s="77">
        <f>IFERROR(BeverageCost[[#This Row],[$Total]]/BeverageCost[[#This Row],[Total]],0)</f>
        <v>0.115</v>
      </c>
      <c r="AA3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9" s="78">
        <f>IFERROR(BeverageCost[[#This Row],[$Total]]/$Q$5,0)</f>
        <v>2.91021612390627E-3</v>
      </c>
      <c r="AC39" s="113" t="s">
        <v>13</v>
      </c>
    </row>
    <row r="40" spans="2:29" x14ac:dyDescent="0.25">
      <c r="B40" s="114">
        <v>35</v>
      </c>
      <c r="C40" s="154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55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55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08">
        <f>SUMIFS(MainData[ExtendedPrice],MainData[BillID],BeverageCost[[#This Row],[BillID]],MainData[Billable?],"Y",MainData[Category],"Beverage",MainData[Product],H$7)</f>
        <v>665.75</v>
      </c>
      <c r="I40" s="109">
        <f>SUMIFS(MainData[ExtendedPrice],MainData[BillID],BeverageCost[[#This Row],[BillID]],MainData[Billable?],"Y",MainData[Category],"Beverage",MainData[Product],I$7)</f>
        <v>0</v>
      </c>
      <c r="J40" s="109">
        <f>SUMIFS(MainData[ExtendedPrice],MainData[BillID],BeverageCost[[#This Row],[BillID]],MainData[Billable?],"Y",MainData[Category],"Beverage",MainData[Product],J$7)</f>
        <v>0</v>
      </c>
      <c r="K4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0">
        <f>SUMIFS(MainData[ExtendedCost],MainData[BillID],BeverageCost[[#This Row],[BillID]],MainData[Billable?],"Y",MainData[Category],"Beverage",MainData[Product],H$7)</f>
        <v>45</v>
      </c>
      <c r="N40" s="109">
        <f>SUMIFS(MainData[ExtendedCost],MainData[BillID],BeverageCost[[#This Row],[BillID]],MainData[Billable?],"Y",MainData[Category],"Beverage",MainData[Product],I$7)</f>
        <v>0</v>
      </c>
      <c r="O40" s="109">
        <f>SUMIFS(MainData[ExtendedCost],MainData[BillID],BeverageCost[[#This Row],[BillID]],MainData[Billable?],"Y",MainData[Category],"Beverage",MainData[Product],J$7)</f>
        <v>0</v>
      </c>
      <c r="P4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11">
        <f>IFERROR(BeverageCost[[#This Row],[$Liq]]/BeverageCost[[#This Row],[Liquor]],0)</f>
        <v>6.7592940292902748E-2</v>
      </c>
      <c r="S4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0" s="112">
        <f>IFERROR(BeverageCost[[#This Row],[$Wine]]/BeverageCost[[#This Row],[Wine]],0)</f>
        <v>0</v>
      </c>
      <c r="U4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0" s="112">
        <f>IFERROR(BeverageCost[[#This Row],[$Beer]]/BeverageCost[[#This Row],[Beer]],0)</f>
        <v>0</v>
      </c>
      <c r="W4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0" s="112">
        <f>IFERROR(BeverageCost[[#This Row],[$Other]]/BeverageCost[[#This Row],[Other]],0)</f>
        <v>0</v>
      </c>
      <c r="Y4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0" s="77">
        <f>IFERROR(BeverageCost[[#This Row],[$Total]]/BeverageCost[[#This Row],[Total]],0)</f>
        <v>6.7592940292902748E-2</v>
      </c>
      <c r="AA4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0" s="78">
        <f>IFERROR(BeverageCost[[#This Row],[$Total]]/$Q$5,0)</f>
        <v>7.8536567061938316E-4</v>
      </c>
      <c r="AC40" s="113"/>
    </row>
    <row r="41" spans="2:29" x14ac:dyDescent="0.25">
      <c r="B41" s="114">
        <v>34</v>
      </c>
      <c r="C41" s="154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55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55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08">
        <f>SUMIFS(MainData[ExtendedPrice],MainData[BillID],BeverageCost[[#This Row],[BillID]],MainData[Billable?],"Y",MainData[Category],"Beverage",MainData[Product],H$7)</f>
        <v>0</v>
      </c>
      <c r="I41" s="109">
        <f>SUMIFS(MainData[ExtendedPrice],MainData[BillID],BeverageCost[[#This Row],[BillID]],MainData[Billable?],"Y",MainData[Category],"Beverage",MainData[Product],I$7)</f>
        <v>1020</v>
      </c>
      <c r="J41" s="109">
        <f>SUMIFS(MainData[ExtendedPrice],MainData[BillID],BeverageCost[[#This Row],[BillID]],MainData[Billable?],"Y",MainData[Category],"Beverage",MainData[Product],J$7)</f>
        <v>635</v>
      </c>
      <c r="K4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0">
        <f>SUMIFS(MainData[ExtendedCost],MainData[BillID],BeverageCost[[#This Row],[BillID]],MainData[Billable?],"Y",MainData[Category],"Beverage",MainData[Product],H$7)</f>
        <v>0</v>
      </c>
      <c r="N41" s="109">
        <f>SUMIFS(MainData[ExtendedCost],MainData[BillID],BeverageCost[[#This Row],[BillID]],MainData[Billable?],"Y",MainData[Category],"Beverage",MainData[Product],I$7)</f>
        <v>43.35</v>
      </c>
      <c r="O41" s="109">
        <f>SUMIFS(MainData[ExtendedCost],MainData[BillID],BeverageCost[[#This Row],[BillID]],MainData[Billable?],"Y",MainData[Category],"Beverage",MainData[Product],J$7)</f>
        <v>63</v>
      </c>
      <c r="P4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11">
        <f>IFERROR(BeverageCost[[#This Row],[$Liq]]/BeverageCost[[#This Row],[Liquor]],0)</f>
        <v>0</v>
      </c>
      <c r="S4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1" s="112">
        <f>IFERROR(BeverageCost[[#This Row],[$Wine]]/BeverageCost[[#This Row],[Wine]],0)</f>
        <v>4.2500000000000003E-2</v>
      </c>
      <c r="U4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1" s="112">
        <f>IFERROR(BeverageCost[[#This Row],[$Beer]]/BeverageCost[[#This Row],[Beer]],0)</f>
        <v>9.9212598425196849E-2</v>
      </c>
      <c r="W4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1" s="112">
        <f>IFERROR(BeverageCost[[#This Row],[$Other]]/BeverageCost[[#This Row],[Other]],0)</f>
        <v>1.1009174311926606E-2</v>
      </c>
      <c r="Y4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1" s="77">
        <f>IFERROR(BeverageCost[[#This Row],[$Total]]/BeverageCost[[#This Row],[Total]],0)</f>
        <v>5.1068181818181818E-2</v>
      </c>
      <c r="AA4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1" s="78">
        <f>IFERROR(BeverageCost[[#This Row],[$Total]]/$Q$5,0)</f>
        <v>1.9607962909797268E-3</v>
      </c>
      <c r="AC41" s="113"/>
    </row>
    <row r="42" spans="2:29" x14ac:dyDescent="0.25">
      <c r="B42" s="114">
        <v>32</v>
      </c>
      <c r="C42" s="154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55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55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08">
        <f>SUMIFS(MainData[ExtendedPrice],MainData[BillID],BeverageCost[[#This Row],[BillID]],MainData[Billable?],"Y",MainData[Category],"Beverage",MainData[Product],H$7)</f>
        <v>254.92</v>
      </c>
      <c r="I42" s="109">
        <f>SUMIFS(MainData[ExtendedPrice],MainData[BillID],BeverageCost[[#This Row],[BillID]],MainData[Billable?],"Y",MainData[Category],"Beverage",MainData[Product],I$7)</f>
        <v>0</v>
      </c>
      <c r="J42" s="109">
        <f>SUMIFS(MainData[ExtendedPrice],MainData[BillID],BeverageCost[[#This Row],[BillID]],MainData[Billable?],"Y",MainData[Category],"Beverage",MainData[Product],J$7)</f>
        <v>0</v>
      </c>
      <c r="K4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0">
        <f>SUMIFS(MainData[ExtendedCost],MainData[BillID],BeverageCost[[#This Row],[BillID]],MainData[Billable?],"Y",MainData[Category],"Beverage",MainData[Product],H$7)</f>
        <v>20.39</v>
      </c>
      <c r="N42" s="109">
        <f>SUMIFS(MainData[ExtendedCost],MainData[BillID],BeverageCost[[#This Row],[BillID]],MainData[Billable?],"Y",MainData[Category],"Beverage",MainData[Product],I$7)</f>
        <v>0</v>
      </c>
      <c r="O42" s="109">
        <f>SUMIFS(MainData[ExtendedCost],MainData[BillID],BeverageCost[[#This Row],[BillID]],MainData[Billable?],"Y",MainData[Category],"Beverage",MainData[Product],J$7)</f>
        <v>0</v>
      </c>
      <c r="P4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11">
        <f>IFERROR(BeverageCost[[#This Row],[$Liq]]/BeverageCost[[#This Row],[Liquor]],0)</f>
        <v>7.9985877922485488E-2</v>
      </c>
      <c r="S4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2" s="112">
        <f>IFERROR(BeverageCost[[#This Row],[$Wine]]/BeverageCost[[#This Row],[Wine]],0)</f>
        <v>0</v>
      </c>
      <c r="U4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2" s="112">
        <f>IFERROR(BeverageCost[[#This Row],[$Beer]]/BeverageCost[[#This Row],[Beer]],0)</f>
        <v>0</v>
      </c>
      <c r="W4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2" s="112">
        <f>IFERROR(BeverageCost[[#This Row],[$Other]]/BeverageCost[[#This Row],[Other]],0)</f>
        <v>0</v>
      </c>
      <c r="Y4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2" s="77">
        <f>IFERROR(BeverageCost[[#This Row],[$Total]]/BeverageCost[[#This Row],[Total]],0)</f>
        <v>7.9985877922485488E-2</v>
      </c>
      <c r="AA4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2" s="78">
        <f>IFERROR(BeverageCost[[#This Row],[$Total]]/$Q$5,0)</f>
        <v>3.5585791164287166E-4</v>
      </c>
      <c r="AC42" s="113"/>
    </row>
    <row r="43" spans="2:29" x14ac:dyDescent="0.25">
      <c r="B43" s="114">
        <v>31</v>
      </c>
      <c r="C43" s="154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55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55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08">
        <f>SUMIFS(MainData[ExtendedPrice],MainData[BillID],BeverageCost[[#This Row],[BillID]],MainData[Billable?],"Y",MainData[Category],"Beverage",MainData[Product],H$7)</f>
        <v>0</v>
      </c>
      <c r="I43" s="109">
        <f>SUMIFS(MainData[ExtendedPrice],MainData[BillID],BeverageCost[[#This Row],[BillID]],MainData[Billable?],"Y",MainData[Category],"Beverage",MainData[Product],I$7)</f>
        <v>1220</v>
      </c>
      <c r="J43" s="109">
        <f>SUMIFS(MainData[ExtendedPrice],MainData[BillID],BeverageCost[[#This Row],[BillID]],MainData[Billable?],"Y",MainData[Category],"Beverage",MainData[Product],J$7)</f>
        <v>2400</v>
      </c>
      <c r="K4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0">
        <f>SUMIFS(MainData[ExtendedCost],MainData[BillID],BeverageCost[[#This Row],[BillID]],MainData[Billable?],"Y",MainData[Category],"Beverage",MainData[Product],H$7)</f>
        <v>0</v>
      </c>
      <c r="N43" s="109">
        <f>SUMIFS(MainData[ExtendedCost],MainData[BillID],BeverageCost[[#This Row],[BillID]],MainData[Billable?],"Y",MainData[Category],"Beverage",MainData[Product],I$7)</f>
        <v>82.46</v>
      </c>
      <c r="O43" s="109">
        <f>SUMIFS(MainData[ExtendedCost],MainData[BillID],BeverageCost[[#This Row],[BillID]],MainData[Billable?],"Y",MainData[Category],"Beverage",MainData[Product],J$7)</f>
        <v>200</v>
      </c>
      <c r="P4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11">
        <f>IFERROR(BeverageCost[[#This Row],[$Liq]]/BeverageCost[[#This Row],[Liquor]],0)</f>
        <v>0</v>
      </c>
      <c r="S4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3" s="112">
        <f>IFERROR(BeverageCost[[#This Row],[$Wine]]/BeverageCost[[#This Row],[Wine]],0)</f>
        <v>6.7590163934426226E-2</v>
      </c>
      <c r="U4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3" s="112">
        <f>IFERROR(BeverageCost[[#This Row],[$Beer]]/BeverageCost[[#This Row],[Beer]],0)</f>
        <v>8.3333333333333329E-2</v>
      </c>
      <c r="W4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3" s="112">
        <f>IFERROR(BeverageCost[[#This Row],[$Other]]/BeverageCost[[#This Row],[Other]],0)</f>
        <v>2.2222222222222223E-2</v>
      </c>
      <c r="Y4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3" s="77">
        <f>IFERROR(BeverageCost[[#This Row],[$Total]]/BeverageCost[[#This Row],[Total]],0)</f>
        <v>7.1857493857493848E-2</v>
      </c>
      <c r="AA4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3" s="78">
        <f>IFERROR(BeverageCost[[#This Row],[$Total]]/$Q$5,0)</f>
        <v>5.1041787562076616E-3</v>
      </c>
      <c r="AC43" s="113"/>
    </row>
    <row r="44" spans="2:29" x14ac:dyDescent="0.25">
      <c r="B44" s="114">
        <v>36</v>
      </c>
      <c r="C44" s="154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55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55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08">
        <f>SUMIFS(MainData[ExtendedPrice],MainData[BillID],BeverageCost[[#This Row],[BillID]],MainData[Billable?],"Y",MainData[Category],"Beverage",MainData[Product],H$7)</f>
        <v>0</v>
      </c>
      <c r="I44" s="109">
        <f>SUMIFS(MainData[ExtendedPrice],MainData[BillID],BeverageCost[[#This Row],[BillID]],MainData[Billable?],"Y",MainData[Category],"Beverage",MainData[Product],I$7)</f>
        <v>0</v>
      </c>
      <c r="J44" s="109">
        <f>SUMIFS(MainData[ExtendedPrice],MainData[BillID],BeverageCost[[#This Row],[BillID]],MainData[Billable?],"Y",MainData[Category],"Beverage",MainData[Product],J$7)</f>
        <v>0</v>
      </c>
      <c r="K4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0">
        <f>SUMIFS(MainData[ExtendedCost],MainData[BillID],BeverageCost[[#This Row],[BillID]],MainData[Billable?],"Y",MainData[Category],"Beverage",MainData[Product],H$7)</f>
        <v>0</v>
      </c>
      <c r="N44" s="109">
        <f>SUMIFS(MainData[ExtendedCost],MainData[BillID],BeverageCost[[#This Row],[BillID]],MainData[Billable?],"Y",MainData[Category],"Beverage",MainData[Product],I$7)</f>
        <v>0</v>
      </c>
      <c r="O44" s="109">
        <f>SUMIFS(MainData[ExtendedCost],MainData[BillID],BeverageCost[[#This Row],[BillID]],MainData[Billable?],"Y",MainData[Category],"Beverage",MainData[Product],J$7)</f>
        <v>0</v>
      </c>
      <c r="P4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11">
        <f>IFERROR(BeverageCost[[#This Row],[$Liq]]/BeverageCost[[#This Row],[Liquor]],0)</f>
        <v>0</v>
      </c>
      <c r="S4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4" s="112">
        <f>IFERROR(BeverageCost[[#This Row],[$Wine]]/BeverageCost[[#This Row],[Wine]],0)</f>
        <v>0</v>
      </c>
      <c r="U4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4" s="112">
        <f>IFERROR(BeverageCost[[#This Row],[$Beer]]/BeverageCost[[#This Row],[Beer]],0)</f>
        <v>0</v>
      </c>
      <c r="W4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4" s="112">
        <f>IFERROR(BeverageCost[[#This Row],[$Other]]/BeverageCost[[#This Row],[Other]],0)</f>
        <v>2.0000000000000001E-4</v>
      </c>
      <c r="Y4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4" s="77">
        <f>IFERROR(BeverageCost[[#This Row],[$Total]]/BeverageCost[[#This Row],[Total]],0)</f>
        <v>2.0000000000000001E-4</v>
      </c>
      <c r="AA4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4" s="78">
        <f>IFERROR(BeverageCost[[#This Row],[$Total]]/$Q$5,0)</f>
        <v>1.7452570458208517E-7</v>
      </c>
      <c r="AC44" s="113"/>
    </row>
    <row r="45" spans="2:29" x14ac:dyDescent="0.25">
      <c r="B45" s="114">
        <v>39</v>
      </c>
      <c r="C45" s="154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55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55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08">
        <f>SUMIFS(MainData[ExtendedPrice],MainData[BillID],BeverageCost[[#This Row],[BillID]],MainData[Billable?],"Y",MainData[Category],"Beverage",MainData[Product],H$7)</f>
        <v>434</v>
      </c>
      <c r="I45" s="109">
        <f>SUMIFS(MainData[ExtendedPrice],MainData[BillID],BeverageCost[[#This Row],[BillID]],MainData[Billable?],"Y",MainData[Category],"Beverage",MainData[Product],I$7)</f>
        <v>125</v>
      </c>
      <c r="J45" s="109">
        <f>SUMIFS(MainData[ExtendedPrice],MainData[BillID],BeverageCost[[#This Row],[BillID]],MainData[Billable?],"Y",MainData[Category],"Beverage",MainData[Product],J$7)</f>
        <v>275</v>
      </c>
      <c r="K4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0">
        <f>SUMIFS(MainData[ExtendedCost],MainData[BillID],BeverageCost[[#This Row],[BillID]],MainData[Billable?],"Y",MainData[Category],"Beverage",MainData[Product],H$7)</f>
        <v>42.49</v>
      </c>
      <c r="N45" s="109">
        <f>SUMIFS(MainData[ExtendedCost],MainData[BillID],BeverageCost[[#This Row],[BillID]],MainData[Billable?],"Y",MainData[Category],"Beverage",MainData[Product],I$7)</f>
        <v>12.5</v>
      </c>
      <c r="O45" s="109">
        <f>SUMIFS(MainData[ExtendedCost],MainData[BillID],BeverageCost[[#This Row],[BillID]],MainData[Billable?],"Y",MainData[Category],"Beverage",MainData[Product],J$7)</f>
        <v>27</v>
      </c>
      <c r="P4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11">
        <f>IFERROR(BeverageCost[[#This Row],[$Liq]]/BeverageCost[[#This Row],[Liquor]],0)</f>
        <v>9.7903225806451624E-2</v>
      </c>
      <c r="S4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5" s="112">
        <f>IFERROR(BeverageCost[[#This Row],[$Wine]]/BeverageCost[[#This Row],[Wine]],0)</f>
        <v>0.1</v>
      </c>
      <c r="U4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5" s="112">
        <f>IFERROR(BeverageCost[[#This Row],[$Beer]]/BeverageCost[[#This Row],[Beer]],0)</f>
        <v>9.8181818181818176E-2</v>
      </c>
      <c r="W4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5" s="112">
        <f>IFERROR(BeverageCost[[#This Row],[$Other]]/BeverageCost[[#This Row],[Other]],0)</f>
        <v>1.9108280254777069E-2</v>
      </c>
      <c r="Y4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5" s="77">
        <f>IFERROR(BeverageCost[[#This Row],[$Total]]/BeverageCost[[#This Row],[Total]],0)</f>
        <v>9.1495890410958916E-2</v>
      </c>
      <c r="AA4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5" s="78">
        <f>IFERROR(BeverageCost[[#This Row],[$Total]]/$Q$5,0)</f>
        <v>1.4571151075558292E-3</v>
      </c>
      <c r="AC45" s="113"/>
    </row>
    <row r="46" spans="2:29" x14ac:dyDescent="0.25">
      <c r="B46" s="114">
        <v>38</v>
      </c>
      <c r="C46" s="154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55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55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08">
        <f>SUMIFS(MainData[ExtendedPrice],MainData[BillID],BeverageCost[[#This Row],[BillID]],MainData[Billable?],"Y",MainData[Category],"Beverage",MainData[Product],H$7)</f>
        <v>0</v>
      </c>
      <c r="I46" s="109">
        <f>SUMIFS(MainData[ExtendedPrice],MainData[BillID],BeverageCost[[#This Row],[BillID]],MainData[Billable?],"Y",MainData[Category],"Beverage",MainData[Product],I$7)</f>
        <v>0</v>
      </c>
      <c r="J46" s="109">
        <f>SUMIFS(MainData[ExtendedPrice],MainData[BillID],BeverageCost[[#This Row],[BillID]],MainData[Billable?],"Y",MainData[Category],"Beverage",MainData[Product],J$7)</f>
        <v>0</v>
      </c>
      <c r="K4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0">
        <f>SUMIFS(MainData[ExtendedCost],MainData[BillID],BeverageCost[[#This Row],[BillID]],MainData[Billable?],"Y",MainData[Category],"Beverage",MainData[Product],H$7)</f>
        <v>0</v>
      </c>
      <c r="N46" s="109">
        <f>SUMIFS(MainData[ExtendedCost],MainData[BillID],BeverageCost[[#This Row],[BillID]],MainData[Billable?],"Y",MainData[Category],"Beverage",MainData[Product],I$7)</f>
        <v>0</v>
      </c>
      <c r="O46" s="109">
        <f>SUMIFS(MainData[ExtendedCost],MainData[BillID],BeverageCost[[#This Row],[BillID]],MainData[Billable?],"Y",MainData[Category],"Beverage",MainData[Product],J$7)</f>
        <v>0</v>
      </c>
      <c r="P4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11">
        <f>IFERROR(BeverageCost[[#This Row],[$Liq]]/BeverageCost[[#This Row],[Liquor]],0)</f>
        <v>0</v>
      </c>
      <c r="S4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6" s="112">
        <f>IFERROR(BeverageCost[[#This Row],[$Wine]]/BeverageCost[[#This Row],[Wine]],0)</f>
        <v>0</v>
      </c>
      <c r="U4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6" s="112">
        <f>IFERROR(BeverageCost[[#This Row],[$Beer]]/BeverageCost[[#This Row],[Beer]],0)</f>
        <v>0</v>
      </c>
      <c r="W4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6" s="112">
        <f>IFERROR(BeverageCost[[#This Row],[$Other]]/BeverageCost[[#This Row],[Other]],0)</f>
        <v>2.0000000000000001E-4</v>
      </c>
      <c r="Y4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6" s="77">
        <f>IFERROR(BeverageCost[[#This Row],[$Total]]/BeverageCost[[#This Row],[Total]],0)</f>
        <v>2.0000000000000001E-4</v>
      </c>
      <c r="AA4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6" s="78">
        <f>IFERROR(BeverageCost[[#This Row],[$Total]]/$Q$5,0)</f>
        <v>1.7452570458208517E-7</v>
      </c>
      <c r="AC46" s="113"/>
    </row>
    <row r="47" spans="2:29" x14ac:dyDescent="0.25">
      <c r="B47" s="114">
        <v>37</v>
      </c>
      <c r="C47" s="154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55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55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08">
        <f>SUMIFS(MainData[ExtendedPrice],MainData[BillID],BeverageCost[[#This Row],[BillID]],MainData[Billable?],"Y",MainData[Category],"Beverage",MainData[Product],H$7)</f>
        <v>583</v>
      </c>
      <c r="I47" s="109">
        <f>SUMIFS(MainData[ExtendedPrice],MainData[BillID],BeverageCost[[#This Row],[BillID]],MainData[Billable?],"Y",MainData[Category],"Beverage",MainData[Product],I$7)</f>
        <v>250</v>
      </c>
      <c r="J47" s="109">
        <f>SUMIFS(MainData[ExtendedPrice],MainData[BillID],BeverageCost[[#This Row],[BillID]],MainData[Billable?],"Y",MainData[Category],"Beverage",MainData[Product],J$7)</f>
        <v>165</v>
      </c>
      <c r="K4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0">
        <f>SUMIFS(MainData[ExtendedCost],MainData[BillID],BeverageCost[[#This Row],[BillID]],MainData[Billable?],"Y",MainData[Category],"Beverage",MainData[Product],H$7)</f>
        <v>52.3</v>
      </c>
      <c r="N47" s="109">
        <f>SUMIFS(MainData[ExtendedCost],MainData[BillID],BeverageCost[[#This Row],[BillID]],MainData[Billable?],"Y",MainData[Category],"Beverage",MainData[Product],I$7)</f>
        <v>24</v>
      </c>
      <c r="O47" s="109">
        <f>SUMIFS(MainData[ExtendedCost],MainData[BillID],BeverageCost[[#This Row],[BillID]],MainData[Billable?],"Y",MainData[Category],"Beverage",MainData[Product],J$7)</f>
        <v>16</v>
      </c>
      <c r="P4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11">
        <f>IFERROR(BeverageCost[[#This Row],[$Liq]]/BeverageCost[[#This Row],[Liquor]],0)</f>
        <v>8.9708404802744418E-2</v>
      </c>
      <c r="S4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7" s="112">
        <f>IFERROR(BeverageCost[[#This Row],[$Wine]]/BeverageCost[[#This Row],[Wine]],0)</f>
        <v>9.6000000000000002E-2</v>
      </c>
      <c r="U4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7" s="112">
        <f>IFERROR(BeverageCost[[#This Row],[$Beer]]/BeverageCost[[#This Row],[Beer]],0)</f>
        <v>9.696969696969697E-2</v>
      </c>
      <c r="W4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7" s="112">
        <f>IFERROR(BeverageCost[[#This Row],[$Other]]/BeverageCost[[#This Row],[Other]],0)</f>
        <v>1.9083969465648856E-2</v>
      </c>
      <c r="Y4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7" s="77">
        <f>IFERROR(BeverageCost[[#This Row],[$Total]]/BeverageCost[[#This Row],[Total]],0)</f>
        <v>8.7964268923366243E-2</v>
      </c>
      <c r="AA4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7" s="78">
        <f>IFERROR(BeverageCost[[#This Row],[$Total]]/$Q$5,0)</f>
        <v>1.6326879663654066E-3</v>
      </c>
      <c r="AC47" s="113"/>
    </row>
    <row r="48" spans="2:29" x14ac:dyDescent="0.25">
      <c r="B48" s="114">
        <v>41</v>
      </c>
      <c r="C48" s="154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55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55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08">
        <f>SUMIFS(MainData[ExtendedPrice],MainData[BillID],BeverageCost[[#This Row],[BillID]],MainData[Billable?],"Y",MainData[Category],"Beverage",MainData[Product],H$7)</f>
        <v>0</v>
      </c>
      <c r="I48" s="109">
        <f>SUMIFS(MainData[ExtendedPrice],MainData[BillID],BeverageCost[[#This Row],[BillID]],MainData[Billable?],"Y",MainData[Category],"Beverage",MainData[Product],I$7)</f>
        <v>0</v>
      </c>
      <c r="J48" s="109">
        <f>SUMIFS(MainData[ExtendedPrice],MainData[BillID],BeverageCost[[#This Row],[BillID]],MainData[Billable?],"Y",MainData[Category],"Beverage",MainData[Product],J$7)</f>
        <v>0</v>
      </c>
      <c r="K4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0">
        <f>SUMIFS(MainData[ExtendedCost],MainData[BillID],BeverageCost[[#This Row],[BillID]],MainData[Billable?],"Y",MainData[Category],"Beverage",MainData[Product],H$7)</f>
        <v>0</v>
      </c>
      <c r="N48" s="109">
        <f>SUMIFS(MainData[ExtendedCost],MainData[BillID],BeverageCost[[#This Row],[BillID]],MainData[Billable?],"Y",MainData[Category],"Beverage",MainData[Product],I$7)</f>
        <v>0</v>
      </c>
      <c r="O48" s="109">
        <f>SUMIFS(MainData[ExtendedCost],MainData[BillID],BeverageCost[[#This Row],[BillID]],MainData[Billable?],"Y",MainData[Category],"Beverage",MainData[Product],J$7)</f>
        <v>0</v>
      </c>
      <c r="P4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11">
        <f>IFERROR(BeverageCost[[#This Row],[$Liq]]/BeverageCost[[#This Row],[Liquor]],0)</f>
        <v>0</v>
      </c>
      <c r="S4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8" s="112">
        <f>IFERROR(BeverageCost[[#This Row],[$Wine]]/BeverageCost[[#This Row],[Wine]],0)</f>
        <v>0</v>
      </c>
      <c r="U4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8" s="112">
        <f>IFERROR(BeverageCost[[#This Row],[$Beer]]/BeverageCost[[#This Row],[Beer]],0)</f>
        <v>0</v>
      </c>
      <c r="W4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8" s="112">
        <f>IFERROR(BeverageCost[[#This Row],[$Other]]/BeverageCost[[#This Row],[Other]],0)</f>
        <v>2.0000000000000001E-4</v>
      </c>
      <c r="Y4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8" s="77">
        <f>IFERROR(BeverageCost[[#This Row],[$Total]]/BeverageCost[[#This Row],[Total]],0)</f>
        <v>2.0000000000000001E-4</v>
      </c>
      <c r="AA4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8" s="78">
        <f>IFERROR(BeverageCost[[#This Row],[$Total]]/$Q$5,0)</f>
        <v>1.7452570458208517E-7</v>
      </c>
      <c r="AC48" s="113"/>
    </row>
    <row r="49" spans="2:29" x14ac:dyDescent="0.25">
      <c r="B49" s="114">
        <v>40</v>
      </c>
      <c r="C49" s="154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55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55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08">
        <f>SUMIFS(MainData[ExtendedPrice],MainData[BillID],BeverageCost[[#This Row],[BillID]],MainData[Billable?],"Y",MainData[Category],"Beverage",MainData[Product],H$7)</f>
        <v>1195.5</v>
      </c>
      <c r="I49" s="109">
        <f>SUMIFS(MainData[ExtendedPrice],MainData[BillID],BeverageCost[[#This Row],[BillID]],MainData[Billable?],"Y",MainData[Category],"Beverage",MainData[Product],I$7)</f>
        <v>0</v>
      </c>
      <c r="J49" s="109">
        <f>SUMIFS(MainData[ExtendedPrice],MainData[BillID],BeverageCost[[#This Row],[BillID]],MainData[Billable?],"Y",MainData[Category],"Beverage",MainData[Product],J$7)</f>
        <v>0</v>
      </c>
      <c r="K4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0">
        <f>SUMIFS(MainData[ExtendedCost],MainData[BillID],BeverageCost[[#This Row],[BillID]],MainData[Billable?],"Y",MainData[Category],"Beverage",MainData[Product],H$7)</f>
        <v>204.34</v>
      </c>
      <c r="N49" s="109">
        <f>SUMIFS(MainData[ExtendedCost],MainData[BillID],BeverageCost[[#This Row],[BillID]],MainData[Billable?],"Y",MainData[Category],"Beverage",MainData[Product],I$7)</f>
        <v>0</v>
      </c>
      <c r="O49" s="109">
        <f>SUMIFS(MainData[ExtendedCost],MainData[BillID],BeverageCost[[#This Row],[BillID]],MainData[Billable?],"Y",MainData[Category],"Beverage",MainData[Product],J$7)</f>
        <v>0</v>
      </c>
      <c r="P4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11">
        <f>IFERROR(BeverageCost[[#This Row],[$Liq]]/BeverageCost[[#This Row],[Liquor]],0)</f>
        <v>0.17092429945629445</v>
      </c>
      <c r="S4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9" s="112">
        <f>IFERROR(BeverageCost[[#This Row],[$Wine]]/BeverageCost[[#This Row],[Wine]],0)</f>
        <v>0</v>
      </c>
      <c r="U4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9" s="112">
        <f>IFERROR(BeverageCost[[#This Row],[$Beer]]/BeverageCost[[#This Row],[Beer]],0)</f>
        <v>0</v>
      </c>
      <c r="W4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9" s="112">
        <f>IFERROR(BeverageCost[[#This Row],[$Other]]/BeverageCost[[#This Row],[Other]],0)</f>
        <v>0</v>
      </c>
      <c r="Y4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9" s="77">
        <f>IFERROR(BeverageCost[[#This Row],[$Total]]/BeverageCost[[#This Row],[Total]],0)</f>
        <v>0.17092429945629445</v>
      </c>
      <c r="AA4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9" s="78">
        <f>IFERROR(BeverageCost[[#This Row],[$Total]]/$Q$5,0)</f>
        <v>3.5662582474303281E-3</v>
      </c>
      <c r="AC49" s="113" t="s">
        <v>9</v>
      </c>
    </row>
    <row r="50" spans="2:29" x14ac:dyDescent="0.25">
      <c r="B50" s="114">
        <v>42</v>
      </c>
      <c r="C50" s="154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55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55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08">
        <f>SUMIFS(MainData[ExtendedPrice],MainData[BillID],BeverageCost[[#This Row],[BillID]],MainData[Billable?],"Y",MainData[Category],"Beverage",MainData[Product],H$7)</f>
        <v>0</v>
      </c>
      <c r="I50" s="109">
        <f>SUMIFS(MainData[ExtendedPrice],MainData[BillID],BeverageCost[[#This Row],[BillID]],MainData[Billable?],"Y",MainData[Category],"Beverage",MainData[Product],I$7)</f>
        <v>4003</v>
      </c>
      <c r="J50" s="109">
        <f>SUMIFS(MainData[ExtendedPrice],MainData[BillID],BeverageCost[[#This Row],[BillID]],MainData[Billable?],"Y",MainData[Category],"Beverage",MainData[Product],J$7)</f>
        <v>4445</v>
      </c>
      <c r="K5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0">
        <f>SUMIFS(MainData[ExtendedCost],MainData[BillID],BeverageCost[[#This Row],[BillID]],MainData[Billable?],"Y",MainData[Category],"Beverage",MainData[Product],H$7)</f>
        <v>0</v>
      </c>
      <c r="N50" s="109">
        <f>SUMIFS(MainData[ExtendedCost],MainData[BillID],BeverageCost[[#This Row],[BillID]],MainData[Billable?],"Y",MainData[Category],"Beverage",MainData[Product],I$7)</f>
        <v>311.10000000000002</v>
      </c>
      <c r="O50" s="109">
        <f>SUMIFS(MainData[ExtendedCost],MainData[BillID],BeverageCost[[#This Row],[BillID]],MainData[Billable?],"Y",MainData[Category],"Beverage",MainData[Product],J$7)</f>
        <v>450</v>
      </c>
      <c r="P5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11">
        <f>IFERROR(BeverageCost[[#This Row],[$Liq]]/BeverageCost[[#This Row],[Liquor]],0)</f>
        <v>0</v>
      </c>
      <c r="S5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0" s="112">
        <f>IFERROR(BeverageCost[[#This Row],[$Wine]]/BeverageCost[[#This Row],[Wine]],0)</f>
        <v>7.7716712465650761E-2</v>
      </c>
      <c r="U5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0" s="112">
        <f>IFERROR(BeverageCost[[#This Row],[$Beer]]/BeverageCost[[#This Row],[Beer]],0)</f>
        <v>0.10123734533183353</v>
      </c>
      <c r="W5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0" s="112">
        <f>IFERROR(BeverageCost[[#This Row],[$Other]]/BeverageCost[[#This Row],[Other]],0)</f>
        <v>3.3333333333333333E-2</v>
      </c>
      <c r="Y5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0" s="77">
        <f>IFERROR(BeverageCost[[#This Row],[$Total]]/BeverageCost[[#This Row],[Total]],0)</f>
        <v>8.9791593076651369E-2</v>
      </c>
      <c r="AA5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0" s="78">
        <f>IFERROR(BeverageCost[[#This Row],[$Total]]/$Q$5,0)</f>
        <v>1.3309330231429814E-2</v>
      </c>
      <c r="AC50" s="113"/>
    </row>
    <row r="51" spans="2:29" x14ac:dyDescent="0.25">
      <c r="B51" s="114">
        <v>43</v>
      </c>
      <c r="C51" s="154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55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55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08">
        <f>SUMIFS(MainData[ExtendedPrice],MainData[BillID],BeverageCost[[#This Row],[BillID]],MainData[Billable?],"Y",MainData[Category],"Beverage",MainData[Product],H$7)</f>
        <v>2852</v>
      </c>
      <c r="I51" s="109">
        <f>SUMIFS(MainData[ExtendedPrice],MainData[BillID],BeverageCost[[#This Row],[BillID]],MainData[Billable?],"Y",MainData[Category],"Beverage",MainData[Product],I$7)</f>
        <v>765</v>
      </c>
      <c r="J51" s="109">
        <f>SUMIFS(MainData[ExtendedPrice],MainData[BillID],BeverageCost[[#This Row],[BillID]],MainData[Billable?],"Y",MainData[Category],"Beverage",MainData[Product],J$7)</f>
        <v>1435</v>
      </c>
      <c r="K5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0">
        <f>SUMIFS(MainData[ExtendedCost],MainData[BillID],BeverageCost[[#This Row],[BillID]],MainData[Billable?],"Y",MainData[Category],"Beverage",MainData[Product],H$7)</f>
        <v>266.73</v>
      </c>
      <c r="N51" s="109">
        <f>SUMIFS(MainData[ExtendedCost],MainData[BillID],BeverageCost[[#This Row],[BillID]],MainData[Billable?],"Y",MainData[Category],"Beverage",MainData[Product],I$7)</f>
        <v>75</v>
      </c>
      <c r="O51" s="109">
        <f>SUMIFS(MainData[ExtendedCost],MainData[BillID],BeverageCost[[#This Row],[BillID]],MainData[Billable?],"Y",MainData[Category],"Beverage",MainData[Product],J$7)</f>
        <v>145</v>
      </c>
      <c r="P5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11">
        <f>IFERROR(BeverageCost[[#This Row],[$Liq]]/BeverageCost[[#This Row],[Liquor]],0)</f>
        <v>9.3523842917251063E-2</v>
      </c>
      <c r="S5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1" s="112">
        <f>IFERROR(BeverageCost[[#This Row],[$Wine]]/BeverageCost[[#This Row],[Wine]],0)</f>
        <v>9.8039215686274508E-2</v>
      </c>
      <c r="U5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1" s="112">
        <f>IFERROR(BeverageCost[[#This Row],[$Beer]]/BeverageCost[[#This Row],[Beer]],0)</f>
        <v>0.10104529616724739</v>
      </c>
      <c r="W5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1" s="112">
        <f>IFERROR(BeverageCost[[#This Row],[$Other]]/BeverageCost[[#This Row],[Other]],0)</f>
        <v>2.681992337164751E-2</v>
      </c>
      <c r="Y5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1" s="77">
        <f>IFERROR(BeverageCost[[#This Row],[$Total]]/BeverageCost[[#This Row],[Total]],0)</f>
        <v>9.4593342981186684E-2</v>
      </c>
      <c r="AA5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1" s="78">
        <f>IFERROR(BeverageCost[[#This Row],[$Total]]/$Q$5,0)</f>
        <v>8.5557736157275601E-3</v>
      </c>
      <c r="AC51" s="113"/>
    </row>
    <row r="52" spans="2:29" x14ac:dyDescent="0.25">
      <c r="B52" s="114">
        <v>44</v>
      </c>
      <c r="C52" s="154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55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55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08">
        <f>SUMIFS(MainData[ExtendedPrice],MainData[BillID],BeverageCost[[#This Row],[BillID]],MainData[Billable?],"Y",MainData[Category],"Beverage",MainData[Product],H$7)</f>
        <v>0</v>
      </c>
      <c r="I52" s="109">
        <f>SUMIFS(MainData[ExtendedPrice],MainData[BillID],BeverageCost[[#This Row],[BillID]],MainData[Billable?],"Y",MainData[Category],"Beverage",MainData[Product],I$7)</f>
        <v>426.5</v>
      </c>
      <c r="J52" s="109">
        <f>SUMIFS(MainData[ExtendedPrice],MainData[BillID],BeverageCost[[#This Row],[BillID]],MainData[Billable?],"Y",MainData[Category],"Beverage",MainData[Product],J$7)</f>
        <v>0</v>
      </c>
      <c r="K5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0">
        <f>SUMIFS(MainData[ExtendedCost],MainData[BillID],BeverageCost[[#This Row],[BillID]],MainData[Billable?],"Y",MainData[Category],"Beverage",MainData[Product],H$7)</f>
        <v>0</v>
      </c>
      <c r="N52" s="109">
        <f>SUMIFS(MainData[ExtendedCost],MainData[BillID],BeverageCost[[#This Row],[BillID]],MainData[Billable?],"Y",MainData[Category],"Beverage",MainData[Product],I$7)</f>
        <v>34</v>
      </c>
      <c r="O52" s="109">
        <f>SUMIFS(MainData[ExtendedCost],MainData[BillID],BeverageCost[[#This Row],[BillID]],MainData[Billable?],"Y",MainData[Category],"Beverage",MainData[Product],J$7)</f>
        <v>0</v>
      </c>
      <c r="P5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11">
        <f>IFERROR(BeverageCost[[#This Row],[$Liq]]/BeverageCost[[#This Row],[Liquor]],0)</f>
        <v>0</v>
      </c>
      <c r="S5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2" s="112">
        <f>IFERROR(BeverageCost[[#This Row],[$Wine]]/BeverageCost[[#This Row],[Wine]],0)</f>
        <v>7.9718640093786639E-2</v>
      </c>
      <c r="U5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2" s="112">
        <f>IFERROR(BeverageCost[[#This Row],[$Beer]]/BeverageCost[[#This Row],[Beer]],0)</f>
        <v>0</v>
      </c>
      <c r="W5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2" s="112">
        <f>IFERROR(BeverageCost[[#This Row],[$Other]]/BeverageCost[[#This Row],[Other]],0)</f>
        <v>0</v>
      </c>
      <c r="Y5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2" s="77">
        <f>IFERROR(BeverageCost[[#This Row],[$Total]]/BeverageCost[[#This Row],[Total]],0)</f>
        <v>7.9718640093786639E-2</v>
      </c>
      <c r="AA5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2" s="78">
        <f>IFERROR(BeverageCost[[#This Row],[$Total]]/$Q$5,0)</f>
        <v>5.9338739557908947E-4</v>
      </c>
      <c r="AC52" s="113"/>
    </row>
    <row r="53" spans="2:29" x14ac:dyDescent="0.25">
      <c r="B53" s="114">
        <v>46</v>
      </c>
      <c r="C53" s="154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55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55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08">
        <f>SUMIFS(MainData[ExtendedPrice],MainData[BillID],BeverageCost[[#This Row],[BillID]],MainData[Billable?],"Y",MainData[Category],"Beverage",MainData[Product],H$7)</f>
        <v>0</v>
      </c>
      <c r="I53" s="109">
        <f>SUMIFS(MainData[ExtendedPrice],MainData[BillID],BeverageCost[[#This Row],[BillID]],MainData[Billable?],"Y",MainData[Category],"Beverage",MainData[Product],I$7)</f>
        <v>0</v>
      </c>
      <c r="J53" s="109">
        <f>SUMIFS(MainData[ExtendedPrice],MainData[BillID],BeverageCost[[#This Row],[BillID]],MainData[Billable?],"Y",MainData[Category],"Beverage",MainData[Product],J$7)</f>
        <v>0</v>
      </c>
      <c r="K5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0">
        <f>SUMIFS(MainData[ExtendedCost],MainData[BillID],BeverageCost[[#This Row],[BillID]],MainData[Billable?],"Y",MainData[Category],"Beverage",MainData[Product],H$7)</f>
        <v>0</v>
      </c>
      <c r="N53" s="109">
        <f>SUMIFS(MainData[ExtendedCost],MainData[BillID],BeverageCost[[#This Row],[BillID]],MainData[Billable?],"Y",MainData[Category],"Beverage",MainData[Product],I$7)</f>
        <v>0</v>
      </c>
      <c r="O53" s="109">
        <f>SUMIFS(MainData[ExtendedCost],MainData[BillID],BeverageCost[[#This Row],[BillID]],MainData[Billable?],"Y",MainData[Category],"Beverage",MainData[Product],J$7)</f>
        <v>0</v>
      </c>
      <c r="P5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11">
        <f>IFERROR(BeverageCost[[#This Row],[$Liq]]/BeverageCost[[#This Row],[Liquor]],0)</f>
        <v>0</v>
      </c>
      <c r="S5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3" s="112">
        <f>IFERROR(BeverageCost[[#This Row],[$Wine]]/BeverageCost[[#This Row],[Wine]],0)</f>
        <v>0</v>
      </c>
      <c r="U5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3" s="112">
        <f>IFERROR(BeverageCost[[#This Row],[$Beer]]/BeverageCost[[#This Row],[Beer]],0)</f>
        <v>0</v>
      </c>
      <c r="W5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3" s="112">
        <f>IFERROR(BeverageCost[[#This Row],[$Other]]/BeverageCost[[#This Row],[Other]],0)</f>
        <v>2.0000000000000001E-4</v>
      </c>
      <c r="Y5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3" s="77">
        <f>IFERROR(BeverageCost[[#This Row],[$Total]]/BeverageCost[[#This Row],[Total]],0)</f>
        <v>2.0000000000000001E-4</v>
      </c>
      <c r="AA5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3" s="78">
        <f>IFERROR(BeverageCost[[#This Row],[$Total]]/$Q$5,0)</f>
        <v>1.7452570458208517E-7</v>
      </c>
      <c r="AC53" s="113"/>
    </row>
    <row r="54" spans="2:29" x14ac:dyDescent="0.25">
      <c r="B54" s="114">
        <v>45</v>
      </c>
      <c r="C54" s="154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55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55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08">
        <f>SUMIFS(MainData[ExtendedPrice],MainData[BillID],BeverageCost[[#This Row],[BillID]],MainData[Billable?],"Y",MainData[Category],"Beverage",MainData[Product],H$7)</f>
        <v>0</v>
      </c>
      <c r="I54" s="109">
        <f>SUMIFS(MainData[ExtendedPrice],MainData[BillID],BeverageCost[[#This Row],[BillID]],MainData[Billable?],"Y",MainData[Category],"Beverage",MainData[Product],I$7)</f>
        <v>1245</v>
      </c>
      <c r="J54" s="109">
        <f>SUMIFS(MainData[ExtendedPrice],MainData[BillID],BeverageCost[[#This Row],[BillID]],MainData[Billable?],"Y",MainData[Category],"Beverage",MainData[Product],J$7)</f>
        <v>1825</v>
      </c>
      <c r="K5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0">
        <f>SUMIFS(MainData[ExtendedCost],MainData[BillID],BeverageCost[[#This Row],[BillID]],MainData[Billable?],"Y",MainData[Category],"Beverage",MainData[Product],H$7)</f>
        <v>0</v>
      </c>
      <c r="N54" s="109">
        <f>SUMIFS(MainData[ExtendedCost],MainData[BillID],BeverageCost[[#This Row],[BillID]],MainData[Billable?],"Y",MainData[Category],"Beverage",MainData[Product],I$7)</f>
        <v>75.819999999999993</v>
      </c>
      <c r="O54" s="109">
        <f>SUMIFS(MainData[ExtendedCost],MainData[BillID],BeverageCost[[#This Row],[BillID]],MainData[Billable?],"Y",MainData[Category],"Beverage",MainData[Product],J$7)</f>
        <v>185</v>
      </c>
      <c r="P5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11">
        <f>IFERROR(BeverageCost[[#This Row],[$Liq]]/BeverageCost[[#This Row],[Liquor]],0)</f>
        <v>0</v>
      </c>
      <c r="S5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4" s="112">
        <f>IFERROR(BeverageCost[[#This Row],[$Wine]]/BeverageCost[[#This Row],[Wine]],0)</f>
        <v>6.089959839357429E-2</v>
      </c>
      <c r="U5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4" s="112">
        <f>IFERROR(BeverageCost[[#This Row],[$Beer]]/BeverageCost[[#This Row],[Beer]],0)</f>
        <v>0.10136986301369863</v>
      </c>
      <c r="W5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4" s="112">
        <f>IFERROR(BeverageCost[[#This Row],[$Other]]/BeverageCost[[#This Row],[Other]],0)</f>
        <v>2.6178010471204188E-2</v>
      </c>
      <c r="Y5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4" s="77">
        <f>IFERROR(BeverageCost[[#This Row],[$Total]]/BeverageCost[[#This Row],[Total]],0)</f>
        <v>8.3184331069341338E-2</v>
      </c>
      <c r="AA5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4" s="78">
        <f>IFERROR(BeverageCost[[#This Row],[$Total]]/$Q$5,0)</f>
        <v>4.5956108530554656E-3</v>
      </c>
      <c r="AC54" s="113"/>
    </row>
    <row r="55" spans="2:29" x14ac:dyDescent="0.25">
      <c r="B55" s="114">
        <v>48</v>
      </c>
      <c r="C55" s="154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55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55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08">
        <f>SUMIFS(MainData[ExtendedPrice],MainData[BillID],BeverageCost[[#This Row],[BillID]],MainData[Billable?],"Y",MainData[Category],"Beverage",MainData[Product],H$7)</f>
        <v>427</v>
      </c>
      <c r="I55" s="109">
        <f>SUMIFS(MainData[ExtendedPrice],MainData[BillID],BeverageCost[[#This Row],[BillID]],MainData[Billable?],"Y",MainData[Category],"Beverage",MainData[Product],I$7)</f>
        <v>210</v>
      </c>
      <c r="J55" s="109">
        <f>SUMIFS(MainData[ExtendedPrice],MainData[BillID],BeverageCost[[#This Row],[BillID]],MainData[Billable?],"Y",MainData[Category],"Beverage",MainData[Product],J$7)</f>
        <v>345</v>
      </c>
      <c r="K5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0">
        <f>SUMIFS(MainData[ExtendedCost],MainData[BillID],BeverageCost[[#This Row],[BillID]],MainData[Billable?],"Y",MainData[Category],"Beverage",MainData[Product],H$7)</f>
        <v>38.99</v>
      </c>
      <c r="N55" s="109">
        <f>SUMIFS(MainData[ExtendedCost],MainData[BillID],BeverageCost[[#This Row],[BillID]],MainData[Billable?],"Y",MainData[Category],"Beverage",MainData[Product],I$7)</f>
        <v>21</v>
      </c>
      <c r="O55" s="109">
        <f>SUMIFS(MainData[ExtendedCost],MainData[BillID],BeverageCost[[#This Row],[BillID]],MainData[Billable?],"Y",MainData[Category],"Beverage",MainData[Product],J$7)</f>
        <v>36</v>
      </c>
      <c r="P5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11">
        <f>IFERROR(BeverageCost[[#This Row],[$Liq]]/BeverageCost[[#This Row],[Liquor]],0)</f>
        <v>9.1311475409836071E-2</v>
      </c>
      <c r="S5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5" s="112">
        <f>IFERROR(BeverageCost[[#This Row],[$Wine]]/BeverageCost[[#This Row],[Wine]],0)</f>
        <v>0.1</v>
      </c>
      <c r="U5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5" s="112">
        <f>IFERROR(BeverageCost[[#This Row],[$Beer]]/BeverageCost[[#This Row],[Beer]],0)</f>
        <v>0.10434782608695652</v>
      </c>
      <c r="W5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5" s="112">
        <f>IFERROR(BeverageCost[[#This Row],[$Other]]/BeverageCost[[#This Row],[Other]],0)</f>
        <v>3.4246575342465752E-2</v>
      </c>
      <c r="Y5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5" s="77">
        <f>IFERROR(BeverageCost[[#This Row],[$Total]]/BeverageCost[[#This Row],[Total]],0)</f>
        <v>9.5473735886107025E-2</v>
      </c>
      <c r="AA5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5" s="78">
        <f>IFERROR(BeverageCost[[#This Row],[$Total]]/$Q$5,0)</f>
        <v>1.6970879513561962E-3</v>
      </c>
      <c r="AC55" s="113"/>
    </row>
    <row r="56" spans="2:29" x14ac:dyDescent="0.25">
      <c r="B56" s="114">
        <v>47</v>
      </c>
      <c r="C56" s="154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55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55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08">
        <f>SUMIFS(MainData[ExtendedPrice],MainData[BillID],BeverageCost[[#This Row],[BillID]],MainData[Billable?],"Y",MainData[Category],"Beverage",MainData[Product],H$7)</f>
        <v>14940</v>
      </c>
      <c r="I56" s="109">
        <f>SUMIFS(MainData[ExtendedPrice],MainData[BillID],BeverageCost[[#This Row],[BillID]],MainData[Billable?],"Y",MainData[Category],"Beverage",MainData[Product],I$7)</f>
        <v>4965</v>
      </c>
      <c r="J56" s="109">
        <f>SUMIFS(MainData[ExtendedPrice],MainData[BillID],BeverageCost[[#This Row],[BillID]],MainData[Billable?],"Y",MainData[Category],"Beverage",MainData[Product],J$7)</f>
        <v>9725</v>
      </c>
      <c r="K5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0">
        <f>SUMIFS(MainData[ExtendedCost],MainData[BillID],BeverageCost[[#This Row],[BillID]],MainData[Billable?],"Y",MainData[Category],"Beverage",MainData[Product],H$7)</f>
        <v>3340.03</v>
      </c>
      <c r="N56" s="109">
        <f>SUMIFS(MainData[ExtendedCost],MainData[BillID],BeverageCost[[#This Row],[BillID]],MainData[Billable?],"Y",MainData[Category],"Beverage",MainData[Product],I$7)</f>
        <v>490</v>
      </c>
      <c r="O56" s="109">
        <f>SUMIFS(MainData[ExtendedCost],MainData[BillID],BeverageCost[[#This Row],[BillID]],MainData[Billable?],"Y",MainData[Category],"Beverage",MainData[Product],J$7)</f>
        <v>1125</v>
      </c>
      <c r="P5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11">
        <f>IFERROR(BeverageCost[[#This Row],[$Liq]]/BeverageCost[[#This Row],[Liquor]],0)</f>
        <v>0.22356291834002678</v>
      </c>
      <c r="S5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6" s="112">
        <f>IFERROR(BeverageCost[[#This Row],[$Wine]]/BeverageCost[[#This Row],[Wine]],0)</f>
        <v>9.8690835850956699E-2</v>
      </c>
      <c r="U5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6" s="112">
        <f>IFERROR(BeverageCost[[#This Row],[$Beer]]/BeverageCost[[#This Row],[Beer]],0)</f>
        <v>0.11568123393316196</v>
      </c>
      <c r="W5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6" s="112">
        <f>IFERROR(BeverageCost[[#This Row],[$Other]]/BeverageCost[[#This Row],[Other]],0)</f>
        <v>4.4534412955465584E-2</v>
      </c>
      <c r="Y5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6" s="77">
        <f>IFERROR(BeverageCost[[#This Row],[$Total]]/BeverageCost[[#This Row],[Total]],0)</f>
        <v>0.16232075166045684</v>
      </c>
      <c r="AA5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6" s="78">
        <f>IFERROR(BeverageCost[[#This Row],[$Total]]/$Q$5,0)</f>
        <v>8.7437901572738425E-2</v>
      </c>
      <c r="AC56" s="113" t="s">
        <v>69</v>
      </c>
    </row>
    <row r="57" spans="2:29" x14ac:dyDescent="0.25">
      <c r="B57" s="114">
        <v>49</v>
      </c>
      <c r="C57" s="154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55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55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08">
        <f>SUMIFS(MainData[ExtendedPrice],MainData[BillID],BeverageCost[[#This Row],[BillID]],MainData[Billable?],"Y",MainData[Category],"Beverage",MainData[Product],H$7)</f>
        <v>1440</v>
      </c>
      <c r="I57" s="109">
        <f>SUMIFS(MainData[ExtendedPrice],MainData[BillID],BeverageCost[[#This Row],[BillID]],MainData[Billable?],"Y",MainData[Category],"Beverage",MainData[Product],I$7)</f>
        <v>240</v>
      </c>
      <c r="J57" s="109">
        <f>SUMIFS(MainData[ExtendedPrice],MainData[BillID],BeverageCost[[#This Row],[BillID]],MainData[Billable?],"Y",MainData[Category],"Beverage",MainData[Product],J$7)</f>
        <v>120</v>
      </c>
      <c r="K5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0">
        <f>SUMIFS(MainData[ExtendedCost],MainData[BillID],BeverageCost[[#This Row],[BillID]],MainData[Billable?],"Y",MainData[Category],"Beverage",MainData[Product],H$7)</f>
        <v>237.02</v>
      </c>
      <c r="N57" s="109">
        <f>SUMIFS(MainData[ExtendedCost],MainData[BillID],BeverageCost[[#This Row],[BillID]],MainData[Billable?],"Y",MainData[Category],"Beverage",MainData[Product],I$7)</f>
        <v>24</v>
      </c>
      <c r="O57" s="109">
        <f>SUMIFS(MainData[ExtendedCost],MainData[BillID],BeverageCost[[#This Row],[BillID]],MainData[Billable?],"Y",MainData[Category],"Beverage",MainData[Product],J$7)</f>
        <v>12</v>
      </c>
      <c r="P5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11">
        <f>IFERROR(BeverageCost[[#This Row],[$Liq]]/BeverageCost[[#This Row],[Liquor]],0)</f>
        <v>0.16459722222222223</v>
      </c>
      <c r="S5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7" s="112">
        <f>IFERROR(BeverageCost[[#This Row],[$Wine]]/BeverageCost[[#This Row],[Wine]],0)</f>
        <v>0.1</v>
      </c>
      <c r="U5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7" s="112">
        <f>IFERROR(BeverageCost[[#This Row],[$Beer]]/BeverageCost[[#This Row],[Beer]],0)</f>
        <v>0.1</v>
      </c>
      <c r="W5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7" s="112">
        <f>IFERROR(BeverageCost[[#This Row],[$Other]]/BeverageCost[[#This Row],[Other]],0)</f>
        <v>2.7322404371584699E-2</v>
      </c>
      <c r="Y5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7" s="77">
        <f>IFERROR(BeverageCost[[#This Row],[$Total]]/BeverageCost[[#This Row],[Total]],0)</f>
        <v>0.14859542191521061</v>
      </c>
      <c r="AA5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7" s="78">
        <f>IFERROR(BeverageCost[[#This Row],[$Total]]/$Q$5,0)</f>
        <v>4.7867164995728491E-3</v>
      </c>
      <c r="AC57" s="113" t="s">
        <v>69</v>
      </c>
    </row>
    <row r="58" spans="2:29" x14ac:dyDescent="0.25">
      <c r="B58" s="114">
        <v>51</v>
      </c>
      <c r="C58" s="154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55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55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08">
        <f>SUMIFS(MainData[ExtendedPrice],MainData[BillID],BeverageCost[[#This Row],[BillID]],MainData[Billable?],"Y",MainData[Category],"Beverage",MainData[Product],H$7)</f>
        <v>0</v>
      </c>
      <c r="I58" s="109">
        <f>SUMIFS(MainData[ExtendedPrice],MainData[BillID],BeverageCost[[#This Row],[BillID]],MainData[Billable?],"Y",MainData[Category],"Beverage",MainData[Product],I$7)</f>
        <v>41</v>
      </c>
      <c r="J58" s="109">
        <f>SUMIFS(MainData[ExtendedPrice],MainData[BillID],BeverageCost[[#This Row],[BillID]],MainData[Billable?],"Y",MainData[Category],"Beverage",MainData[Product],J$7)</f>
        <v>0</v>
      </c>
      <c r="K5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0">
        <f>SUMIFS(MainData[ExtendedCost],MainData[BillID],BeverageCost[[#This Row],[BillID]],MainData[Billable?],"Y",MainData[Category],"Beverage",MainData[Product],H$7)</f>
        <v>0</v>
      </c>
      <c r="N58" s="109">
        <f>SUMIFS(MainData[ExtendedCost],MainData[BillID],BeverageCost[[#This Row],[BillID]],MainData[Billable?],"Y",MainData[Category],"Beverage",MainData[Product],I$7)</f>
        <v>11.5</v>
      </c>
      <c r="O58" s="109">
        <f>SUMIFS(MainData[ExtendedCost],MainData[BillID],BeverageCost[[#This Row],[BillID]],MainData[Billable?],"Y",MainData[Category],"Beverage",MainData[Product],J$7)</f>
        <v>0</v>
      </c>
      <c r="P5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11">
        <f>IFERROR(BeverageCost[[#This Row],[$Liq]]/BeverageCost[[#This Row],[Liquor]],0)</f>
        <v>0</v>
      </c>
      <c r="S5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8" s="112">
        <f>IFERROR(BeverageCost[[#This Row],[$Wine]]/BeverageCost[[#This Row],[Wine]],0)</f>
        <v>0.28048780487804881</v>
      </c>
      <c r="U5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8" s="112">
        <f>IFERROR(BeverageCost[[#This Row],[$Beer]]/BeverageCost[[#This Row],[Beer]],0)</f>
        <v>0</v>
      </c>
      <c r="W5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8" s="112">
        <f>IFERROR(BeverageCost[[#This Row],[$Other]]/BeverageCost[[#This Row],[Other]],0)</f>
        <v>0</v>
      </c>
      <c r="Y5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8" s="77">
        <f>IFERROR(BeverageCost[[#This Row],[$Total]]/BeverageCost[[#This Row],[Total]],0)</f>
        <v>0.28048780487804881</v>
      </c>
      <c r="AA5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8" s="78">
        <f>IFERROR(BeverageCost[[#This Row],[$Total]]/$Q$5,0)</f>
        <v>2.0070456026939791E-4</v>
      </c>
      <c r="AC58" s="113" t="s">
        <v>6</v>
      </c>
    </row>
    <row r="59" spans="2:29" x14ac:dyDescent="0.25">
      <c r="B59" s="114">
        <v>50</v>
      </c>
      <c r="C59" s="154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55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55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08">
        <f>SUMIFS(MainData[ExtendedPrice],MainData[BillID],BeverageCost[[#This Row],[BillID]],MainData[Billable?],"Y",MainData[Category],"Beverage",MainData[Product],H$7)</f>
        <v>1060</v>
      </c>
      <c r="I59" s="109">
        <f>SUMIFS(MainData[ExtendedPrice],MainData[BillID],BeverageCost[[#This Row],[BillID]],MainData[Billable?],"Y",MainData[Category],"Beverage",MainData[Product],I$7)</f>
        <v>525</v>
      </c>
      <c r="J59" s="109">
        <f>SUMIFS(MainData[ExtendedPrice],MainData[BillID],BeverageCost[[#This Row],[BillID]],MainData[Billable?],"Y",MainData[Category],"Beverage",MainData[Product],J$7)</f>
        <v>495</v>
      </c>
      <c r="K5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0">
        <f>SUMIFS(MainData[ExtendedCost],MainData[BillID],BeverageCost[[#This Row],[BillID]],MainData[Billable?],"Y",MainData[Category],"Beverage",MainData[Product],H$7)</f>
        <v>168.22</v>
      </c>
      <c r="N59" s="109">
        <f>SUMIFS(MainData[ExtendedCost],MainData[BillID],BeverageCost[[#This Row],[BillID]],MainData[Billable?],"Y",MainData[Category],"Beverage",MainData[Product],I$7)</f>
        <v>65</v>
      </c>
      <c r="O59" s="109">
        <f>SUMIFS(MainData[ExtendedCost],MainData[BillID],BeverageCost[[#This Row],[BillID]],MainData[Billable?],"Y",MainData[Category],"Beverage",MainData[Product],J$7)</f>
        <v>60</v>
      </c>
      <c r="P5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11">
        <f>IFERROR(BeverageCost[[#This Row],[$Liq]]/BeverageCost[[#This Row],[Liquor]],0)</f>
        <v>0.15869811320754718</v>
      </c>
      <c r="S5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9" s="112">
        <f>IFERROR(BeverageCost[[#This Row],[$Wine]]/BeverageCost[[#This Row],[Wine]],0)</f>
        <v>0.12380952380952381</v>
      </c>
      <c r="U5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9" s="112">
        <f>IFERROR(BeverageCost[[#This Row],[$Beer]]/BeverageCost[[#This Row],[Beer]],0)</f>
        <v>0.12121212121212122</v>
      </c>
      <c r="W5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9" s="112">
        <f>IFERROR(BeverageCost[[#This Row],[$Other]]/BeverageCost[[#This Row],[Other]],0)</f>
        <v>0.1</v>
      </c>
      <c r="Y5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9" s="77">
        <f>IFERROR(BeverageCost[[#This Row],[$Total]]/BeverageCost[[#This Row],[Total]],0)</f>
        <v>0.13936258660508086</v>
      </c>
      <c r="AA5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9" s="78">
        <f>IFERROR(BeverageCost[[#This Row],[$Total]]/$Q$5,0)</f>
        <v>5.2657895586506734E-3</v>
      </c>
      <c r="AC59" s="113" t="s">
        <v>394</v>
      </c>
    </row>
    <row r="60" spans="2:29" x14ac:dyDescent="0.25">
      <c r="B60" s="114">
        <v>55</v>
      </c>
      <c r="C60" s="154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55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55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08">
        <f>SUMIFS(MainData[ExtendedPrice],MainData[BillID],BeverageCost[[#This Row],[BillID]],MainData[Billable?],"Y",MainData[Category],"Beverage",MainData[Product],H$7)</f>
        <v>197.31</v>
      </c>
      <c r="I60" s="109">
        <f>SUMIFS(MainData[ExtendedPrice],MainData[BillID],BeverageCost[[#This Row],[BillID]],MainData[Billable?],"Y",MainData[Category],"Beverage",MainData[Product],I$7)</f>
        <v>144</v>
      </c>
      <c r="J60" s="109">
        <f>SUMIFS(MainData[ExtendedPrice],MainData[BillID],BeverageCost[[#This Row],[BillID]],MainData[Billable?],"Y",MainData[Category],"Beverage",MainData[Product],J$7)</f>
        <v>26</v>
      </c>
      <c r="K6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0">
        <f>SUMIFS(MainData[ExtendedCost],MainData[BillID],BeverageCost[[#This Row],[BillID]],MainData[Billable?],"Y",MainData[Category],"Beverage",MainData[Product],H$7)</f>
        <v>21.45</v>
      </c>
      <c r="N60" s="109">
        <f>SUMIFS(MainData[ExtendedCost],MainData[BillID],BeverageCost[[#This Row],[BillID]],MainData[Billable?],"Y",MainData[Category],"Beverage",MainData[Product],I$7)</f>
        <v>15</v>
      </c>
      <c r="O60" s="109">
        <f>SUMIFS(MainData[ExtendedCost],MainData[BillID],BeverageCost[[#This Row],[BillID]],MainData[Billable?],"Y",MainData[Category],"Beverage",MainData[Product],J$7)</f>
        <v>3</v>
      </c>
      <c r="P6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11">
        <f>IFERROR(BeverageCost[[#This Row],[$Liq]]/BeverageCost[[#This Row],[Liquor]],0)</f>
        <v>0.10871217880492626</v>
      </c>
      <c r="S6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0" s="112">
        <f>IFERROR(BeverageCost[[#This Row],[$Wine]]/BeverageCost[[#This Row],[Wine]],0)</f>
        <v>0.10416666666666667</v>
      </c>
      <c r="U6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0" s="112">
        <f>IFERROR(BeverageCost[[#This Row],[$Beer]]/BeverageCost[[#This Row],[Beer]],0)</f>
        <v>0.11538461538461539</v>
      </c>
      <c r="W6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0" s="112">
        <f>IFERROR(BeverageCost[[#This Row],[$Other]]/BeverageCost[[#This Row],[Other]],0)</f>
        <v>0</v>
      </c>
      <c r="Y6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0" s="77">
        <f>IFERROR(BeverageCost[[#This Row],[$Total]]/BeverageCost[[#This Row],[Total]],0)</f>
        <v>0.10740246658136179</v>
      </c>
      <c r="AA6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0" s="78">
        <f>IFERROR(BeverageCost[[#This Row],[$Total]]/$Q$5,0)</f>
        <v>6.8850390457632599E-4</v>
      </c>
      <c r="AC60" s="113"/>
    </row>
    <row r="61" spans="2:29" x14ac:dyDescent="0.25">
      <c r="B61" s="114">
        <v>54</v>
      </c>
      <c r="C61" s="154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55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55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08">
        <f>SUMIFS(MainData[ExtendedPrice],MainData[BillID],BeverageCost[[#This Row],[BillID]],MainData[Billable?],"Y",MainData[Category],"Beverage",MainData[Product],H$7)</f>
        <v>1042.5</v>
      </c>
      <c r="I61" s="109">
        <f>SUMIFS(MainData[ExtendedPrice],MainData[BillID],BeverageCost[[#This Row],[BillID]],MainData[Billable?],"Y",MainData[Category],"Beverage",MainData[Product],I$7)</f>
        <v>490</v>
      </c>
      <c r="J61" s="109">
        <f>SUMIFS(MainData[ExtendedPrice],MainData[BillID],BeverageCost[[#This Row],[BillID]],MainData[Billable?],"Y",MainData[Category],"Beverage",MainData[Product],J$7)</f>
        <v>560</v>
      </c>
      <c r="K6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0">
        <f>SUMIFS(MainData[ExtendedCost],MainData[BillID],BeverageCost[[#This Row],[BillID]],MainData[Billable?],"Y",MainData[Category],"Beverage",MainData[Product],H$7)</f>
        <v>105</v>
      </c>
      <c r="N61" s="109">
        <f>SUMIFS(MainData[ExtendedCost],MainData[BillID],BeverageCost[[#This Row],[BillID]],MainData[Billable?],"Y",MainData[Category],"Beverage",MainData[Product],I$7)</f>
        <v>49</v>
      </c>
      <c r="O61" s="109">
        <f>SUMIFS(MainData[ExtendedCost],MainData[BillID],BeverageCost[[#This Row],[BillID]],MainData[Billable?],"Y",MainData[Category],"Beverage",MainData[Product],J$7)</f>
        <v>56</v>
      </c>
      <c r="P6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11">
        <f>IFERROR(BeverageCost[[#This Row],[$Liq]]/BeverageCost[[#This Row],[Liquor]],0)</f>
        <v>0.10071942446043165</v>
      </c>
      <c r="S6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1" s="112">
        <f>IFERROR(BeverageCost[[#This Row],[$Wine]]/BeverageCost[[#This Row],[Wine]],0)</f>
        <v>0.1</v>
      </c>
      <c r="U6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1" s="112">
        <f>IFERROR(BeverageCost[[#This Row],[$Beer]]/BeverageCost[[#This Row],[Beer]],0)</f>
        <v>0.1</v>
      </c>
      <c r="W6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1" s="112">
        <f>IFERROR(BeverageCost[[#This Row],[$Other]]/BeverageCost[[#This Row],[Other]],0)</f>
        <v>5.1999999999999998E-2</v>
      </c>
      <c r="Y6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1" s="77">
        <f>IFERROR(BeverageCost[[#This Row],[$Total]]/BeverageCost[[#This Row],[Total]],0)</f>
        <v>9.7632468996617816E-2</v>
      </c>
      <c r="AA6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1" s="78">
        <f>IFERROR(BeverageCost[[#This Row],[$Total]]/$Q$5,0)</f>
        <v>3.7784815042021433E-3</v>
      </c>
      <c r="AC61" s="113"/>
    </row>
    <row r="62" spans="2:29" x14ac:dyDescent="0.25">
      <c r="B62" s="114">
        <v>53</v>
      </c>
      <c r="C62" s="154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55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55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08">
        <f>SUMIFS(MainData[ExtendedPrice],MainData[BillID],BeverageCost[[#This Row],[BillID]],MainData[Billable?],"Y",MainData[Category],"Beverage",MainData[Product],H$7)</f>
        <v>306</v>
      </c>
      <c r="I62" s="109">
        <f>SUMIFS(MainData[ExtendedPrice],MainData[BillID],BeverageCost[[#This Row],[BillID]],MainData[Billable?],"Y",MainData[Category],"Beverage",MainData[Product],I$7)</f>
        <v>125</v>
      </c>
      <c r="J62" s="109">
        <f>SUMIFS(MainData[ExtendedPrice],MainData[BillID],BeverageCost[[#This Row],[BillID]],MainData[Billable?],"Y",MainData[Category],"Beverage",MainData[Product],J$7)</f>
        <v>70</v>
      </c>
      <c r="K6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0">
        <f>SUMIFS(MainData[ExtendedCost],MainData[BillID],BeverageCost[[#This Row],[BillID]],MainData[Billable?],"Y",MainData[Category],"Beverage",MainData[Product],H$7)</f>
        <v>25.67</v>
      </c>
      <c r="N62" s="109">
        <f>SUMIFS(MainData[ExtendedCost],MainData[BillID],BeverageCost[[#This Row],[BillID]],MainData[Billable?],"Y",MainData[Category],"Beverage",MainData[Product],I$7)</f>
        <v>12.5</v>
      </c>
      <c r="O62" s="109">
        <f>SUMIFS(MainData[ExtendedCost],MainData[BillID],BeverageCost[[#This Row],[BillID]],MainData[Billable?],"Y",MainData[Category],"Beverage",MainData[Product],J$7)</f>
        <v>7.5</v>
      </c>
      <c r="P6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11">
        <f>IFERROR(BeverageCost[[#This Row],[$Liq]]/BeverageCost[[#This Row],[Liquor]],0)</f>
        <v>8.3888888888888888E-2</v>
      </c>
      <c r="S6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2" s="112">
        <f>IFERROR(BeverageCost[[#This Row],[$Wine]]/BeverageCost[[#This Row],[Wine]],0)</f>
        <v>0.1</v>
      </c>
      <c r="U6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2" s="112">
        <f>IFERROR(BeverageCost[[#This Row],[$Beer]]/BeverageCost[[#This Row],[Beer]],0)</f>
        <v>0.10714285714285714</v>
      </c>
      <c r="W6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2" s="112">
        <f>IFERROR(BeverageCost[[#This Row],[$Other]]/BeverageCost[[#This Row],[Other]],0)</f>
        <v>0.05</v>
      </c>
      <c r="Y6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2" s="77">
        <f>IFERROR(BeverageCost[[#This Row],[$Total]]/BeverageCost[[#This Row],[Total]],0)</f>
        <v>8.920152091254753E-2</v>
      </c>
      <c r="AA6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2" s="78">
        <f>IFERROR(BeverageCost[[#This Row],[$Total]]/$Q$5,0)</f>
        <v>8.1887460589914361E-4</v>
      </c>
      <c r="AC62" s="113"/>
    </row>
    <row r="63" spans="2:29" x14ac:dyDescent="0.25">
      <c r="B63" s="114">
        <v>52</v>
      </c>
      <c r="C63" s="154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55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55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08">
        <f>SUMIFS(MainData[ExtendedPrice],MainData[BillID],BeverageCost[[#This Row],[BillID]],MainData[Billable?],"Y",MainData[Category],"Beverage",MainData[Product],H$7)</f>
        <v>700</v>
      </c>
      <c r="I63" s="109">
        <f>SUMIFS(MainData[ExtendedPrice],MainData[BillID],BeverageCost[[#This Row],[BillID]],MainData[Billable?],"Y",MainData[Category],"Beverage",MainData[Product],I$7)</f>
        <v>68</v>
      </c>
      <c r="J63" s="109">
        <f>SUMIFS(MainData[ExtendedPrice],MainData[BillID],BeverageCost[[#This Row],[BillID]],MainData[Billable?],"Y",MainData[Category],"Beverage",MainData[Product],J$7)</f>
        <v>165</v>
      </c>
      <c r="K6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0">
        <f>SUMIFS(MainData[ExtendedCost],MainData[BillID],BeverageCost[[#This Row],[BillID]],MainData[Billable?],"Y",MainData[Category],"Beverage",MainData[Product],H$7)</f>
        <v>58.02</v>
      </c>
      <c r="N63" s="109">
        <f>SUMIFS(MainData[ExtendedCost],MainData[BillID],BeverageCost[[#This Row],[BillID]],MainData[Billable?],"Y",MainData[Category],"Beverage",MainData[Product],I$7)</f>
        <v>6.8</v>
      </c>
      <c r="O63" s="109">
        <f>SUMIFS(MainData[ExtendedCost],MainData[BillID],BeverageCost[[#This Row],[BillID]],MainData[Billable?],"Y",MainData[Category],"Beverage",MainData[Product],J$7)</f>
        <v>16.5</v>
      </c>
      <c r="P6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11">
        <f>IFERROR(BeverageCost[[#This Row],[$Liq]]/BeverageCost[[#This Row],[Liquor]],0)</f>
        <v>8.2885714285714285E-2</v>
      </c>
      <c r="S6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3" s="112">
        <f>IFERROR(BeverageCost[[#This Row],[$Wine]]/BeverageCost[[#This Row],[Wine]],0)</f>
        <v>9.9999999999999992E-2</v>
      </c>
      <c r="U6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3" s="112">
        <f>IFERROR(BeverageCost[[#This Row],[$Beer]]/BeverageCost[[#This Row],[Beer]],0)</f>
        <v>0.1</v>
      </c>
      <c r="W6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3" s="112">
        <f>IFERROR(BeverageCost[[#This Row],[$Other]]/BeverageCost[[#This Row],[Other]],0)</f>
        <v>3.5714285714285712E-2</v>
      </c>
      <c r="Y6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3" s="77">
        <f>IFERROR(BeverageCost[[#This Row],[$Total]]/BeverageCost[[#This Row],[Total]],0)</f>
        <v>8.5299586776859518E-2</v>
      </c>
      <c r="AA6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3" s="78">
        <f>IFERROR(BeverageCost[[#This Row],[$Total]]/$Q$5,0)</f>
        <v>1.4410587427342771E-3</v>
      </c>
      <c r="AC63" s="113"/>
    </row>
    <row r="64" spans="2:29" x14ac:dyDescent="0.25">
      <c r="B64" s="114">
        <v>57</v>
      </c>
      <c r="C64" s="154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55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55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08">
        <f>SUMIFS(MainData[ExtendedPrice],MainData[BillID],BeverageCost[[#This Row],[BillID]],MainData[Billable?],"Y",MainData[Category],"Beverage",MainData[Product],H$7)</f>
        <v>6200</v>
      </c>
      <c r="I64" s="109">
        <f>SUMIFS(MainData[ExtendedPrice],MainData[BillID],BeverageCost[[#This Row],[BillID]],MainData[Billable?],"Y",MainData[Category],"Beverage",MainData[Product],I$7)</f>
        <v>3500</v>
      </c>
      <c r="J64" s="109">
        <f>SUMIFS(MainData[ExtendedPrice],MainData[BillID],BeverageCost[[#This Row],[BillID]],MainData[Billable?],"Y",MainData[Category],"Beverage",MainData[Product],J$7)</f>
        <v>3500</v>
      </c>
      <c r="K6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0">
        <f>SUMIFS(MainData[ExtendedCost],MainData[BillID],BeverageCost[[#This Row],[BillID]],MainData[Billable?],"Y",MainData[Category],"Beverage",MainData[Product],H$7)</f>
        <v>319.08</v>
      </c>
      <c r="N64" s="109">
        <f>SUMIFS(MainData[ExtendedCost],MainData[BillID],BeverageCost[[#This Row],[BillID]],MainData[Billable?],"Y",MainData[Category],"Beverage",MainData[Product],I$7)</f>
        <v>150</v>
      </c>
      <c r="O64" s="109">
        <f>SUMIFS(MainData[ExtendedCost],MainData[BillID],BeverageCost[[#This Row],[BillID]],MainData[Billable?],"Y",MainData[Category],"Beverage",MainData[Product],J$7)</f>
        <v>150</v>
      </c>
      <c r="P6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11">
        <f>IFERROR(BeverageCost[[#This Row],[$Liq]]/BeverageCost[[#This Row],[Liquor]],0)</f>
        <v>5.1464516129032259E-2</v>
      </c>
      <c r="S6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4" s="112">
        <f>IFERROR(BeverageCost[[#This Row],[$Wine]]/BeverageCost[[#This Row],[Wine]],0)</f>
        <v>4.2857142857142858E-2</v>
      </c>
      <c r="U6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4" s="112">
        <f>IFERROR(BeverageCost[[#This Row],[$Beer]]/BeverageCost[[#This Row],[Beer]],0)</f>
        <v>4.2857142857142858E-2</v>
      </c>
      <c r="W6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4" s="112">
        <f>IFERROR(BeverageCost[[#This Row],[$Other]]/BeverageCost[[#This Row],[Other]],0)</f>
        <v>4.743833017077799E-2</v>
      </c>
      <c r="Y6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4" s="77">
        <f>IFERROR(BeverageCost[[#This Row],[$Total]]/BeverageCost[[#This Row],[Total]],0)</f>
        <v>4.6920667298025784E-2</v>
      </c>
      <c r="AA6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4" s="78">
        <f>IFERROR(BeverageCost[[#This Row],[$Total]]/$Q$5,0)</f>
        <v>1.124085158072294E-2</v>
      </c>
      <c r="AC64" s="113" t="s">
        <v>395</v>
      </c>
    </row>
    <row r="65" spans="2:29" x14ac:dyDescent="0.25">
      <c r="B65" s="114">
        <v>59</v>
      </c>
      <c r="C65" s="154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55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55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08">
        <f>SUMIFS(MainData[ExtendedPrice],MainData[BillID],BeverageCost[[#This Row],[BillID]],MainData[Billable?],"Y",MainData[Category],"Beverage",MainData[Product],H$7)</f>
        <v>328.38</v>
      </c>
      <c r="I65" s="109">
        <f>SUMIFS(MainData[ExtendedPrice],MainData[BillID],BeverageCost[[#This Row],[BillID]],MainData[Billable?],"Y",MainData[Category],"Beverage",MainData[Product],I$7)</f>
        <v>190</v>
      </c>
      <c r="J65" s="109">
        <f>SUMIFS(MainData[ExtendedPrice],MainData[BillID],BeverageCost[[#This Row],[BillID]],MainData[Billable?],"Y",MainData[Category],"Beverage",MainData[Product],J$7)</f>
        <v>110</v>
      </c>
      <c r="K6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0">
        <f>SUMIFS(MainData[ExtendedCost],MainData[BillID],BeverageCost[[#This Row],[BillID]],MainData[Billable?],"Y",MainData[Category],"Beverage",MainData[Product],H$7)</f>
        <v>31.3</v>
      </c>
      <c r="N65" s="109">
        <f>SUMIFS(MainData[ExtendedCost],MainData[BillID],BeverageCost[[#This Row],[BillID]],MainData[Billable?],"Y",MainData[Category],"Beverage",MainData[Product],I$7)</f>
        <v>20</v>
      </c>
      <c r="O65" s="109">
        <f>SUMIFS(MainData[ExtendedCost],MainData[BillID],BeverageCost[[#This Row],[BillID]],MainData[Billable?],"Y",MainData[Category],"Beverage",MainData[Product],J$7)</f>
        <v>11</v>
      </c>
      <c r="P6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11">
        <f>IFERROR(BeverageCost[[#This Row],[$Liq]]/BeverageCost[[#This Row],[Liquor]],0)</f>
        <v>9.531640172970339E-2</v>
      </c>
      <c r="S6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5" s="112">
        <f>IFERROR(BeverageCost[[#This Row],[$Wine]]/BeverageCost[[#This Row],[Wine]],0)</f>
        <v>0.10526315789473684</v>
      </c>
      <c r="U6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5" s="112">
        <f>IFERROR(BeverageCost[[#This Row],[$Beer]]/BeverageCost[[#This Row],[Beer]],0)</f>
        <v>0.1</v>
      </c>
      <c r="W6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5" s="112">
        <f>IFERROR(BeverageCost[[#This Row],[$Other]]/BeverageCost[[#This Row],[Other]],0)</f>
        <v>0.05</v>
      </c>
      <c r="Y6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5" s="77">
        <f>IFERROR(BeverageCost[[#This Row],[$Total]]/BeverageCost[[#This Row],[Total]],0)</f>
        <v>9.8374009210814878E-2</v>
      </c>
      <c r="AA6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5" s="78">
        <f>IFERROR(BeverageCost[[#This Row],[$Total]]/$Q$5,0)</f>
        <v>1.0960214247754947E-3</v>
      </c>
      <c r="AC65" s="113"/>
    </row>
    <row r="66" spans="2:29" x14ac:dyDescent="0.25">
      <c r="B66" s="114">
        <v>58</v>
      </c>
      <c r="C66" s="154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55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55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08">
        <f>SUMIFS(MainData[ExtendedPrice],MainData[BillID],BeverageCost[[#This Row],[BillID]],MainData[Billable?],"Y",MainData[Category],"Beverage",MainData[Product],H$7)</f>
        <v>1300</v>
      </c>
      <c r="I66" s="109">
        <f>SUMIFS(MainData[ExtendedPrice],MainData[BillID],BeverageCost[[#This Row],[BillID]],MainData[Billable?],"Y",MainData[Category],"Beverage",MainData[Product],I$7)</f>
        <v>630</v>
      </c>
      <c r="J66" s="109">
        <f>SUMIFS(MainData[ExtendedPrice],MainData[BillID],BeverageCost[[#This Row],[BillID]],MainData[Billable?],"Y",MainData[Category],"Beverage",MainData[Product],J$7)</f>
        <v>490</v>
      </c>
      <c r="K6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0">
        <f>SUMIFS(MainData[ExtendedCost],MainData[BillID],BeverageCost[[#This Row],[BillID]],MainData[Billable?],"Y",MainData[Category],"Beverage",MainData[Product],H$7)</f>
        <v>140</v>
      </c>
      <c r="N66" s="109">
        <f>SUMIFS(MainData[ExtendedCost],MainData[BillID],BeverageCost[[#This Row],[BillID]],MainData[Billable?],"Y",MainData[Category],"Beverage",MainData[Product],I$7)</f>
        <v>63</v>
      </c>
      <c r="O66" s="109">
        <f>SUMIFS(MainData[ExtendedCost],MainData[BillID],BeverageCost[[#This Row],[BillID]],MainData[Billable?],"Y",MainData[Category],"Beverage",MainData[Product],J$7)</f>
        <v>50</v>
      </c>
      <c r="P6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11">
        <f>IFERROR(BeverageCost[[#This Row],[$Liq]]/BeverageCost[[#This Row],[Liquor]],0)</f>
        <v>0.1076923076923077</v>
      </c>
      <c r="S6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6" s="112">
        <f>IFERROR(BeverageCost[[#This Row],[$Wine]]/BeverageCost[[#This Row],[Wine]],0)</f>
        <v>0.1</v>
      </c>
      <c r="U6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6" s="112">
        <f>IFERROR(BeverageCost[[#This Row],[$Beer]]/BeverageCost[[#This Row],[Beer]],0)</f>
        <v>0.10204081632653061</v>
      </c>
      <c r="W6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6" s="112">
        <f>IFERROR(BeverageCost[[#This Row],[$Other]]/BeverageCost[[#This Row],[Other]],0)</f>
        <v>5.4545454545454543E-2</v>
      </c>
      <c r="Y6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6" s="77">
        <f>IFERROR(BeverageCost[[#This Row],[$Total]]/BeverageCost[[#This Row],[Total]],0)</f>
        <v>0.10237154150197629</v>
      </c>
      <c r="AA6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6" s="78">
        <f>IFERROR(BeverageCost[[#This Row],[$Total]]/$Q$5,0)</f>
        <v>4.520215748676005E-3</v>
      </c>
      <c r="AC66" s="113"/>
    </row>
    <row r="67" spans="2:29" x14ac:dyDescent="0.25">
      <c r="B67" s="114">
        <v>56</v>
      </c>
      <c r="C67" s="154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55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55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08">
        <f>SUMIFS(MainData[ExtendedPrice],MainData[BillID],BeverageCost[[#This Row],[BillID]],MainData[Billable?],"Y",MainData[Category],"Beverage",MainData[Product],H$7)</f>
        <v>2140</v>
      </c>
      <c r="I67" s="109">
        <f>SUMIFS(MainData[ExtendedPrice],MainData[BillID],BeverageCost[[#This Row],[BillID]],MainData[Billable?],"Y",MainData[Category],"Beverage",MainData[Product],I$7)</f>
        <v>650</v>
      </c>
      <c r="J67" s="109">
        <f>SUMIFS(MainData[ExtendedPrice],MainData[BillID],BeverageCost[[#This Row],[BillID]],MainData[Billable?],"Y",MainData[Category],"Beverage",MainData[Product],J$7)</f>
        <v>495</v>
      </c>
      <c r="K6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0">
        <f>SUMIFS(MainData[ExtendedCost],MainData[BillID],BeverageCost[[#This Row],[BillID]],MainData[Billable?],"Y",MainData[Category],"Beverage",MainData[Product],H$7)</f>
        <v>193.43</v>
      </c>
      <c r="N67" s="109">
        <f>SUMIFS(MainData[ExtendedCost],MainData[BillID],BeverageCost[[#This Row],[BillID]],MainData[Billable?],"Y",MainData[Category],"Beverage",MainData[Product],I$7)</f>
        <v>65</v>
      </c>
      <c r="O67" s="109">
        <f>SUMIFS(MainData[ExtendedCost],MainData[BillID],BeverageCost[[#This Row],[BillID]],MainData[Billable?],"Y",MainData[Category],"Beverage",MainData[Product],J$7)</f>
        <v>50</v>
      </c>
      <c r="P6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11">
        <f>IFERROR(BeverageCost[[#This Row],[$Liq]]/BeverageCost[[#This Row],[Liquor]],0)</f>
        <v>9.0387850467289726E-2</v>
      </c>
      <c r="S6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7" s="112">
        <f>IFERROR(BeverageCost[[#This Row],[$Wine]]/BeverageCost[[#This Row],[Wine]],0)</f>
        <v>0.1</v>
      </c>
      <c r="U6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7" s="112">
        <f>IFERROR(BeverageCost[[#This Row],[$Beer]]/BeverageCost[[#This Row],[Beer]],0)</f>
        <v>0.10101010101010101</v>
      </c>
      <c r="W6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7" s="112">
        <f>IFERROR(BeverageCost[[#This Row],[$Other]]/BeverageCost[[#This Row],[Other]],0)</f>
        <v>5.128205128205128E-2</v>
      </c>
      <c r="Y6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7" s="77">
        <f>IFERROR(BeverageCost[[#This Row],[$Total]]/BeverageCost[[#This Row],[Total]],0)</f>
        <v>9.1502873563218387E-2</v>
      </c>
      <c r="AA6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7" s="78">
        <f>IFERROR(BeverageCost[[#This Row],[$Total]]/$Q$5,0)</f>
        <v>5.5574220110073376E-3</v>
      </c>
      <c r="AC67" s="113"/>
    </row>
    <row r="68" spans="2:29" x14ac:dyDescent="0.25">
      <c r="B68" s="114">
        <v>60</v>
      </c>
      <c r="C68" s="154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55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55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08">
        <f>SUMIFS(MainData[ExtendedPrice],MainData[BillID],BeverageCost[[#This Row],[BillID]],MainData[Billable?],"Y",MainData[Category],"Beverage",MainData[Product],H$7)</f>
        <v>6894.3</v>
      </c>
      <c r="I68" s="109">
        <f>SUMIFS(MainData[ExtendedPrice],MainData[BillID],BeverageCost[[#This Row],[BillID]],MainData[Billable?],"Y",MainData[Category],"Beverage",MainData[Product],I$7)</f>
        <v>5225</v>
      </c>
      <c r="J68" s="109">
        <f>SUMIFS(MainData[ExtendedPrice],MainData[BillID],BeverageCost[[#This Row],[BillID]],MainData[Billable?],"Y",MainData[Category],"Beverage",MainData[Product],J$7)</f>
        <v>3650</v>
      </c>
      <c r="K6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0">
        <f>SUMIFS(MainData[ExtendedCost],MainData[BillID],BeverageCost[[#This Row],[BillID]],MainData[Billable?],"Y",MainData[Category],"Beverage",MainData[Product],H$7)</f>
        <v>541.35</v>
      </c>
      <c r="N68" s="109">
        <f>SUMIFS(MainData[ExtendedCost],MainData[BillID],BeverageCost[[#This Row],[BillID]],MainData[Billable?],"Y",MainData[Category],"Beverage",MainData[Product],I$7)</f>
        <v>525</v>
      </c>
      <c r="O68" s="109">
        <f>SUMIFS(MainData[ExtendedCost],MainData[BillID],BeverageCost[[#This Row],[BillID]],MainData[Billable?],"Y",MainData[Category],"Beverage",MainData[Product],J$7)</f>
        <v>370</v>
      </c>
      <c r="P6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11">
        <f>IFERROR(BeverageCost[[#This Row],[$Liq]]/BeverageCost[[#This Row],[Liquor]],0)</f>
        <v>7.8521387232931547E-2</v>
      </c>
      <c r="S6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8" s="112">
        <f>IFERROR(BeverageCost[[#This Row],[$Wine]]/BeverageCost[[#This Row],[Wine]],0)</f>
        <v>0.10047846889952153</v>
      </c>
      <c r="U6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8" s="112">
        <f>IFERROR(BeverageCost[[#This Row],[$Beer]]/BeverageCost[[#This Row],[Beer]],0)</f>
        <v>0.10136986301369863</v>
      </c>
      <c r="W6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8" s="112">
        <f>IFERROR(BeverageCost[[#This Row],[$Other]]/BeverageCost[[#This Row],[Other]],0)</f>
        <v>5.113636363636364E-2</v>
      </c>
      <c r="Y6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8" s="77">
        <f>IFERROR(BeverageCost[[#This Row],[$Total]]/BeverageCost[[#This Row],[Total]],0)</f>
        <v>8.8973710606451928E-2</v>
      </c>
      <c r="AA6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8" s="78">
        <f>IFERROR(BeverageCost[[#This Row],[$Total]]/$Q$5,0)</f>
        <v>2.5853365248267181E-2</v>
      </c>
      <c r="AC68" s="113"/>
    </row>
    <row r="69" spans="2:29" x14ac:dyDescent="0.25">
      <c r="B69" s="114">
        <v>61</v>
      </c>
      <c r="C69" s="154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55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55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08">
        <f>SUMIFS(MainData[ExtendedPrice],MainData[BillID],BeverageCost[[#This Row],[BillID]],MainData[Billable?],"Y",MainData[Category],"Beverage",MainData[Product],H$7)</f>
        <v>573</v>
      </c>
      <c r="I69" s="109">
        <f>SUMIFS(MainData[ExtendedPrice],MainData[BillID],BeverageCost[[#This Row],[BillID]],MainData[Billable?],"Y",MainData[Category],"Beverage",MainData[Product],I$7)</f>
        <v>240</v>
      </c>
      <c r="J69" s="109">
        <f>SUMIFS(MainData[ExtendedPrice],MainData[BillID],BeverageCost[[#This Row],[BillID]],MainData[Billable?],"Y",MainData[Category],"Beverage",MainData[Product],J$7)</f>
        <v>360</v>
      </c>
      <c r="K6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0">
        <f>SUMIFS(MainData[ExtendedCost],MainData[BillID],BeverageCost[[#This Row],[BillID]],MainData[Billable?],"Y",MainData[Category],"Beverage",MainData[Product],H$7)</f>
        <v>27.8</v>
      </c>
      <c r="N69" s="109">
        <f>SUMIFS(MainData[ExtendedCost],MainData[BillID],BeverageCost[[#This Row],[BillID]],MainData[Billable?],"Y",MainData[Category],"Beverage",MainData[Product],I$7)</f>
        <v>24</v>
      </c>
      <c r="O69" s="109">
        <f>SUMIFS(MainData[ExtendedCost],MainData[BillID],BeverageCost[[#This Row],[BillID]],MainData[Billable?],"Y",MainData[Category],"Beverage",MainData[Product],J$7)</f>
        <v>36</v>
      </c>
      <c r="P6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11">
        <f>IFERROR(BeverageCost[[#This Row],[$Liq]]/BeverageCost[[#This Row],[Liquor]],0)</f>
        <v>4.8516579406631767E-2</v>
      </c>
      <c r="S6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9" s="112">
        <f>IFERROR(BeverageCost[[#This Row],[$Wine]]/BeverageCost[[#This Row],[Wine]],0)</f>
        <v>0.1</v>
      </c>
      <c r="U6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9" s="112">
        <f>IFERROR(BeverageCost[[#This Row],[$Beer]]/BeverageCost[[#This Row],[Beer]],0)</f>
        <v>0.1</v>
      </c>
      <c r="W6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9" s="112">
        <f>IFERROR(BeverageCost[[#This Row],[$Other]]/BeverageCost[[#This Row],[Other]],0)</f>
        <v>5.5555555555555552E-2</v>
      </c>
      <c r="Y6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9" s="77">
        <f>IFERROR(BeverageCost[[#This Row],[$Total]]/BeverageCost[[#This Row],[Total]],0)</f>
        <v>7.347585114806017E-2</v>
      </c>
      <c r="AA6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9" s="78">
        <f>IFERROR(BeverageCost[[#This Row],[$Total]]/$Q$5,0)</f>
        <v>1.6195985385217501E-3</v>
      </c>
      <c r="AC69" s="113"/>
    </row>
    <row r="70" spans="2:29" x14ac:dyDescent="0.25">
      <c r="B70" s="114">
        <v>117</v>
      </c>
      <c r="C70" s="154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55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55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08">
        <f>SUMIFS(MainData[ExtendedPrice],MainData[BillID],BeverageCost[[#This Row],[BillID]],MainData[Billable?],"Y",MainData[Category],"Beverage",MainData[Product],H$7)</f>
        <v>267.77</v>
      </c>
      <c r="I70" s="109">
        <f>SUMIFS(MainData[ExtendedPrice],MainData[BillID],BeverageCost[[#This Row],[BillID]],MainData[Billable?],"Y",MainData[Category],"Beverage",MainData[Product],I$7)</f>
        <v>100</v>
      </c>
      <c r="J70" s="109">
        <f>SUMIFS(MainData[ExtendedPrice],MainData[BillID],BeverageCost[[#This Row],[BillID]],MainData[Billable?],"Y",MainData[Category],"Beverage",MainData[Product],J$7)</f>
        <v>120</v>
      </c>
      <c r="K7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0">
        <f>SUMIFS(MainData[ExtendedCost],MainData[BillID],BeverageCost[[#This Row],[BillID]],MainData[Billable?],"Y",MainData[Category],"Beverage",MainData[Product],H$7)</f>
        <v>38.049999999999997</v>
      </c>
      <c r="N70" s="109">
        <f>SUMIFS(MainData[ExtendedCost],MainData[BillID],BeverageCost[[#This Row],[BillID]],MainData[Billable?],"Y",MainData[Category],"Beverage",MainData[Product],I$7)</f>
        <v>10</v>
      </c>
      <c r="O70" s="109">
        <f>SUMIFS(MainData[ExtendedCost],MainData[BillID],BeverageCost[[#This Row],[BillID]],MainData[Billable?],"Y",MainData[Category],"Beverage",MainData[Product],J$7)</f>
        <v>12</v>
      </c>
      <c r="P7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11">
        <f>IFERROR(BeverageCost[[#This Row],[$Liq]]/BeverageCost[[#This Row],[Liquor]],0)</f>
        <v>0.14209956305784816</v>
      </c>
      <c r="S7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0" s="112">
        <f>IFERROR(BeverageCost[[#This Row],[$Wine]]/BeverageCost[[#This Row],[Wine]],0)</f>
        <v>0.1</v>
      </c>
      <c r="U7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0" s="112">
        <f>IFERROR(BeverageCost[[#This Row],[$Beer]]/BeverageCost[[#This Row],[Beer]],0)</f>
        <v>0.1</v>
      </c>
      <c r="W7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0" s="112">
        <f>IFERROR(BeverageCost[[#This Row],[$Other]]/BeverageCost[[#This Row],[Other]],0)</f>
        <v>0.05</v>
      </c>
      <c r="Y7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0" s="77">
        <f>IFERROR(BeverageCost[[#This Row],[$Total]]/BeverageCost[[#This Row],[Total]],0)</f>
        <v>0.11954677535737269</v>
      </c>
      <c r="AA7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0" s="78">
        <f>IFERROR(BeverageCost[[#This Row],[$Total]]/$Q$5,0)</f>
        <v>1.0698425690881818E-3</v>
      </c>
      <c r="AC70" s="113"/>
    </row>
    <row r="71" spans="2:29" x14ac:dyDescent="0.25">
      <c r="B71" s="114">
        <v>62</v>
      </c>
      <c r="C71" s="154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55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55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08">
        <f>SUMIFS(MainData[ExtendedPrice],MainData[BillID],BeverageCost[[#This Row],[BillID]],MainData[Billable?],"Y",MainData[Category],"Beverage",MainData[Product],H$7)</f>
        <v>0</v>
      </c>
      <c r="I71" s="109">
        <f>SUMIFS(MainData[ExtendedPrice],MainData[BillID],BeverageCost[[#This Row],[BillID]],MainData[Billable?],"Y",MainData[Category],"Beverage",MainData[Product],I$7)</f>
        <v>0</v>
      </c>
      <c r="J71" s="109">
        <f>SUMIFS(MainData[ExtendedPrice],MainData[BillID],BeverageCost[[#This Row],[BillID]],MainData[Billable?],"Y",MainData[Category],"Beverage",MainData[Product],J$7)</f>
        <v>0</v>
      </c>
      <c r="K7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0">
        <f>SUMIFS(MainData[ExtendedCost],MainData[BillID],BeverageCost[[#This Row],[BillID]],MainData[Billable?],"Y",MainData[Category],"Beverage",MainData[Product],H$7)</f>
        <v>0</v>
      </c>
      <c r="N71" s="109">
        <f>SUMIFS(MainData[ExtendedCost],MainData[BillID],BeverageCost[[#This Row],[BillID]],MainData[Billable?],"Y",MainData[Category],"Beverage",MainData[Product],I$7)</f>
        <v>0</v>
      </c>
      <c r="O71" s="109">
        <f>SUMIFS(MainData[ExtendedCost],MainData[BillID],BeverageCost[[#This Row],[BillID]],MainData[Billable?],"Y",MainData[Category],"Beverage",MainData[Product],J$7)</f>
        <v>0</v>
      </c>
      <c r="P7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11">
        <f>IFERROR(BeverageCost[[#This Row],[$Liq]]/BeverageCost[[#This Row],[Liquor]],0)</f>
        <v>0</v>
      </c>
      <c r="S7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1" s="112">
        <f>IFERROR(BeverageCost[[#This Row],[$Wine]]/BeverageCost[[#This Row],[Wine]],0)</f>
        <v>0</v>
      </c>
      <c r="U7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1" s="112">
        <f>IFERROR(BeverageCost[[#This Row],[$Beer]]/BeverageCost[[#This Row],[Beer]],0)</f>
        <v>0</v>
      </c>
      <c r="W7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1" s="112">
        <f>IFERROR(BeverageCost[[#This Row],[$Other]]/BeverageCost[[#This Row],[Other]],0)</f>
        <v>0</v>
      </c>
      <c r="Y7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1" s="77">
        <f>IFERROR(BeverageCost[[#This Row],[$Total]]/BeverageCost[[#This Row],[Total]],0)</f>
        <v>0</v>
      </c>
      <c r="AA7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1" s="78">
        <f>IFERROR(BeverageCost[[#This Row],[$Total]]/$Q$5,0)</f>
        <v>0</v>
      </c>
      <c r="AC71" s="113" t="s">
        <v>231</v>
      </c>
    </row>
    <row r="72" spans="2:29" x14ac:dyDescent="0.25">
      <c r="B72" s="114">
        <v>119</v>
      </c>
      <c r="C72" s="154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55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55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08">
        <f>SUMIFS(MainData[ExtendedPrice],MainData[BillID],BeverageCost[[#This Row],[BillID]],MainData[Billable?],"Y",MainData[Category],"Beverage",MainData[Product],H$7)</f>
        <v>60.58</v>
      </c>
      <c r="I72" s="109">
        <f>SUMIFS(MainData[ExtendedPrice],MainData[BillID],BeverageCost[[#This Row],[BillID]],MainData[Billable?],"Y",MainData[Category],"Beverage",MainData[Product],I$7)</f>
        <v>54.93</v>
      </c>
      <c r="J72" s="109">
        <f>SUMIFS(MainData[ExtendedPrice],MainData[BillID],BeverageCost[[#This Row],[BillID]],MainData[Billable?],"Y",MainData[Category],"Beverage",MainData[Product],J$7)</f>
        <v>51.57</v>
      </c>
      <c r="K7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0">
        <f>SUMIFS(MainData[ExtendedCost],MainData[BillID],BeverageCost[[#This Row],[BillID]],MainData[Billable?],"Y",MainData[Category],"Beverage",MainData[Product],H$7)</f>
        <v>7.1</v>
      </c>
      <c r="N72" s="109">
        <f>SUMIFS(MainData[ExtendedCost],MainData[BillID],BeverageCost[[#This Row],[BillID]],MainData[Billable?],"Y",MainData[Category],"Beverage",MainData[Product],I$7)</f>
        <v>7.3</v>
      </c>
      <c r="O72" s="109">
        <f>SUMIFS(MainData[ExtendedCost],MainData[BillID],BeverageCost[[#This Row],[BillID]],MainData[Billable?],"Y",MainData[Category],"Beverage",MainData[Product],J$7)</f>
        <v>5.5</v>
      </c>
      <c r="P7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11">
        <f>IFERROR(BeverageCost[[#This Row],[$Liq]]/BeverageCost[[#This Row],[Liquor]],0)</f>
        <v>0.11720039617035324</v>
      </c>
      <c r="S7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2" s="112">
        <f>IFERROR(BeverageCost[[#This Row],[$Wine]]/BeverageCost[[#This Row],[Wine]],0)</f>
        <v>0.13289641361733115</v>
      </c>
      <c r="U7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2" s="112">
        <f>IFERROR(BeverageCost[[#This Row],[$Beer]]/BeverageCost[[#This Row],[Beer]],0)</f>
        <v>0.10665115377157262</v>
      </c>
      <c r="W7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2" s="112">
        <f>IFERROR(BeverageCost[[#This Row],[$Other]]/BeverageCost[[#This Row],[Other]],0)</f>
        <v>0.10588235294117647</v>
      </c>
      <c r="Y7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2" s="77">
        <f>IFERROR(BeverageCost[[#This Row],[$Total]]/BeverageCost[[#This Row],[Total]],0)</f>
        <v>0.11846451759881535</v>
      </c>
      <c r="AA7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2" s="78">
        <f>IFERROR(BeverageCost[[#This Row],[$Total]]/$Q$5,0)</f>
        <v>3.6301346553073709E-4</v>
      </c>
      <c r="AC72" s="113"/>
    </row>
    <row r="73" spans="2:29" x14ac:dyDescent="0.25">
      <c r="B73" s="114">
        <v>66</v>
      </c>
      <c r="C73" s="154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55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55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08">
        <f>SUMIFS(MainData[ExtendedPrice],MainData[BillID],BeverageCost[[#This Row],[BillID]],MainData[Billable?],"Y",MainData[Category],"Beverage",MainData[Product],H$7)</f>
        <v>0</v>
      </c>
      <c r="I73" s="109">
        <f>SUMIFS(MainData[ExtendedPrice],MainData[BillID],BeverageCost[[#This Row],[BillID]],MainData[Billable?],"Y",MainData[Category],"Beverage",MainData[Product],I$7)</f>
        <v>0</v>
      </c>
      <c r="J73" s="109">
        <f>SUMIFS(MainData[ExtendedPrice],MainData[BillID],BeverageCost[[#This Row],[BillID]],MainData[Billable?],"Y",MainData[Category],"Beverage",MainData[Product],J$7)</f>
        <v>0</v>
      </c>
      <c r="K7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0">
        <f>SUMIFS(MainData[ExtendedCost],MainData[BillID],BeverageCost[[#This Row],[BillID]],MainData[Billable?],"Y",MainData[Category],"Beverage",MainData[Product],H$7)</f>
        <v>0</v>
      </c>
      <c r="N73" s="109">
        <f>SUMIFS(MainData[ExtendedCost],MainData[BillID],BeverageCost[[#This Row],[BillID]],MainData[Billable?],"Y",MainData[Category],"Beverage",MainData[Product],I$7)</f>
        <v>0</v>
      </c>
      <c r="O73" s="109">
        <f>SUMIFS(MainData[ExtendedCost],MainData[BillID],BeverageCost[[#This Row],[BillID]],MainData[Billable?],"Y",MainData[Category],"Beverage",MainData[Product],J$7)</f>
        <v>0</v>
      </c>
      <c r="P7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11">
        <f>IFERROR(BeverageCost[[#This Row],[$Liq]]/BeverageCost[[#This Row],[Liquor]],0)</f>
        <v>0</v>
      </c>
      <c r="S7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3" s="112">
        <f>IFERROR(BeverageCost[[#This Row],[$Wine]]/BeverageCost[[#This Row],[Wine]],0)</f>
        <v>0</v>
      </c>
      <c r="U7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3" s="112">
        <f>IFERROR(BeverageCost[[#This Row],[$Beer]]/BeverageCost[[#This Row],[Beer]],0)</f>
        <v>0</v>
      </c>
      <c r="W7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3" s="112">
        <f>IFERROR(BeverageCost[[#This Row],[$Other]]/BeverageCost[[#This Row],[Other]],0)</f>
        <v>0</v>
      </c>
      <c r="Y7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3" s="77">
        <f>IFERROR(BeverageCost[[#This Row],[$Total]]/BeverageCost[[#This Row],[Total]],0)</f>
        <v>0</v>
      </c>
      <c r="AA7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3" s="78">
        <f>IFERROR(BeverageCost[[#This Row],[$Total]]/$Q$5,0)</f>
        <v>0</v>
      </c>
      <c r="AC73" s="113" t="s">
        <v>231</v>
      </c>
    </row>
    <row r="74" spans="2:29" x14ac:dyDescent="0.25">
      <c r="B74" s="114">
        <v>63</v>
      </c>
      <c r="C74" s="154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55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55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08">
        <f>SUMIFS(MainData[ExtendedPrice],MainData[BillID],BeverageCost[[#This Row],[BillID]],MainData[Billable?],"Y",MainData[Category],"Beverage",MainData[Product],H$7)</f>
        <v>6004</v>
      </c>
      <c r="I74" s="109">
        <f>SUMIFS(MainData[ExtendedPrice],MainData[BillID],BeverageCost[[#This Row],[BillID]],MainData[Billable?],"Y",MainData[Category],"Beverage",MainData[Product],I$7)</f>
        <v>2470</v>
      </c>
      <c r="J74" s="109">
        <f>SUMIFS(MainData[ExtendedPrice],MainData[BillID],BeverageCost[[#This Row],[BillID]],MainData[Billable?],"Y",MainData[Category],"Beverage",MainData[Product],J$7)</f>
        <v>3680</v>
      </c>
      <c r="K7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0">
        <f>SUMIFS(MainData[ExtendedCost],MainData[BillID],BeverageCost[[#This Row],[BillID]],MainData[Billable?],"Y",MainData[Category],"Beverage",MainData[Product],H$7)</f>
        <v>506.2</v>
      </c>
      <c r="N74" s="109">
        <f>SUMIFS(MainData[ExtendedCost],MainData[BillID],BeverageCost[[#This Row],[BillID]],MainData[Billable?],"Y",MainData[Category],"Beverage",MainData[Product],I$7)</f>
        <v>247</v>
      </c>
      <c r="O74" s="109">
        <f>SUMIFS(MainData[ExtendedCost],MainData[BillID],BeverageCost[[#This Row],[BillID]],MainData[Billable?],"Y",MainData[Category],"Beverage",MainData[Product],J$7)</f>
        <v>368</v>
      </c>
      <c r="P7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11">
        <f>IFERROR(BeverageCost[[#This Row],[$Liq]]/BeverageCost[[#This Row],[Liquor]],0)</f>
        <v>8.4310459693537634E-2</v>
      </c>
      <c r="S7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4" s="112">
        <f>IFERROR(BeverageCost[[#This Row],[$Wine]]/BeverageCost[[#This Row],[Wine]],0)</f>
        <v>0.1</v>
      </c>
      <c r="U7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4" s="112">
        <f>IFERROR(BeverageCost[[#This Row],[$Beer]]/BeverageCost[[#This Row],[Beer]],0)</f>
        <v>0.1</v>
      </c>
      <c r="W7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4" s="112">
        <f>IFERROR(BeverageCost[[#This Row],[$Other]]/BeverageCost[[#This Row],[Other]],0)</f>
        <v>5.0505050505050504E-2</v>
      </c>
      <c r="Y7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4" s="77">
        <f>IFERROR(BeverageCost[[#This Row],[$Total]]/BeverageCost[[#This Row],[Total]],0)</f>
        <v>9.061585896118271E-2</v>
      </c>
      <c r="AA7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4" s="78">
        <f>IFERROR(BeverageCost[[#This Row],[$Total]]/$Q$5,0)</f>
        <v>2.0004136259198602E-2</v>
      </c>
      <c r="AC74" s="113"/>
    </row>
    <row r="75" spans="2:29" x14ac:dyDescent="0.25">
      <c r="B75" s="114">
        <v>65</v>
      </c>
      <c r="C75" s="154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55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55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08">
        <f>SUMIFS(MainData[ExtendedPrice],MainData[BillID],BeverageCost[[#This Row],[BillID]],MainData[Billable?],"Y",MainData[Category],"Beverage",MainData[Product],H$7)</f>
        <v>0</v>
      </c>
      <c r="I75" s="109">
        <f>SUMIFS(MainData[ExtendedPrice],MainData[BillID],BeverageCost[[#This Row],[BillID]],MainData[Billable?],"Y",MainData[Category],"Beverage",MainData[Product],I$7)</f>
        <v>604</v>
      </c>
      <c r="J75" s="109">
        <f>SUMIFS(MainData[ExtendedPrice],MainData[BillID],BeverageCost[[#This Row],[BillID]],MainData[Billable?],"Y",MainData[Category],"Beverage",MainData[Product],J$7)</f>
        <v>150</v>
      </c>
      <c r="K7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0">
        <f>SUMIFS(MainData[ExtendedCost],MainData[BillID],BeverageCost[[#This Row],[BillID]],MainData[Billable?],"Y",MainData[Category],"Beverage",MainData[Product],H$7)</f>
        <v>0</v>
      </c>
      <c r="N75" s="109">
        <f>SUMIFS(MainData[ExtendedCost],MainData[BillID],BeverageCost[[#This Row],[BillID]],MainData[Billable?],"Y",MainData[Category],"Beverage",MainData[Product],I$7)</f>
        <v>152.18</v>
      </c>
      <c r="O75" s="109">
        <f>SUMIFS(MainData[ExtendedCost],MainData[BillID],BeverageCost[[#This Row],[BillID]],MainData[Billable?],"Y",MainData[Category],"Beverage",MainData[Product],J$7)</f>
        <v>15.5</v>
      </c>
      <c r="P7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11">
        <f>IFERROR(BeverageCost[[#This Row],[$Liq]]/BeverageCost[[#This Row],[Liquor]],0)</f>
        <v>0</v>
      </c>
      <c r="S7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5" s="112">
        <f>IFERROR(BeverageCost[[#This Row],[$Wine]]/BeverageCost[[#This Row],[Wine]],0)</f>
        <v>0.25195364238410595</v>
      </c>
      <c r="U7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5" s="112">
        <f>IFERROR(BeverageCost[[#This Row],[$Beer]]/BeverageCost[[#This Row],[Beer]],0)</f>
        <v>0.10333333333333333</v>
      </c>
      <c r="W7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5" s="112">
        <f>IFERROR(BeverageCost[[#This Row],[$Other]]/BeverageCost[[#This Row],[Other]],0)</f>
        <v>4.0909090909090909E-2</v>
      </c>
      <c r="Y7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5" s="77">
        <f>IFERROR(BeverageCost[[#This Row],[$Total]]/BeverageCost[[#This Row],[Total]],0)</f>
        <v>0.21004944375772561</v>
      </c>
      <c r="AA7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5" s="78">
        <f>IFERROR(BeverageCost[[#This Row],[$Total]]/$Q$5,0)</f>
        <v>2.965715297963373E-3</v>
      </c>
      <c r="AC75" s="113" t="s">
        <v>12</v>
      </c>
    </row>
    <row r="76" spans="2:29" x14ac:dyDescent="0.25">
      <c r="B76" s="114">
        <v>118</v>
      </c>
      <c r="C76" s="154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55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55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08">
        <f>SUMIFS(MainData[ExtendedPrice],MainData[BillID],BeverageCost[[#This Row],[BillID]],MainData[Billable?],"Y",MainData[Category],"Beverage",MainData[Product],H$7)</f>
        <v>28.09</v>
      </c>
      <c r="I76" s="109">
        <f>SUMIFS(MainData[ExtendedPrice],MainData[BillID],BeverageCost[[#This Row],[BillID]],MainData[Billable?],"Y",MainData[Category],"Beverage",MainData[Product],I$7)</f>
        <v>24.15</v>
      </c>
      <c r="J76" s="109">
        <f>SUMIFS(MainData[ExtendedPrice],MainData[BillID],BeverageCost[[#This Row],[BillID]],MainData[Billable?],"Y",MainData[Category],"Beverage",MainData[Product],J$7)</f>
        <v>30.3</v>
      </c>
      <c r="K7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0">
        <f>SUMIFS(MainData[ExtendedCost],MainData[BillID],BeverageCost[[#This Row],[BillID]],MainData[Billable?],"Y",MainData[Category],"Beverage",MainData[Product],H$7)</f>
        <v>5.05</v>
      </c>
      <c r="N76" s="109">
        <f>SUMIFS(MainData[ExtendedCost],MainData[BillID],BeverageCost[[#This Row],[BillID]],MainData[Billable?],"Y",MainData[Category],"Beverage",MainData[Product],I$7)</f>
        <v>2.5</v>
      </c>
      <c r="O76" s="109">
        <f>SUMIFS(MainData[ExtendedCost],MainData[BillID],BeverageCost[[#This Row],[BillID]],MainData[Billable?],"Y",MainData[Category],"Beverage",MainData[Product],J$7)</f>
        <v>3</v>
      </c>
      <c r="P7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11">
        <f>IFERROR(BeverageCost[[#This Row],[$Liq]]/BeverageCost[[#This Row],[Liquor]],0)</f>
        <v>0.17977928088287645</v>
      </c>
      <c r="S7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6" s="112">
        <f>IFERROR(BeverageCost[[#This Row],[$Wine]]/BeverageCost[[#This Row],[Wine]],0)</f>
        <v>0.10351966873706005</v>
      </c>
      <c r="U7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6" s="112">
        <f>IFERROR(BeverageCost[[#This Row],[$Beer]]/BeverageCost[[#This Row],[Beer]],0)</f>
        <v>9.9009900990099001E-2</v>
      </c>
      <c r="W7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6" s="112">
        <f>IFERROR(BeverageCost[[#This Row],[$Other]]/BeverageCost[[#This Row],[Other]],0)</f>
        <v>0.10344827586206896</v>
      </c>
      <c r="Y7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6" s="77">
        <f>IFERROR(BeverageCost[[#This Row],[$Total]]/BeverageCost[[#This Row],[Total]],0)</f>
        <v>0.12300661221314665</v>
      </c>
      <c r="AA7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6" s="78">
        <f>IFERROR(BeverageCost[[#This Row],[$Total]]/$Q$5,0)</f>
        <v>2.2077501629633772E-4</v>
      </c>
      <c r="AC76" s="113" t="s">
        <v>397</v>
      </c>
    </row>
    <row r="77" spans="2:29" x14ac:dyDescent="0.25">
      <c r="B77" s="114">
        <v>64</v>
      </c>
      <c r="C77" s="154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55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55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08">
        <f>SUMIFS(MainData[ExtendedPrice],MainData[BillID],BeverageCost[[#This Row],[BillID]],MainData[Billable?],"Y",MainData[Category],"Beverage",MainData[Product],H$7)</f>
        <v>0</v>
      </c>
      <c r="I77" s="109">
        <f>SUMIFS(MainData[ExtendedPrice],MainData[BillID],BeverageCost[[#This Row],[BillID]],MainData[Billable?],"Y",MainData[Category],"Beverage",MainData[Product],I$7)</f>
        <v>0</v>
      </c>
      <c r="J77" s="109">
        <f>SUMIFS(MainData[ExtendedPrice],MainData[BillID],BeverageCost[[#This Row],[BillID]],MainData[Billable?],"Y",MainData[Category],"Beverage",MainData[Product],J$7)</f>
        <v>0</v>
      </c>
      <c r="K7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0">
        <f>SUMIFS(MainData[ExtendedCost],MainData[BillID],BeverageCost[[#This Row],[BillID]],MainData[Billable?],"Y",MainData[Category],"Beverage",MainData[Product],H$7)</f>
        <v>0</v>
      </c>
      <c r="N77" s="109">
        <f>SUMIFS(MainData[ExtendedCost],MainData[BillID],BeverageCost[[#This Row],[BillID]],MainData[Billable?],"Y",MainData[Category],"Beverage",MainData[Product],I$7)</f>
        <v>0</v>
      </c>
      <c r="O77" s="109">
        <f>SUMIFS(MainData[ExtendedCost],MainData[BillID],BeverageCost[[#This Row],[BillID]],MainData[Billable?],"Y",MainData[Category],"Beverage",MainData[Product],J$7)</f>
        <v>0</v>
      </c>
      <c r="P7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11">
        <f>IFERROR(BeverageCost[[#This Row],[$Liq]]/BeverageCost[[#This Row],[Liquor]],0)</f>
        <v>0</v>
      </c>
      <c r="S7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7" s="112">
        <f>IFERROR(BeverageCost[[#This Row],[$Wine]]/BeverageCost[[#This Row],[Wine]],0)</f>
        <v>0</v>
      </c>
      <c r="U7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7" s="112">
        <f>IFERROR(BeverageCost[[#This Row],[$Beer]]/BeverageCost[[#This Row],[Beer]],0)</f>
        <v>0</v>
      </c>
      <c r="W7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7" s="112">
        <f>IFERROR(BeverageCost[[#This Row],[$Other]]/BeverageCost[[#This Row],[Other]],0)</f>
        <v>0</v>
      </c>
      <c r="Y7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7" s="77">
        <f>IFERROR(BeverageCost[[#This Row],[$Total]]/BeverageCost[[#This Row],[Total]],0)</f>
        <v>0</v>
      </c>
      <c r="AA7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7" s="78">
        <f>IFERROR(BeverageCost[[#This Row],[$Total]]/$Q$5,0)</f>
        <v>0</v>
      </c>
      <c r="AC77" s="113" t="s">
        <v>231</v>
      </c>
    </row>
    <row r="78" spans="2:29" x14ac:dyDescent="0.25">
      <c r="B78" s="114">
        <v>67</v>
      </c>
      <c r="C78" s="154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55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55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08">
        <f>SUMIFS(MainData[ExtendedPrice],MainData[BillID],BeverageCost[[#This Row],[BillID]],MainData[Billable?],"Y",MainData[Category],"Beverage",MainData[Product],H$7)</f>
        <v>0</v>
      </c>
      <c r="I78" s="109">
        <f>SUMIFS(MainData[ExtendedPrice],MainData[BillID],BeverageCost[[#This Row],[BillID]],MainData[Billable?],"Y",MainData[Category],"Beverage",MainData[Product],I$7)</f>
        <v>160</v>
      </c>
      <c r="J78" s="109">
        <f>SUMIFS(MainData[ExtendedPrice],MainData[BillID],BeverageCost[[#This Row],[BillID]],MainData[Billable?],"Y",MainData[Category],"Beverage",MainData[Product],J$7)</f>
        <v>108</v>
      </c>
      <c r="K7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0">
        <f>SUMIFS(MainData[ExtendedCost],MainData[BillID],BeverageCost[[#This Row],[BillID]],MainData[Billable?],"Y",MainData[Category],"Beverage",MainData[Product],H$7)</f>
        <v>0</v>
      </c>
      <c r="N78" s="109">
        <f>SUMIFS(MainData[ExtendedCost],MainData[BillID],BeverageCost[[#This Row],[BillID]],MainData[Billable?],"Y",MainData[Category],"Beverage",MainData[Product],I$7)</f>
        <v>15.6</v>
      </c>
      <c r="O78" s="109">
        <f>SUMIFS(MainData[ExtendedCost],MainData[BillID],BeverageCost[[#This Row],[BillID]],MainData[Billable?],"Y",MainData[Category],"Beverage",MainData[Product],J$7)</f>
        <v>11</v>
      </c>
      <c r="P7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11">
        <f>IFERROR(BeverageCost[[#This Row],[$Liq]]/BeverageCost[[#This Row],[Liquor]],0)</f>
        <v>0</v>
      </c>
      <c r="S7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8" s="112">
        <f>IFERROR(BeverageCost[[#This Row],[$Wine]]/BeverageCost[[#This Row],[Wine]],0)</f>
        <v>9.7500000000000003E-2</v>
      </c>
      <c r="U7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8" s="112">
        <f>IFERROR(BeverageCost[[#This Row],[$Beer]]/BeverageCost[[#This Row],[Beer]],0)</f>
        <v>0.10185185185185185</v>
      </c>
      <c r="W7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8" s="112">
        <f>IFERROR(BeverageCost[[#This Row],[$Other]]/BeverageCost[[#This Row],[Other]],0)</f>
        <v>8.7499999999999994E-2</v>
      </c>
      <c r="Y7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8" s="77">
        <f>IFERROR(BeverageCost[[#This Row],[$Total]]/BeverageCost[[#This Row],[Total]],0)</f>
        <v>9.8437500000000011E-2</v>
      </c>
      <c r="AA7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8" s="78">
        <f>IFERROR(BeverageCost[[#This Row],[$Total]]/$Q$5,0)</f>
        <v>4.9478037249021142E-4</v>
      </c>
      <c r="AC78" s="113"/>
    </row>
    <row r="79" spans="2:29" x14ac:dyDescent="0.25">
      <c r="B79" s="114">
        <v>69</v>
      </c>
      <c r="C79" s="154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55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55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08">
        <f>SUMIFS(MainData[ExtendedPrice],MainData[BillID],BeverageCost[[#This Row],[BillID]],MainData[Billable?],"Y",MainData[Category],"Beverage",MainData[Product],H$7)</f>
        <v>1585.67</v>
      </c>
      <c r="I79" s="109">
        <f>SUMIFS(MainData[ExtendedPrice],MainData[BillID],BeverageCost[[#This Row],[BillID]],MainData[Billable?],"Y",MainData[Category],"Beverage",MainData[Product],I$7)</f>
        <v>721.45</v>
      </c>
      <c r="J79" s="109">
        <f>SUMIFS(MainData[ExtendedPrice],MainData[BillID],BeverageCost[[#This Row],[BillID]],MainData[Billable?],"Y",MainData[Category],"Beverage",MainData[Product],J$7)</f>
        <v>690.96</v>
      </c>
      <c r="K7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0">
        <f>SUMIFS(MainData[ExtendedCost],MainData[BillID],BeverageCost[[#This Row],[BillID]],MainData[Billable?],"Y",MainData[Category],"Beverage",MainData[Product],H$7)</f>
        <v>71.400000000000006</v>
      </c>
      <c r="N79" s="109">
        <f>SUMIFS(MainData[ExtendedCost],MainData[BillID],BeverageCost[[#This Row],[BillID]],MainData[Billable?],"Y",MainData[Category],"Beverage",MainData[Product],I$7)</f>
        <v>72</v>
      </c>
      <c r="O79" s="109">
        <f>SUMIFS(MainData[ExtendedCost],MainData[BillID],BeverageCost[[#This Row],[BillID]],MainData[Billable?],"Y",MainData[Category],"Beverage",MainData[Product],J$7)</f>
        <v>69</v>
      </c>
      <c r="P7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11">
        <f>IFERROR(BeverageCost[[#This Row],[$Liq]]/BeverageCost[[#This Row],[Liquor]],0)</f>
        <v>4.5028284573713322E-2</v>
      </c>
      <c r="S7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9" s="112">
        <f>IFERROR(BeverageCost[[#This Row],[$Wine]]/BeverageCost[[#This Row],[Wine]],0)</f>
        <v>9.9799015870815716E-2</v>
      </c>
      <c r="U7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9" s="112">
        <f>IFERROR(BeverageCost[[#This Row],[$Beer]]/BeverageCost[[#This Row],[Beer]],0)</f>
        <v>9.9861062869051748E-2</v>
      </c>
      <c r="W7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9" s="112">
        <f>IFERROR(BeverageCost[[#This Row],[$Other]]/BeverageCost[[#This Row],[Other]],0)</f>
        <v>4.7923322683706068E-2</v>
      </c>
      <c r="Y7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9" s="77">
        <f>IFERROR(BeverageCost[[#This Row],[$Total]]/BeverageCost[[#This Row],[Total]],0)</f>
        <v>6.9078461311136291E-2</v>
      </c>
      <c r="AA7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9" s="78">
        <f>IFERROR(BeverageCost[[#This Row],[$Total]]/$Q$5,0)</f>
        <v>3.9163568108219905E-3</v>
      </c>
      <c r="AC79" s="113"/>
    </row>
    <row r="80" spans="2:29" x14ac:dyDescent="0.25">
      <c r="B80" s="114">
        <v>68</v>
      </c>
      <c r="C80" s="154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55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55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08">
        <f>SUMIFS(MainData[ExtendedPrice],MainData[BillID],BeverageCost[[#This Row],[BillID]],MainData[Billable?],"Y",MainData[Category],"Beverage",MainData[Product],H$7)</f>
        <v>0</v>
      </c>
      <c r="I80" s="109">
        <f>SUMIFS(MainData[ExtendedPrice],MainData[BillID],BeverageCost[[#This Row],[BillID]],MainData[Billable?],"Y",MainData[Category],"Beverage",MainData[Product],I$7)</f>
        <v>74</v>
      </c>
      <c r="J80" s="109">
        <f>SUMIFS(MainData[ExtendedPrice],MainData[BillID],BeverageCost[[#This Row],[BillID]],MainData[Billable?],"Y",MainData[Category],"Beverage",MainData[Product],J$7)</f>
        <v>36</v>
      </c>
      <c r="K8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0">
        <f>SUMIFS(MainData[ExtendedCost],MainData[BillID],BeverageCost[[#This Row],[BillID]],MainData[Billable?],"Y",MainData[Category],"Beverage",MainData[Product],H$7)</f>
        <v>0</v>
      </c>
      <c r="N80" s="109">
        <f>SUMIFS(MainData[ExtendedCost],MainData[BillID],BeverageCost[[#This Row],[BillID]],MainData[Billable?],"Y",MainData[Category],"Beverage",MainData[Product],I$7)</f>
        <v>5.9</v>
      </c>
      <c r="O80" s="109">
        <f>SUMIFS(MainData[ExtendedCost],MainData[BillID],BeverageCost[[#This Row],[BillID]],MainData[Billable?],"Y",MainData[Category],"Beverage",MainData[Product],J$7)</f>
        <v>3.6</v>
      </c>
      <c r="P8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11">
        <f>IFERROR(BeverageCost[[#This Row],[$Liq]]/BeverageCost[[#This Row],[Liquor]],0)</f>
        <v>0</v>
      </c>
      <c r="S8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0" s="112">
        <f>IFERROR(BeverageCost[[#This Row],[$Wine]]/BeverageCost[[#This Row],[Wine]],0)</f>
        <v>7.9729729729729734E-2</v>
      </c>
      <c r="U8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0" s="112">
        <f>IFERROR(BeverageCost[[#This Row],[$Beer]]/BeverageCost[[#This Row],[Beer]],0)</f>
        <v>0.1</v>
      </c>
      <c r="W8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0" s="112">
        <f>IFERROR(BeverageCost[[#This Row],[$Other]]/BeverageCost[[#This Row],[Other]],0)</f>
        <v>3.2733224222585926E-3</v>
      </c>
      <c r="Y8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0" s="77">
        <f>IFERROR(BeverageCost[[#This Row],[$Total]]/BeverageCost[[#This Row],[Total]],0)</f>
        <v>2.5270758122743681E-2</v>
      </c>
      <c r="AA8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0" s="78">
        <f>IFERROR(BeverageCost[[#This Row],[$Total]]/$Q$5,0)</f>
        <v>1.8325198981118942E-4</v>
      </c>
      <c r="AC80" s="113"/>
    </row>
    <row r="81" spans="2:29" x14ac:dyDescent="0.25">
      <c r="B81" s="114">
        <v>70</v>
      </c>
      <c r="C81" s="154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55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55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08">
        <f>SUMIFS(MainData[ExtendedPrice],MainData[BillID],BeverageCost[[#This Row],[BillID]],MainData[Billable?],"Y",MainData[Category],"Beverage",MainData[Product],H$7)</f>
        <v>0</v>
      </c>
      <c r="I81" s="109">
        <f>SUMIFS(MainData[ExtendedPrice],MainData[BillID],BeverageCost[[#This Row],[BillID]],MainData[Billable?],"Y",MainData[Category],"Beverage",MainData[Product],I$7)</f>
        <v>41</v>
      </c>
      <c r="J81" s="109">
        <f>SUMIFS(MainData[ExtendedPrice],MainData[BillID],BeverageCost[[#This Row],[BillID]],MainData[Billable?],"Y",MainData[Category],"Beverage",MainData[Product],J$7)</f>
        <v>0</v>
      </c>
      <c r="K8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0">
        <f>SUMIFS(MainData[ExtendedCost],MainData[BillID],BeverageCost[[#This Row],[BillID]],MainData[Billable?],"Y",MainData[Category],"Beverage",MainData[Product],H$7)</f>
        <v>0</v>
      </c>
      <c r="N81" s="109">
        <f>SUMIFS(MainData[ExtendedCost],MainData[BillID],BeverageCost[[#This Row],[BillID]],MainData[Billable?],"Y",MainData[Category],"Beverage",MainData[Product],I$7)</f>
        <v>17.25</v>
      </c>
      <c r="O81" s="109">
        <f>SUMIFS(MainData[ExtendedCost],MainData[BillID],BeverageCost[[#This Row],[BillID]],MainData[Billable?],"Y",MainData[Category],"Beverage",MainData[Product],J$7)</f>
        <v>0</v>
      </c>
      <c r="P8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11">
        <f>IFERROR(BeverageCost[[#This Row],[$Liq]]/BeverageCost[[#This Row],[Liquor]],0)</f>
        <v>0</v>
      </c>
      <c r="S8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1" s="112">
        <f>IFERROR(BeverageCost[[#This Row],[$Wine]]/BeverageCost[[#This Row],[Wine]],0)</f>
        <v>0.42073170731707316</v>
      </c>
      <c r="U8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1" s="112">
        <f>IFERROR(BeverageCost[[#This Row],[$Beer]]/BeverageCost[[#This Row],[Beer]],0)</f>
        <v>0</v>
      </c>
      <c r="W8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1" s="112">
        <f>IFERROR(BeverageCost[[#This Row],[$Other]]/BeverageCost[[#This Row],[Other]],0)</f>
        <v>0</v>
      </c>
      <c r="Y8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1" s="77">
        <f>IFERROR(BeverageCost[[#This Row],[$Total]]/BeverageCost[[#This Row],[Total]],0)</f>
        <v>0.42073170731707316</v>
      </c>
      <c r="AA8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1" s="78">
        <f>IFERROR(BeverageCost[[#This Row],[$Total]]/$Q$5,0)</f>
        <v>3.0105684040409691E-4</v>
      </c>
      <c r="AC81" s="113" t="s">
        <v>6</v>
      </c>
    </row>
    <row r="82" spans="2:29" x14ac:dyDescent="0.25">
      <c r="B82" s="114">
        <v>71</v>
      </c>
      <c r="C82" s="154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55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55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08">
        <f>SUMIFS(MainData[ExtendedPrice],MainData[BillID],BeverageCost[[#This Row],[BillID]],MainData[Billable?],"Y",MainData[Category],"Beverage",MainData[Product],H$7)</f>
        <v>1889.61</v>
      </c>
      <c r="I82" s="109">
        <f>SUMIFS(MainData[ExtendedPrice],MainData[BillID],BeverageCost[[#This Row],[BillID]],MainData[Billable?],"Y",MainData[Category],"Beverage",MainData[Product],I$7)</f>
        <v>1267.8399999999999</v>
      </c>
      <c r="J82" s="109">
        <f>SUMIFS(MainData[ExtendedPrice],MainData[BillID],BeverageCost[[#This Row],[BillID]],MainData[Billable?],"Y",MainData[Category],"Beverage",MainData[Product],J$7)</f>
        <v>1596.12</v>
      </c>
      <c r="K8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0">
        <f>SUMIFS(MainData[ExtendedCost],MainData[BillID],BeverageCost[[#This Row],[BillID]],MainData[Billable?],"Y",MainData[Category],"Beverage",MainData[Product],H$7)</f>
        <v>118.33</v>
      </c>
      <c r="N82" s="109">
        <f>SUMIFS(MainData[ExtendedCost],MainData[BillID],BeverageCost[[#This Row],[BillID]],MainData[Billable?],"Y",MainData[Category],"Beverage",MainData[Product],I$7)</f>
        <v>127</v>
      </c>
      <c r="O82" s="109">
        <f>SUMIFS(MainData[ExtendedCost],MainData[BillID],BeverageCost[[#This Row],[BillID]],MainData[Billable?],"Y",MainData[Category],"Beverage",MainData[Product],J$7)</f>
        <v>160</v>
      </c>
      <c r="P8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11">
        <f>IFERROR(BeverageCost[[#This Row],[$Liq]]/BeverageCost[[#This Row],[Liquor]],0)</f>
        <v>6.2621387482073021E-2</v>
      </c>
      <c r="S8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2" s="112">
        <f>IFERROR(BeverageCost[[#This Row],[$Wine]]/BeverageCost[[#This Row],[Wine]],0)</f>
        <v>0.1001703685007572</v>
      </c>
      <c r="U8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2" s="112">
        <f>IFERROR(BeverageCost[[#This Row],[$Beer]]/BeverageCost[[#This Row],[Beer]],0)</f>
        <v>0.10024308949201816</v>
      </c>
      <c r="W8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2" s="112">
        <f>IFERROR(BeverageCost[[#This Row],[$Other]]/BeverageCost[[#This Row],[Other]],0)</f>
        <v>5.6083002844209431E-2</v>
      </c>
      <c r="Y8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2" s="77">
        <f>IFERROR(BeverageCost[[#This Row],[$Total]]/BeverageCost[[#This Row],[Total]],0)</f>
        <v>8.3812360089542695E-2</v>
      </c>
      <c r="AA8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2" s="78">
        <f>IFERROR(BeverageCost[[#This Row],[$Total]]/$Q$5,0)</f>
        <v>7.3183863702405766E-3</v>
      </c>
      <c r="AC82" s="113"/>
    </row>
    <row r="83" spans="2:29" x14ac:dyDescent="0.25">
      <c r="B83" s="114">
        <v>72</v>
      </c>
      <c r="C83" s="154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55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55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08">
        <f>SUMIFS(MainData[ExtendedPrice],MainData[BillID],BeverageCost[[#This Row],[BillID]],MainData[Billable?],"Y",MainData[Category],"Beverage",MainData[Product],H$7)</f>
        <v>0</v>
      </c>
      <c r="I83" s="109">
        <f>SUMIFS(MainData[ExtendedPrice],MainData[BillID],BeverageCost[[#This Row],[BillID]],MainData[Billable?],"Y",MainData[Category],"Beverage",MainData[Product],I$7)</f>
        <v>230</v>
      </c>
      <c r="J83" s="109">
        <f>SUMIFS(MainData[ExtendedPrice],MainData[BillID],BeverageCost[[#This Row],[BillID]],MainData[Billable?],"Y",MainData[Category],"Beverage",MainData[Product],J$7)</f>
        <v>50</v>
      </c>
      <c r="K8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0">
        <f>SUMIFS(MainData[ExtendedCost],MainData[BillID],BeverageCost[[#This Row],[BillID]],MainData[Billable?],"Y",MainData[Category],"Beverage",MainData[Product],H$7)</f>
        <v>0</v>
      </c>
      <c r="N83" s="109">
        <f>SUMIFS(MainData[ExtendedCost],MainData[BillID],BeverageCost[[#This Row],[BillID]],MainData[Billable?],"Y",MainData[Category],"Beverage",MainData[Product],I$7)</f>
        <v>57.71</v>
      </c>
      <c r="O83" s="109">
        <f>SUMIFS(MainData[ExtendedCost],MainData[BillID],BeverageCost[[#This Row],[BillID]],MainData[Billable?],"Y",MainData[Category],"Beverage",MainData[Product],J$7)</f>
        <v>5</v>
      </c>
      <c r="P8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11">
        <f>IFERROR(BeverageCost[[#This Row],[$Liq]]/BeverageCost[[#This Row],[Liquor]],0)</f>
        <v>0</v>
      </c>
      <c r="S8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3" s="112">
        <f>IFERROR(BeverageCost[[#This Row],[$Wine]]/BeverageCost[[#This Row],[Wine]],0)</f>
        <v>0.25091304347826088</v>
      </c>
      <c r="U8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3" s="112">
        <f>IFERROR(BeverageCost[[#This Row],[$Beer]]/BeverageCost[[#This Row],[Beer]],0)</f>
        <v>0.1</v>
      </c>
      <c r="W8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3" s="112">
        <f>IFERROR(BeverageCost[[#This Row],[$Other]]/BeverageCost[[#This Row],[Other]],0)</f>
        <v>0.05</v>
      </c>
      <c r="Y8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3" s="77">
        <f>IFERROR(BeverageCost[[#This Row],[$Total]]/BeverageCost[[#This Row],[Total]],0)</f>
        <v>0.2179655172413793</v>
      </c>
      <c r="AA8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3" s="78">
        <f>IFERROR(BeverageCost[[#This Row],[$Total]]/$Q$5,0)</f>
        <v>1.1031769786633602E-3</v>
      </c>
      <c r="AC83" s="113" t="s">
        <v>8</v>
      </c>
    </row>
    <row r="84" spans="2:29" x14ac:dyDescent="0.25">
      <c r="B84" s="114">
        <v>76</v>
      </c>
      <c r="C84" s="154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55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55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08">
        <f>SUMIFS(MainData[ExtendedPrice],MainData[BillID],BeverageCost[[#This Row],[BillID]],MainData[Billable?],"Y",MainData[Category],"Beverage",MainData[Product],H$7)</f>
        <v>6611</v>
      </c>
      <c r="I84" s="109">
        <f>SUMIFS(MainData[ExtendedPrice],MainData[BillID],BeverageCost[[#This Row],[BillID]],MainData[Billable?],"Y",MainData[Category],"Beverage",MainData[Product],I$7)</f>
        <v>3624</v>
      </c>
      <c r="J84" s="109">
        <f>SUMIFS(MainData[ExtendedPrice],MainData[BillID],BeverageCost[[#This Row],[BillID]],MainData[Billable?],"Y",MainData[Category],"Beverage",MainData[Product],J$7)</f>
        <v>4820</v>
      </c>
      <c r="K8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0">
        <f>SUMIFS(MainData[ExtendedCost],MainData[BillID],BeverageCost[[#This Row],[BillID]],MainData[Billable?],"Y",MainData[Category],"Beverage",MainData[Product],H$7)</f>
        <v>565.35</v>
      </c>
      <c r="N84" s="109">
        <f>SUMIFS(MainData[ExtendedCost],MainData[BillID],BeverageCost[[#This Row],[BillID]],MainData[Billable?],"Y",MainData[Category],"Beverage",MainData[Product],I$7)</f>
        <v>363</v>
      </c>
      <c r="O84" s="109">
        <f>SUMIFS(MainData[ExtendedCost],MainData[BillID],BeverageCost[[#This Row],[BillID]],MainData[Billable?],"Y",MainData[Category],"Beverage",MainData[Product],J$7)</f>
        <v>482</v>
      </c>
      <c r="P8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11">
        <f>IFERROR(BeverageCost[[#This Row],[$Liq]]/BeverageCost[[#This Row],[Liquor]],0)</f>
        <v>8.5516563303584939E-2</v>
      </c>
      <c r="S8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4" s="112">
        <f>IFERROR(BeverageCost[[#This Row],[$Wine]]/BeverageCost[[#This Row],[Wine]],0)</f>
        <v>0.10016556291390728</v>
      </c>
      <c r="U8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4" s="112">
        <f>IFERROR(BeverageCost[[#This Row],[$Beer]]/BeverageCost[[#This Row],[Beer]],0)</f>
        <v>0.1</v>
      </c>
      <c r="W8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4" s="112">
        <f>IFERROR(BeverageCost[[#This Row],[$Other]]/BeverageCost[[#This Row],[Other]],0)</f>
        <v>2.6035502958579881E-2</v>
      </c>
      <c r="Y8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4" s="77">
        <f>IFERROR(BeverageCost[[#This Row],[$Total]]/BeverageCost[[#This Row],[Total]],0)</f>
        <v>9.0084905660377357E-2</v>
      </c>
      <c r="AA8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4" s="78">
        <f>IFERROR(BeverageCost[[#This Row],[$Total]]/$Q$5,0)</f>
        <v>2.4998189295814963E-2</v>
      </c>
      <c r="AC84" s="113"/>
    </row>
    <row r="85" spans="2:29" x14ac:dyDescent="0.25">
      <c r="B85" s="114">
        <v>75</v>
      </c>
      <c r="C85" s="154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55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55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08">
        <f>SUMIFS(MainData[ExtendedPrice],MainData[BillID],BeverageCost[[#This Row],[BillID]],MainData[Billable?],"Y",MainData[Category],"Beverage",MainData[Product],H$7)</f>
        <v>0</v>
      </c>
      <c r="I85" s="109">
        <f>SUMIFS(MainData[ExtendedPrice],MainData[BillID],BeverageCost[[#This Row],[BillID]],MainData[Billable?],"Y",MainData[Category],"Beverage",MainData[Product],I$7)</f>
        <v>493</v>
      </c>
      <c r="J85" s="109">
        <f>SUMIFS(MainData[ExtendedPrice],MainData[BillID],BeverageCost[[#This Row],[BillID]],MainData[Billable?],"Y",MainData[Category],"Beverage",MainData[Product],J$7)</f>
        <v>310</v>
      </c>
      <c r="K8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0">
        <f>SUMIFS(MainData[ExtendedCost],MainData[BillID],BeverageCost[[#This Row],[BillID]],MainData[Billable?],"Y",MainData[Category],"Beverage",MainData[Product],H$7)</f>
        <v>0</v>
      </c>
      <c r="N85" s="109">
        <f>SUMIFS(MainData[ExtendedCost],MainData[BillID],BeverageCost[[#This Row],[BillID]],MainData[Billable?],"Y",MainData[Category],"Beverage",MainData[Product],I$7)</f>
        <v>101.05</v>
      </c>
      <c r="O85" s="109">
        <f>SUMIFS(MainData[ExtendedCost],MainData[BillID],BeverageCost[[#This Row],[BillID]],MainData[Billable?],"Y",MainData[Category],"Beverage",MainData[Product],J$7)</f>
        <v>31</v>
      </c>
      <c r="P8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11">
        <f>IFERROR(BeverageCost[[#This Row],[$Liq]]/BeverageCost[[#This Row],[Liquor]],0)</f>
        <v>0</v>
      </c>
      <c r="S8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5" s="112">
        <f>IFERROR(BeverageCost[[#This Row],[$Wine]]/BeverageCost[[#This Row],[Wine]],0)</f>
        <v>0.20496957403651114</v>
      </c>
      <c r="U8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5" s="112">
        <f>IFERROR(BeverageCost[[#This Row],[$Beer]]/BeverageCost[[#This Row],[Beer]],0)</f>
        <v>0.1</v>
      </c>
      <c r="W8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5" s="112">
        <f>IFERROR(BeverageCost[[#This Row],[$Other]]/BeverageCost[[#This Row],[Other]],0)</f>
        <v>0.05</v>
      </c>
      <c r="Y8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5" s="77">
        <f>IFERROR(BeverageCost[[#This Row],[$Total]]/BeverageCost[[#This Row],[Total]],0)</f>
        <v>0.15587557603686636</v>
      </c>
      <c r="AA8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5" s="78">
        <f>IFERROR(BeverageCost[[#This Row],[$Total]]/$Q$5,0)</f>
        <v>2.3613327829956122E-3</v>
      </c>
      <c r="AC85" s="113" t="s">
        <v>12</v>
      </c>
    </row>
    <row r="86" spans="2:29" x14ac:dyDescent="0.25">
      <c r="B86" s="114">
        <v>73</v>
      </c>
      <c r="C86" s="154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55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55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08">
        <f>SUMIFS(MainData[ExtendedPrice],MainData[BillID],BeverageCost[[#This Row],[BillID]],MainData[Billable?],"Y",MainData[Category],"Beverage",MainData[Product],H$7)</f>
        <v>232.34</v>
      </c>
      <c r="I86" s="109">
        <f>SUMIFS(MainData[ExtendedPrice],MainData[BillID],BeverageCost[[#This Row],[BillID]],MainData[Billable?],"Y",MainData[Category],"Beverage",MainData[Product],I$7)</f>
        <v>39.21</v>
      </c>
      <c r="J86" s="109">
        <f>SUMIFS(MainData[ExtendedPrice],MainData[BillID],BeverageCost[[#This Row],[BillID]],MainData[Billable?],"Y",MainData[Category],"Beverage",MainData[Product],J$7)</f>
        <v>45.45</v>
      </c>
      <c r="K8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0">
        <f>SUMIFS(MainData[ExtendedCost],MainData[BillID],BeverageCost[[#This Row],[BillID]],MainData[Billable?],"Y",MainData[Category],"Beverage",MainData[Product],H$7)</f>
        <v>18.88</v>
      </c>
      <c r="N86" s="109">
        <f>SUMIFS(MainData[ExtendedCost],MainData[BillID],BeverageCost[[#This Row],[BillID]],MainData[Billable?],"Y",MainData[Category],"Beverage",MainData[Product],I$7)</f>
        <v>3.9</v>
      </c>
      <c r="O86" s="109">
        <f>SUMIFS(MainData[ExtendedCost],MainData[BillID],BeverageCost[[#This Row],[BillID]],MainData[Billable?],"Y",MainData[Category],"Beverage",MainData[Product],J$7)</f>
        <v>4.5</v>
      </c>
      <c r="P8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11">
        <f>IFERROR(BeverageCost[[#This Row],[$Liq]]/BeverageCost[[#This Row],[Liquor]],0)</f>
        <v>8.1260222088318831E-2</v>
      </c>
      <c r="S8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6" s="112">
        <f>IFERROR(BeverageCost[[#This Row],[$Wine]]/BeverageCost[[#This Row],[Wine]],0)</f>
        <v>9.9464422341239478E-2</v>
      </c>
      <c r="U8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6" s="112">
        <f>IFERROR(BeverageCost[[#This Row],[$Beer]]/BeverageCost[[#This Row],[Beer]],0)</f>
        <v>9.9009900990099001E-2</v>
      </c>
      <c r="W8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6" s="112">
        <f>IFERROR(BeverageCost[[#This Row],[$Other]]/BeverageCost[[#This Row],[Other]],0)</f>
        <v>4.9180327868852458E-2</v>
      </c>
      <c r="Y8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6" s="77">
        <f>IFERROR(BeverageCost[[#This Row],[$Total]]/BeverageCost[[#This Row],[Total]],0)</f>
        <v>8.4690157958687728E-2</v>
      </c>
      <c r="AA8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6" s="78">
        <f>IFERROR(BeverageCost[[#This Row],[$Total]]/$Q$5,0)</f>
        <v>4.8657766437485339E-4</v>
      </c>
      <c r="AC86" s="113"/>
    </row>
    <row r="87" spans="2:29" x14ac:dyDescent="0.25">
      <c r="B87" s="114">
        <v>77</v>
      </c>
      <c r="C87" s="154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55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55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08">
        <f>SUMIFS(MainData[ExtendedPrice],MainData[BillID],BeverageCost[[#This Row],[BillID]],MainData[Billable?],"Y",MainData[Category],"Beverage",MainData[Product],H$7)</f>
        <v>289</v>
      </c>
      <c r="I87" s="109">
        <f>SUMIFS(MainData[ExtendedPrice],MainData[BillID],BeverageCost[[#This Row],[BillID]],MainData[Billable?],"Y",MainData[Category],"Beverage",MainData[Product],I$7)</f>
        <v>120</v>
      </c>
      <c r="J87" s="109">
        <f>SUMIFS(MainData[ExtendedPrice],MainData[BillID],BeverageCost[[#This Row],[BillID]],MainData[Billable?],"Y",MainData[Category],"Beverage",MainData[Product],J$7)</f>
        <v>80</v>
      </c>
      <c r="K8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0">
        <f>SUMIFS(MainData[ExtendedCost],MainData[BillID],BeverageCost[[#This Row],[BillID]],MainData[Billable?],"Y",MainData[Category],"Beverage",MainData[Product],H$7)</f>
        <v>18.100000000000001</v>
      </c>
      <c r="N87" s="109">
        <f>SUMIFS(MainData[ExtendedCost],MainData[BillID],BeverageCost[[#This Row],[BillID]],MainData[Billable?],"Y",MainData[Category],"Beverage",MainData[Product],I$7)</f>
        <v>12</v>
      </c>
      <c r="O87" s="109">
        <f>SUMIFS(MainData[ExtendedCost],MainData[BillID],BeverageCost[[#This Row],[BillID]],MainData[Billable?],"Y",MainData[Category],"Beverage",MainData[Product],J$7)</f>
        <v>8</v>
      </c>
      <c r="P8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11">
        <f>IFERROR(BeverageCost[[#This Row],[$Liq]]/BeverageCost[[#This Row],[Liquor]],0)</f>
        <v>6.262975778546713E-2</v>
      </c>
      <c r="S8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7" s="112">
        <f>IFERROR(BeverageCost[[#This Row],[$Wine]]/BeverageCost[[#This Row],[Wine]],0)</f>
        <v>0.1</v>
      </c>
      <c r="U8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7" s="112">
        <f>IFERROR(BeverageCost[[#This Row],[$Beer]]/BeverageCost[[#This Row],[Beer]],0)</f>
        <v>0.1</v>
      </c>
      <c r="W8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7" s="112">
        <f>IFERROR(BeverageCost[[#This Row],[$Other]]/BeverageCost[[#This Row],[Other]],0)</f>
        <v>0.05</v>
      </c>
      <c r="Y8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7" s="77">
        <f>IFERROR(BeverageCost[[#This Row],[$Total]]/BeverageCost[[#This Row],[Total]],0)</f>
        <v>7.7083333333333337E-2</v>
      </c>
      <c r="AA8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7" s="78">
        <f>IFERROR(BeverageCost[[#This Row],[$Total]]/$Q$5,0)</f>
        <v>6.7803236230140086E-4</v>
      </c>
      <c r="AC87" s="113"/>
    </row>
    <row r="88" spans="2:29" x14ac:dyDescent="0.25">
      <c r="B88" s="114">
        <v>74</v>
      </c>
      <c r="C88" s="154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55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55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08">
        <f>SUMIFS(MainData[ExtendedPrice],MainData[BillID],BeverageCost[[#This Row],[BillID]],MainData[Billable?],"Y",MainData[Category],"Beverage",MainData[Product],H$7)</f>
        <v>16745.82</v>
      </c>
      <c r="I88" s="109">
        <f>SUMIFS(MainData[ExtendedPrice],MainData[BillID],BeverageCost[[#This Row],[BillID]],MainData[Billable?],"Y",MainData[Category],"Beverage",MainData[Product],I$7)</f>
        <v>7856.3</v>
      </c>
      <c r="J88" s="109">
        <f>SUMIFS(MainData[ExtendedPrice],MainData[BillID],BeverageCost[[#This Row],[BillID]],MainData[Billable?],"Y",MainData[Category],"Beverage",MainData[Product],J$7)</f>
        <v>12432.12</v>
      </c>
      <c r="K8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0">
        <f>SUMIFS(MainData[ExtendedCost],MainData[BillID],BeverageCost[[#This Row],[BillID]],MainData[Billable?],"Y",MainData[Category],"Beverage",MainData[Product],H$7)</f>
        <v>1321</v>
      </c>
      <c r="N88" s="109">
        <f>SUMIFS(MainData[ExtendedCost],MainData[BillID],BeverageCost[[#This Row],[BillID]],MainData[Billable?],"Y",MainData[Category],"Beverage",MainData[Product],I$7)</f>
        <v>786</v>
      </c>
      <c r="O88" s="109">
        <f>SUMIFS(MainData[ExtendedCost],MainData[BillID],BeverageCost[[#This Row],[BillID]],MainData[Billable?],"Y",MainData[Category],"Beverage",MainData[Product],J$7)</f>
        <v>1240</v>
      </c>
      <c r="P8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11">
        <f>IFERROR(BeverageCost[[#This Row],[$Liq]]/BeverageCost[[#This Row],[Liquor]],0)</f>
        <v>7.8885357659403965E-2</v>
      </c>
      <c r="S8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8" s="112">
        <f>IFERROR(BeverageCost[[#This Row],[$Wine]]/BeverageCost[[#This Row],[Wine]],0)</f>
        <v>0.10004709596120311</v>
      </c>
      <c r="U8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8" s="112">
        <f>IFERROR(BeverageCost[[#This Row],[$Beer]]/BeverageCost[[#This Row],[Beer]],0)</f>
        <v>9.9741636985485979E-2</v>
      </c>
      <c r="W8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8" s="112">
        <f>IFERROR(BeverageCost[[#This Row],[$Other]]/BeverageCost[[#This Row],[Other]],0)</f>
        <v>5.0024456400907115E-2</v>
      </c>
      <c r="Y8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8" s="77">
        <f>IFERROR(BeverageCost[[#This Row],[$Total]]/BeverageCost[[#This Row],[Total]],0)</f>
        <v>8.941893509218693E-2</v>
      </c>
      <c r="AA8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8" s="78">
        <f>IFERROR(BeverageCost[[#This Row],[$Total]]/$Q$5,0)</f>
        <v>5.919911899424328E-2</v>
      </c>
      <c r="AC88" s="113"/>
    </row>
    <row r="89" spans="2:29" x14ac:dyDescent="0.25">
      <c r="B89" s="114">
        <v>81</v>
      </c>
      <c r="C89" s="154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55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55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08">
        <f>SUMIFS(MainData[ExtendedPrice],MainData[BillID],BeverageCost[[#This Row],[BillID]],MainData[Billable?],"Y",MainData[Category],"Beverage",MainData[Product],H$7)</f>
        <v>9.5500000000000007</v>
      </c>
      <c r="I89" s="109">
        <f>SUMIFS(MainData[ExtendedPrice],MainData[BillID],BeverageCost[[#This Row],[BillID]],MainData[Billable?],"Y",MainData[Category],"Beverage",MainData[Product],I$7)</f>
        <v>0</v>
      </c>
      <c r="J89" s="109">
        <f>SUMIFS(MainData[ExtendedPrice],MainData[BillID],BeverageCost[[#This Row],[BillID]],MainData[Billable?],"Y",MainData[Category],"Beverage",MainData[Product],J$7)</f>
        <v>0</v>
      </c>
      <c r="K8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0">
        <f>SUMIFS(MainData[ExtendedCost],MainData[BillID],BeverageCost[[#This Row],[BillID]],MainData[Billable?],"Y",MainData[Category],"Beverage",MainData[Product],H$7)</f>
        <v>1</v>
      </c>
      <c r="N89" s="109">
        <f>SUMIFS(MainData[ExtendedCost],MainData[BillID],BeverageCost[[#This Row],[BillID]],MainData[Billable?],"Y",MainData[Category],"Beverage",MainData[Product],I$7)</f>
        <v>0</v>
      </c>
      <c r="O89" s="109">
        <f>SUMIFS(MainData[ExtendedCost],MainData[BillID],BeverageCost[[#This Row],[BillID]],MainData[Billable?],"Y",MainData[Category],"Beverage",MainData[Product],J$7)</f>
        <v>0</v>
      </c>
      <c r="P8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11">
        <f>IFERROR(BeverageCost[[#This Row],[$Liq]]/BeverageCost[[#This Row],[Liquor]],0)</f>
        <v>0.10471204188481674</v>
      </c>
      <c r="S8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9" s="112">
        <f>IFERROR(BeverageCost[[#This Row],[$Wine]]/BeverageCost[[#This Row],[Wine]],0)</f>
        <v>0</v>
      </c>
      <c r="U8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9" s="112">
        <f>IFERROR(BeverageCost[[#This Row],[$Beer]]/BeverageCost[[#This Row],[Beer]],0)</f>
        <v>0</v>
      </c>
      <c r="W8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9" s="112">
        <f>IFERROR(BeverageCost[[#This Row],[$Other]]/BeverageCost[[#This Row],[Other]],0)</f>
        <v>0</v>
      </c>
      <c r="Y8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9" s="77">
        <f>IFERROR(BeverageCost[[#This Row],[$Total]]/BeverageCost[[#This Row],[Total]],0)</f>
        <v>0.10471204188481674</v>
      </c>
      <c r="AA8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9" s="78">
        <f>IFERROR(BeverageCost[[#This Row],[$Total]]/$Q$5,0)</f>
        <v>1.7452570458208515E-5</v>
      </c>
      <c r="AC89" s="113"/>
    </row>
    <row r="90" spans="2:29" x14ac:dyDescent="0.25">
      <c r="B90" s="114">
        <v>80</v>
      </c>
      <c r="C90" s="154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55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55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08">
        <f>SUMIFS(MainData[ExtendedPrice],MainData[BillID],BeverageCost[[#This Row],[BillID]],MainData[Billable?],"Y",MainData[Category],"Beverage",MainData[Product],H$7)</f>
        <v>0</v>
      </c>
      <c r="I90" s="109">
        <f>SUMIFS(MainData[ExtendedPrice],MainData[BillID],BeverageCost[[#This Row],[BillID]],MainData[Billable?],"Y",MainData[Category],"Beverage",MainData[Product],I$7)</f>
        <v>436</v>
      </c>
      <c r="J90" s="109">
        <f>SUMIFS(MainData[ExtendedPrice],MainData[BillID],BeverageCost[[#This Row],[BillID]],MainData[Billable?],"Y",MainData[Category],"Beverage",MainData[Product],J$7)</f>
        <v>830</v>
      </c>
      <c r="K9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0">
        <f>SUMIFS(MainData[ExtendedCost],MainData[BillID],BeverageCost[[#This Row],[BillID]],MainData[Billable?],"Y",MainData[Category],"Beverage",MainData[Product],H$7)</f>
        <v>0</v>
      </c>
      <c r="N90" s="109">
        <f>SUMIFS(MainData[ExtendedCost],MainData[BillID],BeverageCost[[#This Row],[BillID]],MainData[Billable?],"Y",MainData[Category],"Beverage",MainData[Product],I$7)</f>
        <v>47.54</v>
      </c>
      <c r="O90" s="109">
        <f>SUMIFS(MainData[ExtendedCost],MainData[BillID],BeverageCost[[#This Row],[BillID]],MainData[Billable?],"Y",MainData[Category],"Beverage",MainData[Product],J$7)</f>
        <v>83</v>
      </c>
      <c r="P9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11">
        <f>IFERROR(BeverageCost[[#This Row],[$Liq]]/BeverageCost[[#This Row],[Liquor]],0)</f>
        <v>0</v>
      </c>
      <c r="S9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0" s="112">
        <f>IFERROR(BeverageCost[[#This Row],[$Wine]]/BeverageCost[[#This Row],[Wine]],0)</f>
        <v>0.10903669724770643</v>
      </c>
      <c r="U9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0" s="112">
        <f>IFERROR(BeverageCost[[#This Row],[$Beer]]/BeverageCost[[#This Row],[Beer]],0)</f>
        <v>0.1</v>
      </c>
      <c r="W9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0" s="112">
        <f>IFERROR(BeverageCost[[#This Row],[$Other]]/BeverageCost[[#This Row],[Other]],0)</f>
        <v>5.4545454545454543E-2</v>
      </c>
      <c r="Y9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0" s="77">
        <f>IFERROR(BeverageCost[[#This Row],[$Total]]/BeverageCost[[#This Row],[Total]],0)</f>
        <v>0.10109008327024981</v>
      </c>
      <c r="AA9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0" s="78">
        <f>IFERROR(BeverageCost[[#This Row],[$Total]]/$Q$5,0)</f>
        <v>2.3306162589891649E-3</v>
      </c>
      <c r="AC90" s="113"/>
    </row>
    <row r="91" spans="2:29" x14ac:dyDescent="0.25">
      <c r="B91" s="114">
        <v>78</v>
      </c>
      <c r="C91" s="154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55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55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08">
        <f>SUMIFS(MainData[ExtendedPrice],MainData[BillID],BeverageCost[[#This Row],[BillID]],MainData[Billable?],"Y",MainData[Category],"Beverage",MainData[Product],H$7)</f>
        <v>0</v>
      </c>
      <c r="I91" s="109">
        <f>SUMIFS(MainData[ExtendedPrice],MainData[BillID],BeverageCost[[#This Row],[BillID]],MainData[Billable?],"Y",MainData[Category],"Beverage",MainData[Product],I$7)</f>
        <v>182</v>
      </c>
      <c r="J91" s="109">
        <f>SUMIFS(MainData[ExtendedPrice],MainData[BillID],BeverageCost[[#This Row],[BillID]],MainData[Billable?],"Y",MainData[Category],"Beverage",MainData[Product],J$7)</f>
        <v>320</v>
      </c>
      <c r="K9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0">
        <f>SUMIFS(MainData[ExtendedCost],MainData[BillID],BeverageCost[[#This Row],[BillID]],MainData[Billable?],"Y",MainData[Category],"Beverage",MainData[Product],H$7)</f>
        <v>0</v>
      </c>
      <c r="N91" s="109">
        <f>SUMIFS(MainData[ExtendedCost],MainData[BillID],BeverageCost[[#This Row],[BillID]],MainData[Billable?],"Y",MainData[Category],"Beverage",MainData[Product],I$7)</f>
        <v>17.8</v>
      </c>
      <c r="O91" s="109">
        <f>SUMIFS(MainData[ExtendedCost],MainData[BillID],BeverageCost[[#This Row],[BillID]],MainData[Billable?],"Y",MainData[Category],"Beverage",MainData[Product],J$7)</f>
        <v>32</v>
      </c>
      <c r="P9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11">
        <f>IFERROR(BeverageCost[[#This Row],[$Liq]]/BeverageCost[[#This Row],[Liquor]],0)</f>
        <v>0</v>
      </c>
      <c r="S9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1" s="112">
        <f>IFERROR(BeverageCost[[#This Row],[$Wine]]/BeverageCost[[#This Row],[Wine]],0)</f>
        <v>9.7802197802197802E-2</v>
      </c>
      <c r="U9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1" s="112">
        <f>IFERROR(BeverageCost[[#This Row],[$Beer]]/BeverageCost[[#This Row],[Beer]],0)</f>
        <v>0.1</v>
      </c>
      <c r="W9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1" s="112">
        <f>IFERROR(BeverageCost[[#This Row],[$Other]]/BeverageCost[[#This Row],[Other]],0)</f>
        <v>7.3170731707317069E-2</v>
      </c>
      <c r="Y9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1" s="77">
        <f>IFERROR(BeverageCost[[#This Row],[$Total]]/BeverageCost[[#This Row],[Total]],0)</f>
        <v>8.7499999999999994E-2</v>
      </c>
      <c r="AA9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1" s="78">
        <f>IFERROR(BeverageCost[[#This Row],[$Total]]/$Q$5,0)</f>
        <v>1.3927151225650394E-3</v>
      </c>
      <c r="AC91" s="113"/>
    </row>
    <row r="92" spans="2:29" x14ac:dyDescent="0.25">
      <c r="B92" s="114">
        <v>79</v>
      </c>
      <c r="C92" s="154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55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55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08">
        <f>SUMIFS(MainData[ExtendedPrice],MainData[BillID],BeverageCost[[#This Row],[BillID]],MainData[Billable?],"Y",MainData[Category],"Beverage",MainData[Product],H$7)</f>
        <v>1607</v>
      </c>
      <c r="I92" s="109">
        <f>SUMIFS(MainData[ExtendedPrice],MainData[BillID],BeverageCost[[#This Row],[BillID]],MainData[Billable?],"Y",MainData[Category],"Beverage",MainData[Product],I$7)</f>
        <v>450</v>
      </c>
      <c r="J92" s="109">
        <f>SUMIFS(MainData[ExtendedPrice],MainData[BillID],BeverageCost[[#This Row],[BillID]],MainData[Billable?],"Y",MainData[Category],"Beverage",MainData[Product],J$7)</f>
        <v>530</v>
      </c>
      <c r="K9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0">
        <f>SUMIFS(MainData[ExtendedCost],MainData[BillID],BeverageCost[[#This Row],[BillID]],MainData[Billable?],"Y",MainData[Category],"Beverage",MainData[Product],H$7)</f>
        <v>123.32</v>
      </c>
      <c r="N92" s="109">
        <f>SUMIFS(MainData[ExtendedCost],MainData[BillID],BeverageCost[[#This Row],[BillID]],MainData[Billable?],"Y",MainData[Category],"Beverage",MainData[Product],I$7)</f>
        <v>45</v>
      </c>
      <c r="O92" s="109">
        <f>SUMIFS(MainData[ExtendedCost],MainData[BillID],BeverageCost[[#This Row],[BillID]],MainData[Billable?],"Y",MainData[Category],"Beverage",MainData[Product],J$7)</f>
        <v>53</v>
      </c>
      <c r="P9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11">
        <f>IFERROR(BeverageCost[[#This Row],[$Liq]]/BeverageCost[[#This Row],[Liquor]],0)</f>
        <v>7.6739265712507776E-2</v>
      </c>
      <c r="S9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2" s="112">
        <f>IFERROR(BeverageCost[[#This Row],[$Wine]]/BeverageCost[[#This Row],[Wine]],0)</f>
        <v>0.1</v>
      </c>
      <c r="U9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2" s="112">
        <f>IFERROR(BeverageCost[[#This Row],[$Beer]]/BeverageCost[[#This Row],[Beer]],0)</f>
        <v>0.1</v>
      </c>
      <c r="W9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2" s="112">
        <f>IFERROR(BeverageCost[[#This Row],[$Other]]/BeverageCost[[#This Row],[Other]],0)</f>
        <v>5.2631578947368418E-2</v>
      </c>
      <c r="Y9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2" s="77">
        <f>IFERROR(BeverageCost[[#This Row],[$Total]]/BeverageCost[[#This Row],[Total]],0)</f>
        <v>8.4384787472035788E-2</v>
      </c>
      <c r="AA9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2" s="78">
        <f>IFERROR(BeverageCost[[#This Row],[$Total]]/$Q$5,0)</f>
        <v>3.949865746101751E-3</v>
      </c>
      <c r="AC92" s="113"/>
    </row>
    <row r="93" spans="2:29" x14ac:dyDescent="0.25">
      <c r="B93" s="114">
        <v>82</v>
      </c>
      <c r="C93" s="154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55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55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08">
        <f>SUMIFS(MainData[ExtendedPrice],MainData[BillID],BeverageCost[[#This Row],[BillID]],MainData[Billable?],"Y",MainData[Category],"Beverage",MainData[Product],H$7)</f>
        <v>24873.35</v>
      </c>
      <c r="I93" s="109">
        <f>SUMIFS(MainData[ExtendedPrice],MainData[BillID],BeverageCost[[#This Row],[BillID]],MainData[Billable?],"Y",MainData[Category],"Beverage",MainData[Product],I$7)</f>
        <v>16287.15</v>
      </c>
      <c r="J93" s="109">
        <f>SUMIFS(MainData[ExtendedPrice],MainData[BillID],BeverageCost[[#This Row],[BillID]],MainData[Billable?],"Y",MainData[Category],"Beverage",MainData[Product],J$7)</f>
        <v>18931.25</v>
      </c>
      <c r="K9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0">
        <f>SUMIFS(MainData[ExtendedCost],MainData[BillID],BeverageCost[[#This Row],[BillID]],MainData[Billable?],"Y",MainData[Category],"Beverage",MainData[Product],H$7)</f>
        <v>2409.96</v>
      </c>
      <c r="N93" s="109">
        <f>SUMIFS(MainData[ExtendedCost],MainData[BillID],BeverageCost[[#This Row],[BillID]],MainData[Billable?],"Y",MainData[Category],"Beverage",MainData[Product],I$7)</f>
        <v>1650</v>
      </c>
      <c r="O93" s="109">
        <f>SUMIFS(MainData[ExtendedCost],MainData[BillID],BeverageCost[[#This Row],[BillID]],MainData[Billable?],"Y",MainData[Category],"Beverage",MainData[Product],J$7)</f>
        <v>1900</v>
      </c>
      <c r="P9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11">
        <f>IFERROR(BeverageCost[[#This Row],[$Liq]]/BeverageCost[[#This Row],[Liquor]],0)</f>
        <v>9.6889240894370884E-2</v>
      </c>
      <c r="S9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3" s="112">
        <f>IFERROR(BeverageCost[[#This Row],[$Wine]]/BeverageCost[[#This Row],[Wine]],0)</f>
        <v>0.10130685847431871</v>
      </c>
      <c r="U9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3" s="112">
        <f>IFERROR(BeverageCost[[#This Row],[$Beer]]/BeverageCost[[#This Row],[Beer]],0)</f>
        <v>0.10036315615714757</v>
      </c>
      <c r="W9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3" s="112">
        <f>IFERROR(BeverageCost[[#This Row],[$Other]]/BeverageCost[[#This Row],[Other]],0)</f>
        <v>4.9019170952130549E-2</v>
      </c>
      <c r="Y9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3" s="77">
        <f>IFERROR(BeverageCost[[#This Row],[$Total]]/BeverageCost[[#This Row],[Total]],0)</f>
        <v>9.4897856679725667E-2</v>
      </c>
      <c r="AA9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3" s="78">
        <f>IFERROR(BeverageCost[[#This Row],[$Total]]/$Q$5,0)</f>
        <v>0.10881607870411177</v>
      </c>
      <c r="AC93" s="113"/>
    </row>
    <row r="94" spans="2:29" x14ac:dyDescent="0.25">
      <c r="B94" s="114">
        <v>83</v>
      </c>
      <c r="C94" s="154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55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55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08">
        <f>SUMIFS(MainData[ExtendedPrice],MainData[BillID],BeverageCost[[#This Row],[BillID]],MainData[Billable?],"Y",MainData[Category],"Beverage",MainData[Product],H$7)</f>
        <v>3070</v>
      </c>
      <c r="I94" s="109">
        <f>SUMIFS(MainData[ExtendedPrice],MainData[BillID],BeverageCost[[#This Row],[BillID]],MainData[Billable?],"Y",MainData[Category],"Beverage",MainData[Product],I$7)</f>
        <v>2160</v>
      </c>
      <c r="J94" s="109">
        <f>SUMIFS(MainData[ExtendedPrice],MainData[BillID],BeverageCost[[#This Row],[BillID]],MainData[Billable?],"Y",MainData[Category],"Beverage",MainData[Product],J$7)</f>
        <v>1865</v>
      </c>
      <c r="K9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0">
        <f>SUMIFS(MainData[ExtendedCost],MainData[BillID],BeverageCost[[#This Row],[BillID]],MainData[Billable?],"Y",MainData[Category],"Beverage",MainData[Product],H$7)</f>
        <v>223.6</v>
      </c>
      <c r="N94" s="109">
        <f>SUMIFS(MainData[ExtendedCost],MainData[BillID],BeverageCost[[#This Row],[BillID]],MainData[Billable?],"Y",MainData[Category],"Beverage",MainData[Product],I$7)</f>
        <v>216</v>
      </c>
      <c r="O94" s="109">
        <f>SUMIFS(MainData[ExtendedCost],MainData[BillID],BeverageCost[[#This Row],[BillID]],MainData[Billable?],"Y",MainData[Category],"Beverage",MainData[Product],J$7)</f>
        <v>190</v>
      </c>
      <c r="P9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11">
        <f>IFERROR(BeverageCost[[#This Row],[$Liq]]/BeverageCost[[#This Row],[Liquor]],0)</f>
        <v>7.2833876221498367E-2</v>
      </c>
      <c r="S9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4" s="112">
        <f>IFERROR(BeverageCost[[#This Row],[$Wine]]/BeverageCost[[#This Row],[Wine]],0)</f>
        <v>0.1</v>
      </c>
      <c r="U9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4" s="112">
        <f>IFERROR(BeverageCost[[#This Row],[$Beer]]/BeverageCost[[#This Row],[Beer]],0)</f>
        <v>0.10187667560321716</v>
      </c>
      <c r="W9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4" s="112">
        <f>IFERROR(BeverageCost[[#This Row],[$Other]]/BeverageCost[[#This Row],[Other]],0)</f>
        <v>5.2208835341365459E-2</v>
      </c>
      <c r="Y9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4" s="77">
        <f>IFERROR(BeverageCost[[#This Row],[$Total]]/BeverageCost[[#This Row],[Total]],0)</f>
        <v>8.7500000000000008E-2</v>
      </c>
      <c r="AA9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4" s="78">
        <f>IFERROR(BeverageCost[[#This Row],[$Total]]/$Q$5,0)</f>
        <v>1.1215021776444793E-2</v>
      </c>
      <c r="AC94" s="113"/>
    </row>
    <row r="95" spans="2:29" x14ac:dyDescent="0.25">
      <c r="B95" s="114">
        <v>84</v>
      </c>
      <c r="C95" s="154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55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55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08">
        <f>SUMIFS(MainData[ExtendedPrice],MainData[BillID],BeverageCost[[#This Row],[BillID]],MainData[Billable?],"Y",MainData[Category],"Beverage",MainData[Product],H$7)</f>
        <v>782</v>
      </c>
      <c r="I95" s="109">
        <f>SUMIFS(MainData[ExtendedPrice],MainData[BillID],BeverageCost[[#This Row],[BillID]],MainData[Billable?],"Y",MainData[Category],"Beverage",MainData[Product],I$7)</f>
        <v>365</v>
      </c>
      <c r="J95" s="109">
        <f>SUMIFS(MainData[ExtendedPrice],MainData[BillID],BeverageCost[[#This Row],[BillID]],MainData[Billable?],"Y",MainData[Category],"Beverage",MainData[Product],J$7)</f>
        <v>312</v>
      </c>
      <c r="K9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0">
        <f>SUMIFS(MainData[ExtendedCost],MainData[BillID],BeverageCost[[#This Row],[BillID]],MainData[Billable?],"Y",MainData[Category],"Beverage",MainData[Product],H$7)</f>
        <v>43.64</v>
      </c>
      <c r="N95" s="109">
        <f>SUMIFS(MainData[ExtendedCost],MainData[BillID],BeverageCost[[#This Row],[BillID]],MainData[Billable?],"Y",MainData[Category],"Beverage",MainData[Product],I$7)</f>
        <v>33</v>
      </c>
      <c r="O95" s="109">
        <f>SUMIFS(MainData[ExtendedCost],MainData[BillID],BeverageCost[[#This Row],[BillID]],MainData[Billable?],"Y",MainData[Category],"Beverage",MainData[Product],J$7)</f>
        <v>32</v>
      </c>
      <c r="P9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11">
        <f>IFERROR(BeverageCost[[#This Row],[$Liq]]/BeverageCost[[#This Row],[Liquor]],0)</f>
        <v>5.5805626598465476E-2</v>
      </c>
      <c r="S9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5" s="112">
        <f>IFERROR(BeverageCost[[#This Row],[$Wine]]/BeverageCost[[#This Row],[Wine]],0)</f>
        <v>9.0410958904109592E-2</v>
      </c>
      <c r="U9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5" s="112">
        <f>IFERROR(BeverageCost[[#This Row],[$Beer]]/BeverageCost[[#This Row],[Beer]],0)</f>
        <v>0.10256410256410256</v>
      </c>
      <c r="W9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5" s="112">
        <f>IFERROR(BeverageCost[[#This Row],[$Other]]/BeverageCost[[#This Row],[Other]],0)</f>
        <v>5.0561797752808987E-2</v>
      </c>
      <c r="Y9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5" s="77">
        <f>IFERROR(BeverageCost[[#This Row],[$Total]]/BeverageCost[[#This Row],[Total]],0)</f>
        <v>7.3087855297157625E-2</v>
      </c>
      <c r="AA9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5" s="78">
        <f>IFERROR(BeverageCost[[#This Row],[$Total]]/$Q$5,0)</f>
        <v>1.9745838216417115E-3</v>
      </c>
      <c r="AC95" s="113"/>
    </row>
    <row r="96" spans="2:29" x14ac:dyDescent="0.25">
      <c r="B96" s="114">
        <v>85</v>
      </c>
      <c r="C96" s="154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55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55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08">
        <f>SUMIFS(MainData[ExtendedPrice],MainData[BillID],BeverageCost[[#This Row],[BillID]],MainData[Billable?],"Y",MainData[Category],"Beverage",MainData[Product],H$7)</f>
        <v>0</v>
      </c>
      <c r="I96" s="109">
        <f>SUMIFS(MainData[ExtendedPrice],MainData[BillID],BeverageCost[[#This Row],[BillID]],MainData[Billable?],"Y",MainData[Category],"Beverage",MainData[Product],I$7)</f>
        <v>100</v>
      </c>
      <c r="J96" s="109">
        <f>SUMIFS(MainData[ExtendedPrice],MainData[BillID],BeverageCost[[#This Row],[BillID]],MainData[Billable?],"Y",MainData[Category],"Beverage",MainData[Product],J$7)</f>
        <v>0</v>
      </c>
      <c r="K9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0">
        <f>SUMIFS(MainData[ExtendedCost],MainData[BillID],BeverageCost[[#This Row],[BillID]],MainData[Billable?],"Y",MainData[Category],"Beverage",MainData[Product],H$7)</f>
        <v>0</v>
      </c>
      <c r="N96" s="109">
        <f>SUMIFS(MainData[ExtendedCost],MainData[BillID],BeverageCost[[#This Row],[BillID]],MainData[Billable?],"Y",MainData[Category],"Beverage",MainData[Product],I$7)</f>
        <v>27</v>
      </c>
      <c r="O96" s="109">
        <f>SUMIFS(MainData[ExtendedCost],MainData[BillID],BeverageCost[[#This Row],[BillID]],MainData[Billable?],"Y",MainData[Category],"Beverage",MainData[Product],J$7)</f>
        <v>0</v>
      </c>
      <c r="P9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11">
        <f>IFERROR(BeverageCost[[#This Row],[$Liq]]/BeverageCost[[#This Row],[Liquor]],0)</f>
        <v>0</v>
      </c>
      <c r="S9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6" s="112">
        <f>IFERROR(BeverageCost[[#This Row],[$Wine]]/BeverageCost[[#This Row],[Wine]],0)</f>
        <v>0.27</v>
      </c>
      <c r="U9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6" s="112">
        <f>IFERROR(BeverageCost[[#This Row],[$Beer]]/BeverageCost[[#This Row],[Beer]],0)</f>
        <v>0</v>
      </c>
      <c r="W9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6" s="112">
        <f>IFERROR(BeverageCost[[#This Row],[$Other]]/BeverageCost[[#This Row],[Other]],0)</f>
        <v>0</v>
      </c>
      <c r="Y9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6" s="77">
        <f>IFERROR(BeverageCost[[#This Row],[$Total]]/BeverageCost[[#This Row],[Total]],0)</f>
        <v>0.27</v>
      </c>
      <c r="AA9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6" s="78">
        <f>IFERROR(BeverageCost[[#This Row],[$Total]]/$Q$5,0)</f>
        <v>4.7121940237162993E-4</v>
      </c>
      <c r="AC96" s="113" t="s">
        <v>12</v>
      </c>
    </row>
    <row r="97" spans="2:29" x14ac:dyDescent="0.25">
      <c r="B97" s="114">
        <v>86</v>
      </c>
      <c r="C97" s="154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55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55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08">
        <f>SUMIFS(MainData[ExtendedPrice],MainData[BillID],BeverageCost[[#This Row],[BillID]],MainData[Billable?],"Y",MainData[Category],"Beverage",MainData[Product],H$7)</f>
        <v>0</v>
      </c>
      <c r="I97" s="109">
        <f>SUMIFS(MainData[ExtendedPrice],MainData[BillID],BeverageCost[[#This Row],[BillID]],MainData[Billable?],"Y",MainData[Category],"Beverage",MainData[Product],I$7)</f>
        <v>1100</v>
      </c>
      <c r="J97" s="109">
        <f>SUMIFS(MainData[ExtendedPrice],MainData[BillID],BeverageCost[[#This Row],[BillID]],MainData[Billable?],"Y",MainData[Category],"Beverage",MainData[Product],J$7)</f>
        <v>1100</v>
      </c>
      <c r="K9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0">
        <f>SUMIFS(MainData[ExtendedCost],MainData[BillID],BeverageCost[[#This Row],[BillID]],MainData[Billable?],"Y",MainData[Category],"Beverage",MainData[Product],H$7)</f>
        <v>0</v>
      </c>
      <c r="N97" s="109">
        <f>SUMIFS(MainData[ExtendedCost],MainData[BillID],BeverageCost[[#This Row],[BillID]],MainData[Billable?],"Y",MainData[Category],"Beverage",MainData[Product],I$7)</f>
        <v>57.54</v>
      </c>
      <c r="O97" s="109">
        <f>SUMIFS(MainData[ExtendedCost],MainData[BillID],BeverageCost[[#This Row],[BillID]],MainData[Billable?],"Y",MainData[Category],"Beverage",MainData[Product],J$7)</f>
        <v>60</v>
      </c>
      <c r="P9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11">
        <f>IFERROR(BeverageCost[[#This Row],[$Liq]]/BeverageCost[[#This Row],[Liquor]],0)</f>
        <v>0</v>
      </c>
      <c r="S9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7" s="112">
        <f>IFERROR(BeverageCost[[#This Row],[$Wine]]/BeverageCost[[#This Row],[Wine]],0)</f>
        <v>5.2309090909090909E-2</v>
      </c>
      <c r="U9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7" s="112">
        <f>IFERROR(BeverageCost[[#This Row],[$Beer]]/BeverageCost[[#This Row],[Beer]],0)</f>
        <v>5.4545454545454543E-2</v>
      </c>
      <c r="W9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7" s="112">
        <f>IFERROR(BeverageCost[[#This Row],[$Other]]/BeverageCost[[#This Row],[Other]],0)</f>
        <v>0.05</v>
      </c>
      <c r="Y9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7" s="77">
        <f>IFERROR(BeverageCost[[#This Row],[$Total]]/BeverageCost[[#This Row],[Total]],0)</f>
        <v>5.2834586466165408E-2</v>
      </c>
      <c r="AA9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7" s="78">
        <f>IFERROR(BeverageCost[[#This Row],[$Total]]/$Q$5,0)</f>
        <v>2.4527842521966246E-3</v>
      </c>
      <c r="AC97" s="113" t="s">
        <v>395</v>
      </c>
    </row>
    <row r="98" spans="2:29" x14ac:dyDescent="0.25">
      <c r="B98" s="114">
        <v>89</v>
      </c>
      <c r="C98" s="154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55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55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08">
        <f>SUMIFS(MainData[ExtendedPrice],MainData[BillID],BeverageCost[[#This Row],[BillID]],MainData[Billable?],"Y",MainData[Category],"Beverage",MainData[Product],H$7)</f>
        <v>0</v>
      </c>
      <c r="I98" s="109">
        <f>SUMIFS(MainData[ExtendedPrice],MainData[BillID],BeverageCost[[#This Row],[BillID]],MainData[Billable?],"Y",MainData[Category],"Beverage",MainData[Product],I$7)</f>
        <v>41</v>
      </c>
      <c r="J98" s="109">
        <f>SUMIFS(MainData[ExtendedPrice],MainData[BillID],BeverageCost[[#This Row],[BillID]],MainData[Billable?],"Y",MainData[Category],"Beverage",MainData[Product],J$7)</f>
        <v>0</v>
      </c>
      <c r="K9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0">
        <f>SUMIFS(MainData[ExtendedCost],MainData[BillID],BeverageCost[[#This Row],[BillID]],MainData[Billable?],"Y",MainData[Category],"Beverage",MainData[Product],H$7)</f>
        <v>0</v>
      </c>
      <c r="N98" s="109">
        <f>SUMIFS(MainData[ExtendedCost],MainData[BillID],BeverageCost[[#This Row],[BillID]],MainData[Billable?],"Y",MainData[Category],"Beverage",MainData[Product],I$7)</f>
        <v>11.5</v>
      </c>
      <c r="O98" s="109">
        <f>SUMIFS(MainData[ExtendedCost],MainData[BillID],BeverageCost[[#This Row],[BillID]],MainData[Billable?],"Y",MainData[Category],"Beverage",MainData[Product],J$7)</f>
        <v>0</v>
      </c>
      <c r="P9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11">
        <f>IFERROR(BeverageCost[[#This Row],[$Liq]]/BeverageCost[[#This Row],[Liquor]],0)</f>
        <v>0</v>
      </c>
      <c r="S9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8" s="112">
        <f>IFERROR(BeverageCost[[#This Row],[$Wine]]/BeverageCost[[#This Row],[Wine]],0)</f>
        <v>0.28048780487804881</v>
      </c>
      <c r="U9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8" s="112">
        <f>IFERROR(BeverageCost[[#This Row],[$Beer]]/BeverageCost[[#This Row],[Beer]],0)</f>
        <v>0</v>
      </c>
      <c r="W9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8" s="112">
        <f>IFERROR(BeverageCost[[#This Row],[$Other]]/BeverageCost[[#This Row],[Other]],0)</f>
        <v>0</v>
      </c>
      <c r="Y9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8" s="77">
        <f>IFERROR(BeverageCost[[#This Row],[$Total]]/BeverageCost[[#This Row],[Total]],0)</f>
        <v>0.28048780487804881</v>
      </c>
      <c r="AA9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8" s="78">
        <f>IFERROR(BeverageCost[[#This Row],[$Total]]/$Q$5,0)</f>
        <v>2.0070456026939791E-4</v>
      </c>
      <c r="AC98" s="113" t="s">
        <v>6</v>
      </c>
    </row>
    <row r="99" spans="2:29" x14ac:dyDescent="0.25">
      <c r="B99" s="114">
        <v>87</v>
      </c>
      <c r="C99" s="154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55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55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08">
        <f>SUMIFS(MainData[ExtendedPrice],MainData[BillID],BeverageCost[[#This Row],[BillID]],MainData[Billable?],"Y",MainData[Category],"Beverage",MainData[Product],H$7)</f>
        <v>0</v>
      </c>
      <c r="I99" s="109">
        <f>SUMIFS(MainData[ExtendedPrice],MainData[BillID],BeverageCost[[#This Row],[BillID]],MainData[Billable?],"Y",MainData[Category],"Beverage",MainData[Product],I$7)</f>
        <v>12225.12</v>
      </c>
      <c r="J99" s="109">
        <f>SUMIFS(MainData[ExtendedPrice],MainData[BillID],BeverageCost[[#This Row],[BillID]],MainData[Billable?],"Y",MainData[Category],"Beverage",MainData[Product],J$7)</f>
        <v>12251.74</v>
      </c>
      <c r="K9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0">
        <f>SUMIFS(MainData[ExtendedCost],MainData[BillID],BeverageCost[[#This Row],[BillID]],MainData[Billable?],"Y",MainData[Category],"Beverage",MainData[Product],H$7)</f>
        <v>0</v>
      </c>
      <c r="N99" s="109">
        <f>SUMIFS(MainData[ExtendedCost],MainData[BillID],BeverageCost[[#This Row],[BillID]],MainData[Billable?],"Y",MainData[Category],"Beverage",MainData[Product],I$7)</f>
        <v>1030.95</v>
      </c>
      <c r="O99" s="109">
        <f>SUMIFS(MainData[ExtendedCost],MainData[BillID],BeverageCost[[#This Row],[BillID]],MainData[Billable?],"Y",MainData[Category],"Beverage",MainData[Product],J$7)</f>
        <v>1200</v>
      </c>
      <c r="P9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11">
        <f>IFERROR(BeverageCost[[#This Row],[$Liq]]/BeverageCost[[#This Row],[Liquor]],0)</f>
        <v>0</v>
      </c>
      <c r="S9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9" s="112">
        <f>IFERROR(BeverageCost[[#This Row],[$Wine]]/BeverageCost[[#This Row],[Wine]],0)</f>
        <v>8.4330460559896347E-2</v>
      </c>
      <c r="U9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9" s="112">
        <f>IFERROR(BeverageCost[[#This Row],[$Beer]]/BeverageCost[[#This Row],[Beer]],0)</f>
        <v>9.7945271447157714E-2</v>
      </c>
      <c r="W9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9" s="112">
        <f>IFERROR(BeverageCost[[#This Row],[$Other]]/BeverageCost[[#This Row],[Other]],0)</f>
        <v>5.0211894193496552E-2</v>
      </c>
      <c r="Y9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9" s="77">
        <f>IFERROR(BeverageCost[[#This Row],[$Total]]/BeverageCost[[#This Row],[Total]],0)</f>
        <v>8.6692858339219775E-2</v>
      </c>
      <c r="AA9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9" s="78">
        <f>IFERROR(BeverageCost[[#This Row],[$Total]]/$Q$5,0)</f>
        <v>4.1553697632471562E-2</v>
      </c>
      <c r="AC99" s="113"/>
    </row>
    <row r="100" spans="2:29" x14ac:dyDescent="0.25">
      <c r="B100" s="114">
        <v>88</v>
      </c>
      <c r="C100" s="154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55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55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08">
        <f>SUMIFS(MainData[ExtendedPrice],MainData[BillID],BeverageCost[[#This Row],[BillID]],MainData[Billable?],"Y",MainData[Category],"Beverage",MainData[Product],H$7)</f>
        <v>0</v>
      </c>
      <c r="I100" s="109">
        <f>SUMIFS(MainData[ExtendedPrice],MainData[BillID],BeverageCost[[#This Row],[BillID]],MainData[Billable?],"Y",MainData[Category],"Beverage",MainData[Product],I$7)</f>
        <v>4165.6499999999996</v>
      </c>
      <c r="J100" s="109">
        <f>SUMIFS(MainData[ExtendedPrice],MainData[BillID],BeverageCost[[#This Row],[BillID]],MainData[Billable?],"Y",MainData[Category],"Beverage",MainData[Product],J$7)</f>
        <v>3826.5</v>
      </c>
      <c r="K10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0">
        <f>SUMIFS(MainData[ExtendedCost],MainData[BillID],BeverageCost[[#This Row],[BillID]],MainData[Billable?],"Y",MainData[Category],"Beverage",MainData[Product],H$7)</f>
        <v>0</v>
      </c>
      <c r="N100" s="109">
        <f>SUMIFS(MainData[ExtendedCost],MainData[BillID],BeverageCost[[#This Row],[BillID]],MainData[Billable?],"Y",MainData[Category],"Beverage",MainData[Product],I$7)</f>
        <v>353.7</v>
      </c>
      <c r="O100" s="109">
        <f>SUMIFS(MainData[ExtendedCost],MainData[BillID],BeverageCost[[#This Row],[BillID]],MainData[Billable?],"Y",MainData[Category],"Beverage",MainData[Product],J$7)</f>
        <v>350</v>
      </c>
      <c r="P10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11">
        <f>IFERROR(BeverageCost[[#This Row],[$Liq]]/BeverageCost[[#This Row],[Liquor]],0)</f>
        <v>0</v>
      </c>
      <c r="S10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0" s="112">
        <f>IFERROR(BeverageCost[[#This Row],[$Wine]]/BeverageCost[[#This Row],[Wine]],0)</f>
        <v>8.4908717727125424E-2</v>
      </c>
      <c r="U10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0" s="112">
        <f>IFERROR(BeverageCost[[#This Row],[$Beer]]/BeverageCost[[#This Row],[Beer]],0)</f>
        <v>9.1467398405853911E-2</v>
      </c>
      <c r="W10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0" s="112">
        <f>IFERROR(BeverageCost[[#This Row],[$Other]]/BeverageCost[[#This Row],[Other]],0)</f>
        <v>4.7331054430712595E-2</v>
      </c>
      <c r="Y10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0" s="77">
        <f>IFERROR(BeverageCost[[#This Row],[$Total]]/BeverageCost[[#This Row],[Total]],0)</f>
        <v>8.7102648399594265E-2</v>
      </c>
      <c r="AA10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0" s="78">
        <f>IFERROR(BeverageCost[[#This Row],[$Total]]/$Q$5,0)</f>
        <v>1.243844696556521E-2</v>
      </c>
      <c r="AC100" s="113"/>
    </row>
    <row r="101" spans="2:29" x14ac:dyDescent="0.25">
      <c r="B101" s="114">
        <v>91</v>
      </c>
      <c r="C101" s="154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55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55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08">
        <f>SUMIFS(MainData[ExtendedPrice],MainData[BillID],BeverageCost[[#This Row],[BillID]],MainData[Billable?],"Y",MainData[Category],"Beverage",MainData[Product],H$7)</f>
        <v>0</v>
      </c>
      <c r="I101" s="109">
        <f>SUMIFS(MainData[ExtendedPrice],MainData[BillID],BeverageCost[[#This Row],[BillID]],MainData[Billable?],"Y",MainData[Category],"Beverage",MainData[Product],I$7)</f>
        <v>555</v>
      </c>
      <c r="J101" s="109">
        <f>SUMIFS(MainData[ExtendedPrice],MainData[BillID],BeverageCost[[#This Row],[BillID]],MainData[Billable?],"Y",MainData[Category],"Beverage",MainData[Product],J$7)</f>
        <v>390</v>
      </c>
      <c r="K10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0">
        <f>SUMIFS(MainData[ExtendedCost],MainData[BillID],BeverageCost[[#This Row],[BillID]],MainData[Billable?],"Y",MainData[Category],"Beverage",MainData[Product],H$7)</f>
        <v>0</v>
      </c>
      <c r="N101" s="109">
        <f>SUMIFS(MainData[ExtendedCost],MainData[BillID],BeverageCost[[#This Row],[BillID]],MainData[Billable?],"Y",MainData[Category],"Beverage",MainData[Product],I$7)</f>
        <v>162.21</v>
      </c>
      <c r="O101" s="109">
        <f>SUMIFS(MainData[ExtendedCost],MainData[BillID],BeverageCost[[#This Row],[BillID]],MainData[Billable?],"Y",MainData[Category],"Beverage",MainData[Product],J$7)</f>
        <v>39</v>
      </c>
      <c r="P10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11">
        <f>IFERROR(BeverageCost[[#This Row],[$Liq]]/BeverageCost[[#This Row],[Liquor]],0)</f>
        <v>0</v>
      </c>
      <c r="S10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1" s="112">
        <f>IFERROR(BeverageCost[[#This Row],[$Wine]]/BeverageCost[[#This Row],[Wine]],0)</f>
        <v>0.2922702702702703</v>
      </c>
      <c r="U10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1" s="112">
        <f>IFERROR(BeverageCost[[#This Row],[$Beer]]/BeverageCost[[#This Row],[Beer]],0)</f>
        <v>0.1</v>
      </c>
      <c r="W10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1" s="112">
        <f>IFERROR(BeverageCost[[#This Row],[$Other]]/BeverageCost[[#This Row],[Other]],0)</f>
        <v>0.05</v>
      </c>
      <c r="Y10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1" s="77">
        <f>IFERROR(BeverageCost[[#This Row],[$Total]]/BeverageCost[[#This Row],[Total]],0)</f>
        <v>0.18685333333333334</v>
      </c>
      <c r="AA10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1" s="78">
        <f>IFERROR(BeverageCost[[#This Row],[$Total]]/$Q$5,0)</f>
        <v>3.668704836020012E-3</v>
      </c>
      <c r="AC101" s="113" t="s">
        <v>12</v>
      </c>
    </row>
    <row r="102" spans="2:29" x14ac:dyDescent="0.25">
      <c r="B102" s="114">
        <v>90</v>
      </c>
      <c r="C102" s="154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55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55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08">
        <f>SUMIFS(MainData[ExtendedPrice],MainData[BillID],BeverageCost[[#This Row],[BillID]],MainData[Billable?],"Y",MainData[Category],"Beverage",MainData[Product],H$7)</f>
        <v>0</v>
      </c>
      <c r="I102" s="109">
        <f>SUMIFS(MainData[ExtendedPrice],MainData[BillID],BeverageCost[[#This Row],[BillID]],MainData[Billable?],"Y",MainData[Category],"Beverage",MainData[Product],I$7)</f>
        <v>407.5</v>
      </c>
      <c r="J102" s="109">
        <f>SUMIFS(MainData[ExtendedPrice],MainData[BillID],BeverageCost[[#This Row],[BillID]],MainData[Billable?],"Y",MainData[Category],"Beverage",MainData[Product],J$7)</f>
        <v>410.5</v>
      </c>
      <c r="K10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0">
        <f>SUMIFS(MainData[ExtendedCost],MainData[BillID],BeverageCost[[#This Row],[BillID]],MainData[Billable?],"Y",MainData[Category],"Beverage",MainData[Product],H$7)</f>
        <v>0</v>
      </c>
      <c r="N102" s="109">
        <f>SUMIFS(MainData[ExtendedCost],MainData[BillID],BeverageCost[[#This Row],[BillID]],MainData[Billable?],"Y",MainData[Category],"Beverage",MainData[Product],I$7)</f>
        <v>38.950000000000003</v>
      </c>
      <c r="O102" s="109">
        <f>SUMIFS(MainData[ExtendedCost],MainData[BillID],BeverageCost[[#This Row],[BillID]],MainData[Billable?],"Y",MainData[Category],"Beverage",MainData[Product],J$7)</f>
        <v>38</v>
      </c>
      <c r="P10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11">
        <f>IFERROR(BeverageCost[[#This Row],[$Liq]]/BeverageCost[[#This Row],[Liquor]],0)</f>
        <v>0</v>
      </c>
      <c r="S10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2" s="112">
        <f>IFERROR(BeverageCost[[#This Row],[$Wine]]/BeverageCost[[#This Row],[Wine]],0)</f>
        <v>9.5582822085889571E-2</v>
      </c>
      <c r="U10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2" s="112">
        <f>IFERROR(BeverageCost[[#This Row],[$Beer]]/BeverageCost[[#This Row],[Beer]],0)</f>
        <v>9.2570036540803896E-2</v>
      </c>
      <c r="W10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2" s="112">
        <f>IFERROR(BeverageCost[[#This Row],[$Other]]/BeverageCost[[#This Row],[Other]],0)</f>
        <v>4.9923195084485408E-2</v>
      </c>
      <c r="Y10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2" s="77">
        <f>IFERROR(BeverageCost[[#This Row],[$Total]]/BeverageCost[[#This Row],[Total]],0)</f>
        <v>9.0816442079039744E-2</v>
      </c>
      <c r="AA10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2" s="78">
        <f>IFERROR(BeverageCost[[#This Row],[$Total]]/$Q$5,0)</f>
        <v>1.3996961507483229E-3</v>
      </c>
      <c r="AC102" s="113"/>
    </row>
    <row r="103" spans="2:29" x14ac:dyDescent="0.25">
      <c r="B103" s="114">
        <v>120</v>
      </c>
      <c r="C103" s="154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55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55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08">
        <f>SUMIFS(MainData[ExtendedPrice],MainData[BillID],BeverageCost[[#This Row],[BillID]],MainData[Billable?],"Y",MainData[Category],"Beverage",MainData[Product],H$7)</f>
        <v>10.11</v>
      </c>
      <c r="I103" s="109">
        <f>SUMIFS(MainData[ExtendedPrice],MainData[BillID],BeverageCost[[#This Row],[BillID]],MainData[Billable?],"Y",MainData[Category],"Beverage",MainData[Product],I$7)</f>
        <v>9.5</v>
      </c>
      <c r="J103" s="109">
        <f>SUMIFS(MainData[ExtendedPrice],MainData[BillID],BeverageCost[[#This Row],[BillID]],MainData[Billable?],"Y",MainData[Category],"Beverage",MainData[Product],J$7)</f>
        <v>0</v>
      </c>
      <c r="K10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0">
        <f>SUMIFS(MainData[ExtendedCost],MainData[BillID],BeverageCost[[#This Row],[BillID]],MainData[Billable?],"Y",MainData[Category],"Beverage",MainData[Product],H$7)</f>
        <v>0.61</v>
      </c>
      <c r="N103" s="109">
        <f>SUMIFS(MainData[ExtendedCost],MainData[BillID],BeverageCost[[#This Row],[BillID]],MainData[Billable?],"Y",MainData[Category],"Beverage",MainData[Product],I$7)</f>
        <v>0.5</v>
      </c>
      <c r="O103" s="109">
        <f>SUMIFS(MainData[ExtendedCost],MainData[BillID],BeverageCost[[#This Row],[BillID]],MainData[Billable?],"Y",MainData[Category],"Beverage",MainData[Product],J$7)</f>
        <v>0</v>
      </c>
      <c r="P10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11">
        <f>IFERROR(BeverageCost[[#This Row],[$Liq]]/BeverageCost[[#This Row],[Liquor]],0)</f>
        <v>6.0336300692383778E-2</v>
      </c>
      <c r="S10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3" s="112">
        <f>IFERROR(BeverageCost[[#This Row],[$Wine]]/BeverageCost[[#This Row],[Wine]],0)</f>
        <v>5.2631578947368418E-2</v>
      </c>
      <c r="U10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3" s="112">
        <f>IFERROR(BeverageCost[[#This Row],[$Beer]]/BeverageCost[[#This Row],[Beer]],0)</f>
        <v>0</v>
      </c>
      <c r="W10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3" s="112">
        <f>IFERROR(BeverageCost[[#This Row],[$Other]]/BeverageCost[[#This Row],[Other]],0)</f>
        <v>0</v>
      </c>
      <c r="Y10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3" s="77">
        <f>IFERROR(BeverageCost[[#This Row],[$Total]]/BeverageCost[[#This Row],[Total]],0)</f>
        <v>5.6603773584905655E-2</v>
      </c>
      <c r="AA10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3" s="78">
        <f>IFERROR(BeverageCost[[#This Row],[$Total]]/$Q$5,0)</f>
        <v>1.9372353208611451E-5</v>
      </c>
      <c r="AC103" s="113"/>
    </row>
    <row r="104" spans="2:29" x14ac:dyDescent="0.25">
      <c r="B104" s="114">
        <v>92</v>
      </c>
      <c r="C104" s="154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55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55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08">
        <f>SUMIFS(MainData[ExtendedPrice],MainData[BillID],BeverageCost[[#This Row],[BillID]],MainData[Billable?],"Y",MainData[Category],"Beverage",MainData[Product],H$7)</f>
        <v>0</v>
      </c>
      <c r="I104" s="109">
        <f>SUMIFS(MainData[ExtendedPrice],MainData[BillID],BeverageCost[[#This Row],[BillID]],MainData[Billable?],"Y",MainData[Category],"Beverage",MainData[Product],I$7)</f>
        <v>0</v>
      </c>
      <c r="J104" s="109">
        <f>SUMIFS(MainData[ExtendedPrice],MainData[BillID],BeverageCost[[#This Row],[BillID]],MainData[Billable?],"Y",MainData[Category],"Beverage",MainData[Product],J$7)</f>
        <v>0</v>
      </c>
      <c r="K10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0">
        <f>SUMIFS(MainData[ExtendedCost],MainData[BillID],BeverageCost[[#This Row],[BillID]],MainData[Billable?],"Y",MainData[Category],"Beverage",MainData[Product],H$7)</f>
        <v>0</v>
      </c>
      <c r="N104" s="109">
        <f>SUMIFS(MainData[ExtendedCost],MainData[BillID],BeverageCost[[#This Row],[BillID]],MainData[Billable?],"Y",MainData[Category],"Beverage",MainData[Product],I$7)</f>
        <v>0</v>
      </c>
      <c r="O104" s="109">
        <f>SUMIFS(MainData[ExtendedCost],MainData[BillID],BeverageCost[[#This Row],[BillID]],MainData[Billable?],"Y",MainData[Category],"Beverage",MainData[Product],J$7)</f>
        <v>0</v>
      </c>
      <c r="P10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11">
        <f>IFERROR(BeverageCost[[#This Row],[$Liq]]/BeverageCost[[#This Row],[Liquor]],0)</f>
        <v>0</v>
      </c>
      <c r="S10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4" s="112">
        <f>IFERROR(BeverageCost[[#This Row],[$Wine]]/BeverageCost[[#This Row],[Wine]],0)</f>
        <v>0</v>
      </c>
      <c r="U10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4" s="112">
        <f>IFERROR(BeverageCost[[#This Row],[$Beer]]/BeverageCost[[#This Row],[Beer]],0)</f>
        <v>0</v>
      </c>
      <c r="W10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4" s="112">
        <f>IFERROR(BeverageCost[[#This Row],[$Other]]/BeverageCost[[#This Row],[Other]],0)</f>
        <v>0</v>
      </c>
      <c r="Y10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4" s="77">
        <f>IFERROR(BeverageCost[[#This Row],[$Total]]/BeverageCost[[#This Row],[Total]],0)</f>
        <v>0</v>
      </c>
      <c r="AA10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4" s="78">
        <f>IFERROR(BeverageCost[[#This Row],[$Total]]/$Q$5,0)</f>
        <v>0</v>
      </c>
      <c r="AC104" s="113" t="s">
        <v>231</v>
      </c>
    </row>
    <row r="105" spans="2:29" x14ac:dyDescent="0.25">
      <c r="B105" s="114">
        <v>121</v>
      </c>
      <c r="C105" s="154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55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55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08">
        <f>SUMIFS(MainData[ExtendedPrice],MainData[BillID],BeverageCost[[#This Row],[BillID]],MainData[Billable?],"Y",MainData[Category],"Beverage",MainData[Product],H$7)</f>
        <v>643.15</v>
      </c>
      <c r="I105" s="109">
        <f>SUMIFS(MainData[ExtendedPrice],MainData[BillID],BeverageCost[[#This Row],[BillID]],MainData[Billable?],"Y",MainData[Category],"Beverage",MainData[Product],I$7)</f>
        <v>229.25</v>
      </c>
      <c r="J105" s="109">
        <f>SUMIFS(MainData[ExtendedPrice],MainData[BillID],BeverageCost[[#This Row],[BillID]],MainData[Billable?],"Y",MainData[Category],"Beverage",MainData[Product],J$7)</f>
        <v>315.3</v>
      </c>
      <c r="K10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0">
        <f>SUMIFS(MainData[ExtendedCost],MainData[BillID],BeverageCost[[#This Row],[BillID]],MainData[Billable?],"Y",MainData[Category],"Beverage",MainData[Product],H$7)</f>
        <v>100.84</v>
      </c>
      <c r="N105" s="109">
        <f>SUMIFS(MainData[ExtendedCost],MainData[BillID],BeverageCost[[#This Row],[BillID]],MainData[Billable?],"Y",MainData[Category],"Beverage",MainData[Product],I$7)</f>
        <v>31</v>
      </c>
      <c r="O105" s="109">
        <f>SUMIFS(MainData[ExtendedCost],MainData[BillID],BeverageCost[[#This Row],[BillID]],MainData[Billable?],"Y",MainData[Category],"Beverage",MainData[Product],J$7)</f>
        <v>32</v>
      </c>
      <c r="P10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11">
        <f>IFERROR(BeverageCost[[#This Row],[$Liq]]/BeverageCost[[#This Row],[Liquor]],0)</f>
        <v>0.15679079530436135</v>
      </c>
      <c r="S10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5" s="112">
        <f>IFERROR(BeverageCost[[#This Row],[$Wine]]/BeverageCost[[#This Row],[Wine]],0)</f>
        <v>0.13522355507088332</v>
      </c>
      <c r="U10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5" s="112">
        <f>IFERROR(BeverageCost[[#This Row],[$Beer]]/BeverageCost[[#This Row],[Beer]],0)</f>
        <v>0.10149064383127181</v>
      </c>
      <c r="W10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5" s="112">
        <f>IFERROR(BeverageCost[[#This Row],[$Other]]/BeverageCost[[#This Row],[Other]],0)</f>
        <v>0.05</v>
      </c>
      <c r="Y10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5" s="77">
        <f>IFERROR(BeverageCost[[#This Row],[$Total]]/BeverageCost[[#This Row],[Total]],0)</f>
        <v>0.13473675671290664</v>
      </c>
      <c r="AA10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5" s="78">
        <f>IFERROR(BeverageCost[[#This Row],[$Total]]/$Q$5,0)</f>
        <v>2.8986974274038523E-3</v>
      </c>
      <c r="AC105" s="113" t="s">
        <v>39</v>
      </c>
    </row>
    <row r="106" spans="2:29" x14ac:dyDescent="0.25">
      <c r="B106" s="114">
        <v>93</v>
      </c>
      <c r="C106" s="154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55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55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08">
        <f>SUMIFS(MainData[ExtendedPrice],MainData[BillID],BeverageCost[[#This Row],[BillID]],MainData[Billable?],"Y",MainData[Category],"Beverage",MainData[Product],H$7)</f>
        <v>0</v>
      </c>
      <c r="I106" s="109">
        <f>SUMIFS(MainData[ExtendedPrice],MainData[BillID],BeverageCost[[#This Row],[BillID]],MainData[Billable?],"Y",MainData[Category],"Beverage",MainData[Product],I$7)</f>
        <v>0</v>
      </c>
      <c r="J106" s="109">
        <f>SUMIFS(MainData[ExtendedPrice],MainData[BillID],BeverageCost[[#This Row],[BillID]],MainData[Billable?],"Y",MainData[Category],"Beverage",MainData[Product],J$7)</f>
        <v>0</v>
      </c>
      <c r="K10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0">
        <f>SUMIFS(MainData[ExtendedCost],MainData[BillID],BeverageCost[[#This Row],[BillID]],MainData[Billable?],"Y",MainData[Category],"Beverage",MainData[Product],H$7)</f>
        <v>0</v>
      </c>
      <c r="N106" s="109">
        <f>SUMIFS(MainData[ExtendedCost],MainData[BillID],BeverageCost[[#This Row],[BillID]],MainData[Billable?],"Y",MainData[Category],"Beverage",MainData[Product],I$7)</f>
        <v>0</v>
      </c>
      <c r="O106" s="109">
        <f>SUMIFS(MainData[ExtendedCost],MainData[BillID],BeverageCost[[#This Row],[BillID]],MainData[Billable?],"Y",MainData[Category],"Beverage",MainData[Product],J$7)</f>
        <v>0</v>
      </c>
      <c r="P10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11">
        <f>IFERROR(BeverageCost[[#This Row],[$Liq]]/BeverageCost[[#This Row],[Liquor]],0)</f>
        <v>0</v>
      </c>
      <c r="S10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6" s="112">
        <f>IFERROR(BeverageCost[[#This Row],[$Wine]]/BeverageCost[[#This Row],[Wine]],0)</f>
        <v>0</v>
      </c>
      <c r="U10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6" s="112">
        <f>IFERROR(BeverageCost[[#This Row],[$Beer]]/BeverageCost[[#This Row],[Beer]],0)</f>
        <v>0</v>
      </c>
      <c r="W10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6" s="112">
        <f>IFERROR(BeverageCost[[#This Row],[$Other]]/BeverageCost[[#This Row],[Other]],0)</f>
        <v>0</v>
      </c>
      <c r="Y10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6" s="77">
        <f>IFERROR(BeverageCost[[#This Row],[$Total]]/BeverageCost[[#This Row],[Total]],0)</f>
        <v>0</v>
      </c>
      <c r="AA10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6" s="78">
        <f>IFERROR(BeverageCost[[#This Row],[$Total]]/$Q$5,0)</f>
        <v>0</v>
      </c>
      <c r="AC106" s="113" t="s">
        <v>231</v>
      </c>
    </row>
    <row r="107" spans="2:29" x14ac:dyDescent="0.25">
      <c r="B107" s="114">
        <v>122</v>
      </c>
      <c r="C107" s="154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55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55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08">
        <f>SUMIFS(MainData[ExtendedPrice],MainData[BillID],BeverageCost[[#This Row],[BillID]],MainData[Billable?],"Y",MainData[Category],"Beverage",MainData[Product],H$7)</f>
        <v>243.5</v>
      </c>
      <c r="I107" s="109">
        <f>SUMIFS(MainData[ExtendedPrice],MainData[BillID],BeverageCost[[#This Row],[BillID]],MainData[Billable?],"Y",MainData[Category],"Beverage",MainData[Product],I$7)</f>
        <v>64</v>
      </c>
      <c r="J107" s="109">
        <f>SUMIFS(MainData[ExtendedPrice],MainData[BillID],BeverageCost[[#This Row],[BillID]],MainData[Billable?],"Y",MainData[Category],"Beverage",MainData[Product],J$7)</f>
        <v>45</v>
      </c>
      <c r="K10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0">
        <f>SUMIFS(MainData[ExtendedCost],MainData[BillID],BeverageCost[[#This Row],[BillID]],MainData[Billable?],"Y",MainData[Category],"Beverage",MainData[Product],H$7)</f>
        <v>36.43</v>
      </c>
      <c r="N107" s="109">
        <f>SUMIFS(MainData[ExtendedCost],MainData[BillID],BeverageCost[[#This Row],[BillID]],MainData[Billable?],"Y",MainData[Category],"Beverage",MainData[Product],I$7)</f>
        <v>8</v>
      </c>
      <c r="O107" s="109">
        <f>SUMIFS(MainData[ExtendedCost],MainData[BillID],BeverageCost[[#This Row],[BillID]],MainData[Billable?],"Y",MainData[Category],"Beverage",MainData[Product],J$7)</f>
        <v>4.5</v>
      </c>
      <c r="P10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11">
        <f>IFERROR(BeverageCost[[#This Row],[$Liq]]/BeverageCost[[#This Row],[Liquor]],0)</f>
        <v>0.14960985626283368</v>
      </c>
      <c r="S10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7" s="112">
        <f>IFERROR(BeverageCost[[#This Row],[$Wine]]/BeverageCost[[#This Row],[Wine]],0)</f>
        <v>0.125</v>
      </c>
      <c r="U10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7" s="112">
        <f>IFERROR(BeverageCost[[#This Row],[$Beer]]/BeverageCost[[#This Row],[Beer]],0)</f>
        <v>0.1</v>
      </c>
      <c r="W10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7" s="112">
        <f>IFERROR(BeverageCost[[#This Row],[$Other]]/BeverageCost[[#This Row],[Other]],0)</f>
        <v>4.9999999999999996E-2</v>
      </c>
      <c r="Y10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7" s="77">
        <f>IFERROR(BeverageCost[[#This Row],[$Total]]/BeverageCost[[#This Row],[Total]],0)</f>
        <v>0.13588477366255144</v>
      </c>
      <c r="AA10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7" s="78">
        <f>IFERROR(BeverageCost[[#This Row],[$Total]]/$Q$5,0)</f>
        <v>8.6442581479506773E-4</v>
      </c>
      <c r="AC107" s="113" t="s">
        <v>39</v>
      </c>
    </row>
    <row r="108" spans="2:29" x14ac:dyDescent="0.25">
      <c r="B108" s="114">
        <v>94</v>
      </c>
      <c r="C108" s="154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55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55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08">
        <f>SUMIFS(MainData[ExtendedPrice],MainData[BillID],BeverageCost[[#This Row],[BillID]],MainData[Billable?],"Y",MainData[Category],"Beverage",MainData[Product],H$7)</f>
        <v>0</v>
      </c>
      <c r="I108" s="109">
        <f>SUMIFS(MainData[ExtendedPrice],MainData[BillID],BeverageCost[[#This Row],[BillID]],MainData[Billable?],"Y",MainData[Category],"Beverage",MainData[Product],I$7)</f>
        <v>0</v>
      </c>
      <c r="J108" s="109">
        <f>SUMIFS(MainData[ExtendedPrice],MainData[BillID],BeverageCost[[#This Row],[BillID]],MainData[Billable?],"Y",MainData[Category],"Beverage",MainData[Product],J$7)</f>
        <v>0</v>
      </c>
      <c r="K10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0">
        <f>SUMIFS(MainData[ExtendedCost],MainData[BillID],BeverageCost[[#This Row],[BillID]],MainData[Billable?],"Y",MainData[Category],"Beverage",MainData[Product],H$7)</f>
        <v>0</v>
      </c>
      <c r="N108" s="109">
        <f>SUMIFS(MainData[ExtendedCost],MainData[BillID],BeverageCost[[#This Row],[BillID]],MainData[Billable?],"Y",MainData[Category],"Beverage",MainData[Product],I$7)</f>
        <v>0</v>
      </c>
      <c r="O108" s="109">
        <f>SUMIFS(MainData[ExtendedCost],MainData[BillID],BeverageCost[[#This Row],[BillID]],MainData[Billable?],"Y",MainData[Category],"Beverage",MainData[Product],J$7)</f>
        <v>0</v>
      </c>
      <c r="P10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11">
        <f>IFERROR(BeverageCost[[#This Row],[$Liq]]/BeverageCost[[#This Row],[Liquor]],0)</f>
        <v>0</v>
      </c>
      <c r="S10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8" s="112">
        <f>IFERROR(BeverageCost[[#This Row],[$Wine]]/BeverageCost[[#This Row],[Wine]],0)</f>
        <v>0</v>
      </c>
      <c r="U10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8" s="112">
        <f>IFERROR(BeverageCost[[#This Row],[$Beer]]/BeverageCost[[#This Row],[Beer]],0)</f>
        <v>0</v>
      </c>
      <c r="W10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8" s="112">
        <f>IFERROR(BeverageCost[[#This Row],[$Other]]/BeverageCost[[#This Row],[Other]],0)</f>
        <v>0</v>
      </c>
      <c r="Y10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8" s="77">
        <f>IFERROR(BeverageCost[[#This Row],[$Total]]/BeverageCost[[#This Row],[Total]],0)</f>
        <v>0</v>
      </c>
      <c r="AA10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8" s="78">
        <f>IFERROR(BeverageCost[[#This Row],[$Total]]/$Q$5,0)</f>
        <v>0</v>
      </c>
      <c r="AC108" s="113" t="s">
        <v>231</v>
      </c>
    </row>
    <row r="109" spans="2:29" x14ac:dyDescent="0.25">
      <c r="B109" s="114">
        <v>123</v>
      </c>
      <c r="C109" s="154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55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55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08">
        <f>SUMIFS(MainData[ExtendedPrice],MainData[BillID],BeverageCost[[#This Row],[BillID]],MainData[Billable?],"Y",MainData[Category],"Beverage",MainData[Product],H$7)</f>
        <v>2195.0500000000002</v>
      </c>
      <c r="I109" s="109">
        <f>SUMIFS(MainData[ExtendedPrice],MainData[BillID],BeverageCost[[#This Row],[BillID]],MainData[Billable?],"Y",MainData[Category],"Beverage",MainData[Product],I$7)</f>
        <v>481.95</v>
      </c>
      <c r="J109" s="109">
        <f>SUMIFS(MainData[ExtendedPrice],MainData[BillID],BeverageCost[[#This Row],[BillID]],MainData[Billable?],"Y",MainData[Category],"Beverage",MainData[Product],J$7)</f>
        <v>369.47</v>
      </c>
      <c r="K10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0">
        <f>SUMIFS(MainData[ExtendedCost],MainData[BillID],BeverageCost[[#This Row],[BillID]],MainData[Billable?],"Y",MainData[Category],"Beverage",MainData[Product],H$7)</f>
        <v>286.75</v>
      </c>
      <c r="N109" s="109">
        <f>SUMIFS(MainData[ExtendedCost],MainData[BillID],BeverageCost[[#This Row],[BillID]],MainData[Billable?],"Y",MainData[Category],"Beverage",MainData[Product],I$7)</f>
        <v>49</v>
      </c>
      <c r="O109" s="109">
        <f>SUMIFS(MainData[ExtendedCost],MainData[BillID],BeverageCost[[#This Row],[BillID]],MainData[Billable?],"Y",MainData[Category],"Beverage",MainData[Product],J$7)</f>
        <v>38</v>
      </c>
      <c r="P10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11">
        <f>IFERROR(BeverageCost[[#This Row],[$Liq]]/BeverageCost[[#This Row],[Liquor]],0)</f>
        <v>0.13063483747522833</v>
      </c>
      <c r="S10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9" s="112">
        <f>IFERROR(BeverageCost[[#This Row],[$Wine]]/BeverageCost[[#This Row],[Wine]],0)</f>
        <v>0.10167029774872913</v>
      </c>
      <c r="U10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9" s="112">
        <f>IFERROR(BeverageCost[[#This Row],[$Beer]]/BeverageCost[[#This Row],[Beer]],0)</f>
        <v>0.10285002841908679</v>
      </c>
      <c r="W10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9" s="112">
        <f>IFERROR(BeverageCost[[#This Row],[$Other]]/BeverageCost[[#This Row],[Other]],0)</f>
        <v>4.9988638945694157E-2</v>
      </c>
      <c r="Y10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9" s="77">
        <f>IFERROR(BeverageCost[[#This Row],[$Total]]/BeverageCost[[#This Row],[Total]],0)</f>
        <v>0.11778590059145511</v>
      </c>
      <c r="AA10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9" s="78">
        <f>IFERROR(BeverageCost[[#This Row],[$Total]]/$Q$5,0)</f>
        <v>6.7148764837957264E-3</v>
      </c>
      <c r="AC109" s="113" t="s">
        <v>39</v>
      </c>
    </row>
    <row r="110" spans="2:29" x14ac:dyDescent="0.25">
      <c r="B110" s="114">
        <v>95</v>
      </c>
      <c r="C110" s="154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55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55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08">
        <f>SUMIFS(MainData[ExtendedPrice],MainData[BillID],BeverageCost[[#This Row],[BillID]],MainData[Billable?],"Y",MainData[Category],"Beverage",MainData[Product],H$7)</f>
        <v>0</v>
      </c>
      <c r="I110" s="109">
        <f>SUMIFS(MainData[ExtendedPrice],MainData[BillID],BeverageCost[[#This Row],[BillID]],MainData[Billable?],"Y",MainData[Category],"Beverage",MainData[Product],I$7)</f>
        <v>0</v>
      </c>
      <c r="J110" s="109">
        <f>SUMIFS(MainData[ExtendedPrice],MainData[BillID],BeverageCost[[#This Row],[BillID]],MainData[Billable?],"Y",MainData[Category],"Beverage",MainData[Product],J$7)</f>
        <v>0</v>
      </c>
      <c r="K11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0">
        <f>SUMIFS(MainData[ExtendedCost],MainData[BillID],BeverageCost[[#This Row],[BillID]],MainData[Billable?],"Y",MainData[Category],"Beverage",MainData[Product],H$7)</f>
        <v>0</v>
      </c>
      <c r="N110" s="109">
        <f>SUMIFS(MainData[ExtendedCost],MainData[BillID],BeverageCost[[#This Row],[BillID]],MainData[Billable?],"Y",MainData[Category],"Beverage",MainData[Product],I$7)</f>
        <v>0</v>
      </c>
      <c r="O110" s="109">
        <f>SUMIFS(MainData[ExtendedCost],MainData[BillID],BeverageCost[[#This Row],[BillID]],MainData[Billable?],"Y",MainData[Category],"Beverage",MainData[Product],J$7)</f>
        <v>0</v>
      </c>
      <c r="P11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11">
        <f>IFERROR(BeverageCost[[#This Row],[$Liq]]/BeverageCost[[#This Row],[Liquor]],0)</f>
        <v>0</v>
      </c>
      <c r="S11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0" s="112">
        <f>IFERROR(BeverageCost[[#This Row],[$Wine]]/BeverageCost[[#This Row],[Wine]],0)</f>
        <v>0</v>
      </c>
      <c r="U11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0" s="112">
        <f>IFERROR(BeverageCost[[#This Row],[$Beer]]/BeverageCost[[#This Row],[Beer]],0)</f>
        <v>0</v>
      </c>
      <c r="W11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0" s="112">
        <f>IFERROR(BeverageCost[[#This Row],[$Other]]/BeverageCost[[#This Row],[Other]],0)</f>
        <v>0</v>
      </c>
      <c r="Y11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0" s="77">
        <f>IFERROR(BeverageCost[[#This Row],[$Total]]/BeverageCost[[#This Row],[Total]],0)</f>
        <v>0</v>
      </c>
      <c r="AA11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0" s="78">
        <f>IFERROR(BeverageCost[[#This Row],[$Total]]/$Q$5,0)</f>
        <v>0</v>
      </c>
      <c r="AC110" s="113" t="s">
        <v>231</v>
      </c>
    </row>
    <row r="111" spans="2:29" x14ac:dyDescent="0.25">
      <c r="B111" s="114">
        <v>98</v>
      </c>
      <c r="C111" s="154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55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55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08">
        <f>SUMIFS(MainData[ExtendedPrice],MainData[BillID],BeverageCost[[#This Row],[BillID]],MainData[Billable?],"Y",MainData[Category],"Beverage",MainData[Product],H$7)</f>
        <v>2825.69</v>
      </c>
      <c r="I111" s="109">
        <f>SUMIFS(MainData[ExtendedPrice],MainData[BillID],BeverageCost[[#This Row],[BillID]],MainData[Billable?],"Y",MainData[Category],"Beverage",MainData[Product],I$7)</f>
        <v>455.6</v>
      </c>
      <c r="J111" s="109">
        <f>SUMIFS(MainData[ExtendedPrice],MainData[BillID],BeverageCost[[#This Row],[BillID]],MainData[Billable?],"Y",MainData[Category],"Beverage",MainData[Product],J$7)</f>
        <v>129.5</v>
      </c>
      <c r="K11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0">
        <f>SUMIFS(MainData[ExtendedCost],MainData[BillID],BeverageCost[[#This Row],[BillID]],MainData[Billable?],"Y",MainData[Category],"Beverage",MainData[Product],H$7)</f>
        <v>428.18</v>
      </c>
      <c r="N111" s="109">
        <f>SUMIFS(MainData[ExtendedCost],MainData[BillID],BeverageCost[[#This Row],[BillID]],MainData[Billable?],"Y",MainData[Category],"Beverage",MainData[Product],I$7)</f>
        <v>46</v>
      </c>
      <c r="O111" s="109">
        <f>SUMIFS(MainData[ExtendedCost],MainData[BillID],BeverageCost[[#This Row],[BillID]],MainData[Billable?],"Y",MainData[Category],"Beverage",MainData[Product],J$7)</f>
        <v>13</v>
      </c>
      <c r="P11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11">
        <f>IFERROR(BeverageCost[[#This Row],[$Liq]]/BeverageCost[[#This Row],[Liquor]],0)</f>
        <v>0.15153113044955391</v>
      </c>
      <c r="S11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1" s="112">
        <f>IFERROR(BeverageCost[[#This Row],[$Wine]]/BeverageCost[[#This Row],[Wine]],0)</f>
        <v>0.1009657594381036</v>
      </c>
      <c r="U11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1" s="112">
        <f>IFERROR(BeverageCost[[#This Row],[$Beer]]/BeverageCost[[#This Row],[Beer]],0)</f>
        <v>0.10038610038610038</v>
      </c>
      <c r="W11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1" s="112">
        <f>IFERROR(BeverageCost[[#This Row],[$Other]]/BeverageCost[[#This Row],[Other]],0)</f>
        <v>5.1425632820981663E-2</v>
      </c>
      <c r="Y11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1" s="77">
        <f>IFERROR(BeverageCost[[#This Row],[$Total]]/BeverageCost[[#This Row],[Total]],0)</f>
        <v>0.13432744541734362</v>
      </c>
      <c r="AA11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1" s="78">
        <f>IFERROR(BeverageCost[[#This Row],[$Total]]/$Q$5,0)</f>
        <v>8.8166895440777784E-3</v>
      </c>
      <c r="AC111" s="113" t="s">
        <v>39</v>
      </c>
    </row>
    <row r="112" spans="2:29" x14ac:dyDescent="0.25">
      <c r="B112" s="114">
        <v>97</v>
      </c>
      <c r="C112" s="154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55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55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08">
        <f>SUMIFS(MainData[ExtendedPrice],MainData[BillID],BeverageCost[[#This Row],[BillID]],MainData[Billable?],"Y",MainData[Category],"Beverage",MainData[Product],H$7)</f>
        <v>0</v>
      </c>
      <c r="I112" s="109">
        <f>SUMIFS(MainData[ExtendedPrice],MainData[BillID],BeverageCost[[#This Row],[BillID]],MainData[Billable?],"Y",MainData[Category],"Beverage",MainData[Product],I$7)</f>
        <v>72</v>
      </c>
      <c r="J112" s="109">
        <f>SUMIFS(MainData[ExtendedPrice],MainData[BillID],BeverageCost[[#This Row],[BillID]],MainData[Billable?],"Y",MainData[Category],"Beverage",MainData[Product],J$7)</f>
        <v>0</v>
      </c>
      <c r="K11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2" s="3">
        <f>SUM(BeverageCost[[#This Row],[Liquor]:[Other]])</f>
        <v>72</v>
      </c>
      <c r="M112" s="110">
        <f>SUMIFS(MainData[ExtendedCost],MainData[BillID],BeverageCost[[#This Row],[BillID]],MainData[Billable?],"Y",MainData[Category],"Beverage",MainData[Product],H$7)</f>
        <v>0</v>
      </c>
      <c r="N112" s="109">
        <f>SUMIFS(MainData[ExtendedCost],MainData[BillID],BeverageCost[[#This Row],[BillID]],MainData[Billable?],"Y",MainData[Category],"Beverage",MainData[Product],I$7)</f>
        <v>0.01</v>
      </c>
      <c r="O112" s="109">
        <f>SUMIFS(MainData[ExtendedCost],MainData[BillID],BeverageCost[[#This Row],[BillID]],MainData[Billable?],"Y",MainData[Category],"Beverage",MainData[Product],J$7)</f>
        <v>0</v>
      </c>
      <c r="P11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2" s="3">
        <f>SUM(BeverageCost[[#This Row],[$Liq]:[$Other]])</f>
        <v>0.01</v>
      </c>
      <c r="R112" s="111">
        <f>IFERROR(BeverageCost[[#This Row],[$Liq]]/BeverageCost[[#This Row],[Liquor]],0)</f>
        <v>0</v>
      </c>
      <c r="S11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2" s="112">
        <f>IFERROR(BeverageCost[[#This Row],[$Wine]]/BeverageCost[[#This Row],[Wine]],0)</f>
        <v>1.3888888888888889E-4</v>
      </c>
      <c r="U11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2" s="112">
        <f>IFERROR(BeverageCost[[#This Row],[$Beer]]/BeverageCost[[#This Row],[Beer]],0)</f>
        <v>0</v>
      </c>
      <c r="W11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2" s="112">
        <f>IFERROR(BeverageCost[[#This Row],[$Other]]/BeverageCost[[#This Row],[Other]],0)</f>
        <v>0</v>
      </c>
      <c r="Y11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2" s="77">
        <f>IFERROR(BeverageCost[[#This Row],[$Total]]/BeverageCost[[#This Row],[Total]],0)</f>
        <v>1.3888888888888889E-4</v>
      </c>
      <c r="AA11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2" s="78">
        <f>IFERROR(BeverageCost[[#This Row],[$Total]]/$Q$5,0)</f>
        <v>1.7452570458208517E-7</v>
      </c>
      <c r="AC112" s="113" t="s">
        <v>231</v>
      </c>
    </row>
    <row r="113" spans="2:29" x14ac:dyDescent="0.25">
      <c r="B113" s="114">
        <v>124</v>
      </c>
      <c r="C113" s="154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55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55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08">
        <f>SUMIFS(MainData[ExtendedPrice],MainData[BillID],BeverageCost[[#This Row],[BillID]],MainData[Billable?],"Y",MainData[Category],"Beverage",MainData[Product],H$7)</f>
        <v>249.16</v>
      </c>
      <c r="I113" s="109">
        <f>SUMIFS(MainData[ExtendedPrice],MainData[BillID],BeverageCost[[#This Row],[BillID]],MainData[Billable?],"Y",MainData[Category],"Beverage",MainData[Product],I$7)</f>
        <v>87.29</v>
      </c>
      <c r="J113" s="109">
        <f>SUMIFS(MainData[ExtendedPrice],MainData[BillID],BeverageCost[[#This Row],[BillID]],MainData[Billable?],"Y",MainData[Category],"Beverage",MainData[Product],J$7)</f>
        <v>35.840000000000003</v>
      </c>
      <c r="K11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0">
        <f>SUMIFS(MainData[ExtendedCost],MainData[BillID],BeverageCost[[#This Row],[BillID]],MainData[Billable?],"Y",MainData[Category],"Beverage",MainData[Product],H$7)</f>
        <v>35.72</v>
      </c>
      <c r="N113" s="109">
        <f>SUMIFS(MainData[ExtendedCost],MainData[BillID],BeverageCost[[#This Row],[BillID]],MainData[Billable?],"Y",MainData[Category],"Beverage",MainData[Product],I$7)</f>
        <v>8.6999999999999993</v>
      </c>
      <c r="O113" s="109">
        <f>SUMIFS(MainData[ExtendedCost],MainData[BillID],BeverageCost[[#This Row],[BillID]],MainData[Billable?],"Y",MainData[Category],"Beverage",MainData[Product],J$7)</f>
        <v>3.6</v>
      </c>
      <c r="P11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11">
        <f>IFERROR(BeverageCost[[#This Row],[$Liq]]/BeverageCost[[#This Row],[Liquor]],0)</f>
        <v>0.14336169529619522</v>
      </c>
      <c r="S11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3" s="112">
        <f>IFERROR(BeverageCost[[#This Row],[$Wine]]/BeverageCost[[#This Row],[Wine]],0)</f>
        <v>9.9667774086378724E-2</v>
      </c>
      <c r="U11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3" s="112">
        <f>IFERROR(BeverageCost[[#This Row],[$Beer]]/BeverageCost[[#This Row],[Beer]],0)</f>
        <v>0.10044642857142856</v>
      </c>
      <c r="W11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3" s="112">
        <f>IFERROR(BeverageCost[[#This Row],[$Other]]/BeverageCost[[#This Row],[Other]],0)</f>
        <v>4.9193231011412826E-2</v>
      </c>
      <c r="Y11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3" s="77">
        <f>IFERROR(BeverageCost[[#This Row],[$Total]]/BeverageCost[[#This Row],[Total]],0)</f>
        <v>0.11187306142257297</v>
      </c>
      <c r="AA11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3" s="78">
        <f>IFERROR(BeverageCost[[#This Row],[$Total]]/$Q$5,0)</f>
        <v>9.2533528569421558E-4</v>
      </c>
      <c r="AC113" s="113" t="s">
        <v>39</v>
      </c>
    </row>
    <row r="114" spans="2:29" x14ac:dyDescent="0.25">
      <c r="B114" s="114">
        <v>99</v>
      </c>
      <c r="C114" s="154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55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55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08">
        <f>SUMIFS(MainData[ExtendedPrice],MainData[BillID],BeverageCost[[#This Row],[BillID]],MainData[Billable?],"Y",MainData[Category],"Beverage",MainData[Product],H$7)</f>
        <v>0</v>
      </c>
      <c r="I114" s="109">
        <f>SUMIFS(MainData[ExtendedPrice],MainData[BillID],BeverageCost[[#This Row],[BillID]],MainData[Billable?],"Y",MainData[Category],"Beverage",MainData[Product],I$7)</f>
        <v>0</v>
      </c>
      <c r="J114" s="109">
        <f>SUMIFS(MainData[ExtendedPrice],MainData[BillID],BeverageCost[[#This Row],[BillID]],MainData[Billable?],"Y",MainData[Category],"Beverage",MainData[Product],J$7)</f>
        <v>0</v>
      </c>
      <c r="K11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0">
        <f>SUMIFS(MainData[ExtendedCost],MainData[BillID],BeverageCost[[#This Row],[BillID]],MainData[Billable?],"Y",MainData[Category],"Beverage",MainData[Product],H$7)</f>
        <v>0</v>
      </c>
      <c r="N114" s="109">
        <f>SUMIFS(MainData[ExtendedCost],MainData[BillID],BeverageCost[[#This Row],[BillID]],MainData[Billable?],"Y",MainData[Category],"Beverage",MainData[Product],I$7)</f>
        <v>0</v>
      </c>
      <c r="O114" s="109">
        <f>SUMIFS(MainData[ExtendedCost],MainData[BillID],BeverageCost[[#This Row],[BillID]],MainData[Billable?],"Y",MainData[Category],"Beverage",MainData[Product],J$7)</f>
        <v>0</v>
      </c>
      <c r="P11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11">
        <f>IFERROR(BeverageCost[[#This Row],[$Liq]]/BeverageCost[[#This Row],[Liquor]],0)</f>
        <v>0</v>
      </c>
      <c r="S11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4" s="112">
        <f>IFERROR(BeverageCost[[#This Row],[$Wine]]/BeverageCost[[#This Row],[Wine]],0)</f>
        <v>0</v>
      </c>
      <c r="U11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4" s="112">
        <f>IFERROR(BeverageCost[[#This Row],[$Beer]]/BeverageCost[[#This Row],[Beer]],0)</f>
        <v>0</v>
      </c>
      <c r="W11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4" s="112">
        <f>IFERROR(BeverageCost[[#This Row],[$Other]]/BeverageCost[[#This Row],[Other]],0)</f>
        <v>0</v>
      </c>
      <c r="Y11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4" s="77">
        <f>IFERROR(BeverageCost[[#This Row],[$Total]]/BeverageCost[[#This Row],[Total]],0)</f>
        <v>0</v>
      </c>
      <c r="AA11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4" s="78">
        <f>IFERROR(BeverageCost[[#This Row],[$Total]]/$Q$5,0)</f>
        <v>0</v>
      </c>
      <c r="AC114" s="113" t="s">
        <v>231</v>
      </c>
    </row>
    <row r="115" spans="2:29" x14ac:dyDescent="0.25">
      <c r="B115" s="114">
        <v>100</v>
      </c>
      <c r="C115" s="154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55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55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08">
        <f>SUMIFS(MainData[ExtendedPrice],MainData[BillID],BeverageCost[[#This Row],[BillID]],MainData[Billable?],"Y",MainData[Category],"Beverage",MainData[Product],H$7)</f>
        <v>225</v>
      </c>
      <c r="I115" s="109">
        <f>SUMIFS(MainData[ExtendedPrice],MainData[BillID],BeverageCost[[#This Row],[BillID]],MainData[Billable?],"Y",MainData[Category],"Beverage",MainData[Product],I$7)</f>
        <v>30</v>
      </c>
      <c r="J115" s="109">
        <f>SUMIFS(MainData[ExtendedPrice],MainData[BillID],BeverageCost[[#This Row],[BillID]],MainData[Billable?],"Y",MainData[Category],"Beverage",MainData[Product],J$7)</f>
        <v>70</v>
      </c>
      <c r="K11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0">
        <f>SUMIFS(MainData[ExtendedCost],MainData[BillID],BeverageCost[[#This Row],[BillID]],MainData[Billable?],"Y",MainData[Category],"Beverage",MainData[Product],H$7)</f>
        <v>18.149999999999999</v>
      </c>
      <c r="N115" s="109">
        <f>SUMIFS(MainData[ExtendedCost],MainData[BillID],BeverageCost[[#This Row],[BillID]],MainData[Billable?],"Y",MainData[Category],"Beverage",MainData[Product],I$7)</f>
        <v>3</v>
      </c>
      <c r="O115" s="109">
        <f>SUMIFS(MainData[ExtendedCost],MainData[BillID],BeverageCost[[#This Row],[BillID]],MainData[Billable?],"Y",MainData[Category],"Beverage",MainData[Product],J$7)</f>
        <v>7</v>
      </c>
      <c r="P11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11">
        <f>IFERROR(BeverageCost[[#This Row],[$Liq]]/BeverageCost[[#This Row],[Liquor]],0)</f>
        <v>8.0666666666666664E-2</v>
      </c>
      <c r="S11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5" s="112">
        <f>IFERROR(BeverageCost[[#This Row],[$Wine]]/BeverageCost[[#This Row],[Wine]],0)</f>
        <v>0.1</v>
      </c>
      <c r="U11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5" s="112">
        <f>IFERROR(BeverageCost[[#This Row],[$Beer]]/BeverageCost[[#This Row],[Beer]],0)</f>
        <v>0.1</v>
      </c>
      <c r="W11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5" s="112">
        <f>IFERROR(BeverageCost[[#This Row],[$Other]]/BeverageCost[[#This Row],[Other]],0)</f>
        <v>0.05</v>
      </c>
      <c r="Y11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5" s="77">
        <f>IFERROR(BeverageCost[[#This Row],[$Total]]/BeverageCost[[#This Row],[Total]],0)</f>
        <v>8.4999999999999992E-2</v>
      </c>
      <c r="AA11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5" s="78">
        <f>IFERROR(BeverageCost[[#This Row],[$Total]]/$Q$5,0)</f>
        <v>5.0437928624222611E-4</v>
      </c>
      <c r="AC115" s="113"/>
    </row>
    <row r="116" spans="2:29" x14ac:dyDescent="0.25">
      <c r="B116" s="114">
        <v>96</v>
      </c>
      <c r="C116" s="154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55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55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08">
        <f>SUMIFS(MainData[ExtendedPrice],MainData[BillID],BeverageCost[[#This Row],[BillID]],MainData[Billable?],"Y",MainData[Category],"Beverage",MainData[Product],H$7)</f>
        <v>0</v>
      </c>
      <c r="I116" s="109">
        <f>SUMIFS(MainData[ExtendedPrice],MainData[BillID],BeverageCost[[#This Row],[BillID]],MainData[Billable?],"Y",MainData[Category],"Beverage",MainData[Product],I$7)</f>
        <v>441</v>
      </c>
      <c r="J116" s="109">
        <f>SUMIFS(MainData[ExtendedPrice],MainData[BillID],BeverageCost[[#This Row],[BillID]],MainData[Billable?],"Y",MainData[Category],"Beverage",MainData[Product],J$7)</f>
        <v>210</v>
      </c>
      <c r="K11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0">
        <f>SUMIFS(MainData[ExtendedCost],MainData[BillID],BeverageCost[[#This Row],[BillID]],MainData[Billable?],"Y",MainData[Category],"Beverage",MainData[Product],H$7)</f>
        <v>0</v>
      </c>
      <c r="N116" s="109">
        <f>SUMIFS(MainData[ExtendedCost],MainData[BillID],BeverageCost[[#This Row],[BillID]],MainData[Billable?],"Y",MainData[Category],"Beverage",MainData[Product],I$7)</f>
        <v>126.99</v>
      </c>
      <c r="O116" s="109">
        <f>SUMIFS(MainData[ExtendedCost],MainData[BillID],BeverageCost[[#This Row],[BillID]],MainData[Billable?],"Y",MainData[Category],"Beverage",MainData[Product],J$7)</f>
        <v>21</v>
      </c>
      <c r="P11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11">
        <f>IFERROR(BeverageCost[[#This Row],[$Liq]]/BeverageCost[[#This Row],[Liquor]],0)</f>
        <v>0</v>
      </c>
      <c r="S11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6" s="112">
        <f>IFERROR(BeverageCost[[#This Row],[$Wine]]/BeverageCost[[#This Row],[Wine]],0)</f>
        <v>0.2879591836734694</v>
      </c>
      <c r="U11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6" s="112">
        <f>IFERROR(BeverageCost[[#This Row],[$Beer]]/BeverageCost[[#This Row],[Beer]],0)</f>
        <v>0.1</v>
      </c>
      <c r="W11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6" s="112">
        <f>IFERROR(BeverageCost[[#This Row],[$Other]]/BeverageCost[[#This Row],[Other]],0)</f>
        <v>0.05</v>
      </c>
      <c r="Y11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6" s="77">
        <f>IFERROR(BeverageCost[[#This Row],[$Total]]/BeverageCost[[#This Row],[Total]],0)</f>
        <v>0.21122905027932962</v>
      </c>
      <c r="AA11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6" s="78">
        <f>IFERROR(BeverageCost[[#This Row],[$Total]]/$Q$5,0)</f>
        <v>2.6395267560994562E-3</v>
      </c>
      <c r="AC116" s="113" t="s">
        <v>8</v>
      </c>
    </row>
    <row r="117" spans="2:29" x14ac:dyDescent="0.25">
      <c r="B117" s="114">
        <v>125</v>
      </c>
      <c r="C117" s="154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55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55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08">
        <f>SUMIFS(MainData[ExtendedPrice],MainData[BillID],BeverageCost[[#This Row],[BillID]],MainData[Billable?],"Y",MainData[Category],"Beverage",MainData[Product],H$7)</f>
        <v>361.82</v>
      </c>
      <c r="I117" s="109">
        <f>SUMIFS(MainData[ExtendedPrice],MainData[BillID],BeverageCost[[#This Row],[BillID]],MainData[Billable?],"Y",MainData[Category],"Beverage",MainData[Product],I$7)</f>
        <v>41.89</v>
      </c>
      <c r="J117" s="109">
        <f>SUMIFS(MainData[ExtendedPrice],MainData[BillID],BeverageCost[[#This Row],[BillID]],MainData[Billable?],"Y",MainData[Category],"Beverage",MainData[Product],J$7)</f>
        <v>29.58</v>
      </c>
      <c r="K11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0">
        <f>SUMIFS(MainData[ExtendedCost],MainData[BillID],BeverageCost[[#This Row],[BillID]],MainData[Billable?],"Y",MainData[Category],"Beverage",MainData[Product],H$7)</f>
        <v>46.44</v>
      </c>
      <c r="N117" s="109">
        <f>SUMIFS(MainData[ExtendedCost],MainData[BillID],BeverageCost[[#This Row],[BillID]],MainData[Billable?],"Y",MainData[Category],"Beverage",MainData[Product],I$7)</f>
        <v>4.2</v>
      </c>
      <c r="O117" s="109">
        <f>SUMIFS(MainData[ExtendedCost],MainData[BillID],BeverageCost[[#This Row],[BillID]],MainData[Billable?],"Y",MainData[Category],"Beverage",MainData[Product],J$7)</f>
        <v>3</v>
      </c>
      <c r="P11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11">
        <f>IFERROR(BeverageCost[[#This Row],[$Liq]]/BeverageCost[[#This Row],[Liquor]],0)</f>
        <v>0.12835111381349842</v>
      </c>
      <c r="S11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7" s="112">
        <f>IFERROR(BeverageCost[[#This Row],[$Wine]]/BeverageCost[[#This Row],[Wine]],0)</f>
        <v>0.10026259250417761</v>
      </c>
      <c r="U11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7" s="112">
        <f>IFERROR(BeverageCost[[#This Row],[$Beer]]/BeverageCost[[#This Row],[Beer]],0)</f>
        <v>0.10141987829614606</v>
      </c>
      <c r="W11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7" s="112">
        <f>IFERROR(BeverageCost[[#This Row],[$Other]]/BeverageCost[[#This Row],[Other]],0)</f>
        <v>4.9976573481180696E-2</v>
      </c>
      <c r="Y11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7" s="77">
        <f>IFERROR(BeverageCost[[#This Row],[$Total]]/BeverageCost[[#This Row],[Total]],0)</f>
        <v>0.11429260838092176</v>
      </c>
      <c r="AA11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7" s="78">
        <f>IFERROR(BeverageCost[[#This Row],[$Total]]/$Q$5,0)</f>
        <v>9.9200410484457215E-4</v>
      </c>
      <c r="AC117" s="113" t="s">
        <v>39</v>
      </c>
    </row>
    <row r="118" spans="2:29" x14ac:dyDescent="0.25">
      <c r="B118" s="114">
        <v>104</v>
      </c>
      <c r="C118" s="154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55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55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62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08">
        <f>SUMIFS(MainData[ExtendedPrice],MainData[BillID],BeverageCost[[#This Row],[BillID]],MainData[Billable?],"Y",MainData[Category],"Beverage",MainData[Product],H$7)</f>
        <v>0</v>
      </c>
      <c r="I118" s="109">
        <f>SUMIFS(MainData[ExtendedPrice],MainData[BillID],BeverageCost[[#This Row],[BillID]],MainData[Billable?],"Y",MainData[Category],"Beverage",MainData[Product],I$7)</f>
        <v>0</v>
      </c>
      <c r="J118" s="109">
        <f>SUMIFS(MainData[ExtendedPrice],MainData[BillID],BeverageCost[[#This Row],[BillID]],MainData[Billable?],"Y",MainData[Category],"Beverage",MainData[Product],J$7)</f>
        <v>0</v>
      </c>
      <c r="K11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0">
        <f>SUM(BeverageCost[[#This Row],[Liquor]:[Other]])</f>
        <v>0</v>
      </c>
      <c r="M118" s="110">
        <f>SUMIFS(MainData[ExtendedCost],MainData[BillID],BeverageCost[[#This Row],[BillID]],MainData[Billable?],"Y",MainData[Category],"Beverage",MainData[Product],H$7)</f>
        <v>0</v>
      </c>
      <c r="N118" s="109">
        <f>SUMIFS(MainData[ExtendedCost],MainData[BillID],BeverageCost[[#This Row],[BillID]],MainData[Billable?],"Y",MainData[Category],"Beverage",MainData[Product],I$7)</f>
        <v>0</v>
      </c>
      <c r="O118" s="109">
        <f>SUMIFS(MainData[ExtendedCost],MainData[BillID],BeverageCost[[#This Row],[BillID]],MainData[Billable?],"Y",MainData[Category],"Beverage",MainData[Product],J$7)</f>
        <v>0</v>
      </c>
      <c r="P11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61">
        <f>SUM(BeverageCost[[#This Row],[$Liq]:[$Other]])</f>
        <v>0</v>
      </c>
      <c r="R118" s="111">
        <f>IFERROR(BeverageCost[[#This Row],[$Liq]]/BeverageCost[[#This Row],[Liquor]],0)</f>
        <v>0</v>
      </c>
      <c r="S11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8" s="112">
        <f>IFERROR(BeverageCost[[#This Row],[$Wine]]/BeverageCost[[#This Row],[Wine]],0)</f>
        <v>0</v>
      </c>
      <c r="U11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8" s="112">
        <f>IFERROR(BeverageCost[[#This Row],[$Beer]]/BeverageCost[[#This Row],[Beer]],0)</f>
        <v>0</v>
      </c>
      <c r="W11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8" s="112">
        <f>IFERROR(BeverageCost[[#This Row],[$Other]]/BeverageCost[[#This Row],[Other]],0)</f>
        <v>0</v>
      </c>
      <c r="Y11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8" s="77">
        <f>IFERROR(BeverageCost[[#This Row],[$Total]]/BeverageCost[[#This Row],[Total]],0)</f>
        <v>0</v>
      </c>
      <c r="AA11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8" s="77">
        <f>IFERROR(BeverageCost[[#This Row],[$Total]]/$Q$5,0)</f>
        <v>0</v>
      </c>
      <c r="AC118" s="113" t="s">
        <v>231</v>
      </c>
    </row>
    <row r="119" spans="2:29" x14ac:dyDescent="0.25">
      <c r="B119" s="114">
        <v>126</v>
      </c>
      <c r="C119" s="154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55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55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62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08">
        <f>SUMIFS(MainData[ExtendedPrice],MainData[BillID],BeverageCost[[#This Row],[BillID]],MainData[Billable?],"Y",MainData[Category],"Beverage",MainData[Product],H$7)</f>
        <v>213.42</v>
      </c>
      <c r="I119" s="109">
        <f>SUMIFS(MainData[ExtendedPrice],MainData[BillID],BeverageCost[[#This Row],[BillID]],MainData[Billable?],"Y",MainData[Category],"Beverage",MainData[Product],I$7)</f>
        <v>40.229999999999997</v>
      </c>
      <c r="J119" s="109">
        <f>SUMIFS(MainData[ExtendedPrice],MainData[BillID],BeverageCost[[#This Row],[BillID]],MainData[Billable?],"Y",MainData[Category],"Beverage",MainData[Product],J$7)</f>
        <v>39.479999999999997</v>
      </c>
      <c r="K11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0">
        <f>SUM(BeverageCost[[#This Row],[Liquor]:[Other]])</f>
        <v>306.7</v>
      </c>
      <c r="M119" s="110">
        <f>SUMIFS(MainData[ExtendedCost],MainData[BillID],BeverageCost[[#This Row],[BillID]],MainData[Billable?],"Y",MainData[Category],"Beverage",MainData[Product],H$7)</f>
        <v>42.63</v>
      </c>
      <c r="N119" s="109">
        <f>SUMIFS(MainData[ExtendedCost],MainData[BillID],BeverageCost[[#This Row],[BillID]],MainData[Billable?],"Y",MainData[Category],"Beverage",MainData[Product],I$7)</f>
        <v>4</v>
      </c>
      <c r="O119" s="109">
        <f>SUMIFS(MainData[ExtendedCost],MainData[BillID],BeverageCost[[#This Row],[BillID]],MainData[Billable?],"Y",MainData[Category],"Beverage",MainData[Product],J$7)</f>
        <v>4</v>
      </c>
      <c r="P11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61">
        <f>SUM(BeverageCost[[#This Row],[$Liq]:[$Other]])</f>
        <v>51.330000000000005</v>
      </c>
      <c r="R119" s="111">
        <f>IFERROR(BeverageCost[[#This Row],[$Liq]]/BeverageCost[[#This Row],[Liquor]],0)</f>
        <v>0.19974697779027273</v>
      </c>
      <c r="S11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9" s="112">
        <f>IFERROR(BeverageCost[[#This Row],[$Wine]]/BeverageCost[[#This Row],[Wine]],0)</f>
        <v>9.9428287347750444E-2</v>
      </c>
      <c r="U11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9" s="112">
        <f>IFERROR(BeverageCost[[#This Row],[$Beer]]/BeverageCost[[#This Row],[Beer]],0)</f>
        <v>0.10131712259371835</v>
      </c>
      <c r="W11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9" s="112">
        <f>IFERROR(BeverageCost[[#This Row],[$Other]]/BeverageCost[[#This Row],[Other]],0)</f>
        <v>5.1584377302873984E-2</v>
      </c>
      <c r="Y11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9" s="77">
        <f>IFERROR(BeverageCost[[#This Row],[$Total]]/BeverageCost[[#This Row],[Total]],0)</f>
        <v>0.16736224323443105</v>
      </c>
      <c r="AA11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9" s="77">
        <f>IFERROR(BeverageCost[[#This Row],[$Total]]/$Q$5,0)</f>
        <v>8.9584044161984319E-4</v>
      </c>
      <c r="AC119" s="113" t="s">
        <v>39</v>
      </c>
    </row>
    <row r="120" spans="2:29" x14ac:dyDescent="0.25">
      <c r="B120" s="114">
        <v>105</v>
      </c>
      <c r="C120" s="154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55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55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62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08">
        <f>SUMIFS(MainData[ExtendedPrice],MainData[BillID],BeverageCost[[#This Row],[BillID]],MainData[Billable?],"Y",MainData[Category],"Beverage",MainData[Product],H$7)</f>
        <v>0</v>
      </c>
      <c r="I120" s="109">
        <f>SUMIFS(MainData[ExtendedPrice],MainData[BillID],BeverageCost[[#This Row],[BillID]],MainData[Billable?],"Y",MainData[Category],"Beverage",MainData[Product],I$7)</f>
        <v>0</v>
      </c>
      <c r="J120" s="109">
        <f>SUMIFS(MainData[ExtendedPrice],MainData[BillID],BeverageCost[[#This Row],[BillID]],MainData[Billable?],"Y",MainData[Category],"Beverage",MainData[Product],J$7)</f>
        <v>0</v>
      </c>
      <c r="K12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0">
        <f>SUM(BeverageCost[[#This Row],[Liquor]:[Other]])</f>
        <v>0</v>
      </c>
      <c r="M120" s="110">
        <f>SUMIFS(MainData[ExtendedCost],MainData[BillID],BeverageCost[[#This Row],[BillID]],MainData[Billable?],"Y",MainData[Category],"Beverage",MainData[Product],H$7)</f>
        <v>0</v>
      </c>
      <c r="N120" s="109">
        <f>SUMIFS(MainData[ExtendedCost],MainData[BillID],BeverageCost[[#This Row],[BillID]],MainData[Billable?],"Y",MainData[Category],"Beverage",MainData[Product],I$7)</f>
        <v>0</v>
      </c>
      <c r="O120" s="109">
        <f>SUMIFS(MainData[ExtendedCost],MainData[BillID],BeverageCost[[#This Row],[BillID]],MainData[Billable?],"Y",MainData[Category],"Beverage",MainData[Product],J$7)</f>
        <v>0</v>
      </c>
      <c r="P12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61">
        <f>SUM(BeverageCost[[#This Row],[$Liq]:[$Other]])</f>
        <v>0</v>
      </c>
      <c r="R120" s="111">
        <f>IFERROR(BeverageCost[[#This Row],[$Liq]]/BeverageCost[[#This Row],[Liquor]],0)</f>
        <v>0</v>
      </c>
      <c r="S12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0" s="112">
        <f>IFERROR(BeverageCost[[#This Row],[$Wine]]/BeverageCost[[#This Row],[Wine]],0)</f>
        <v>0</v>
      </c>
      <c r="U12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0" s="112">
        <f>IFERROR(BeverageCost[[#This Row],[$Beer]]/BeverageCost[[#This Row],[Beer]],0)</f>
        <v>0</v>
      </c>
      <c r="W12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0" s="112">
        <f>IFERROR(BeverageCost[[#This Row],[$Other]]/BeverageCost[[#This Row],[Other]],0)</f>
        <v>0</v>
      </c>
      <c r="Y12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0" s="77">
        <f>IFERROR(BeverageCost[[#This Row],[$Total]]/BeverageCost[[#This Row],[Total]],0)</f>
        <v>0</v>
      </c>
      <c r="AA12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0" s="77">
        <f>IFERROR(BeverageCost[[#This Row],[$Total]]/$Q$5,0)</f>
        <v>0</v>
      </c>
      <c r="AC120" s="113" t="s">
        <v>231</v>
      </c>
    </row>
    <row r="121" spans="2:29" x14ac:dyDescent="0.25">
      <c r="B121" s="114">
        <v>101</v>
      </c>
      <c r="C121" s="154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55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55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62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08">
        <f>SUMIFS(MainData[ExtendedPrice],MainData[BillID],BeverageCost[[#This Row],[BillID]],MainData[Billable?],"Y",MainData[Category],"Beverage",MainData[Product],H$7)</f>
        <v>0</v>
      </c>
      <c r="I121" s="109">
        <f>SUMIFS(MainData[ExtendedPrice],MainData[BillID],BeverageCost[[#This Row],[BillID]],MainData[Billable?],"Y",MainData[Category],"Beverage",MainData[Product],I$7)</f>
        <v>405</v>
      </c>
      <c r="J121" s="109">
        <f>SUMIFS(MainData[ExtendedPrice],MainData[BillID],BeverageCost[[#This Row],[BillID]],MainData[Billable?],"Y",MainData[Category],"Beverage",MainData[Product],J$7)</f>
        <v>0</v>
      </c>
      <c r="K12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0">
        <f>SUM(BeverageCost[[#This Row],[Liquor]:[Other]])</f>
        <v>405</v>
      </c>
      <c r="M121" s="110">
        <f>SUMIFS(MainData[ExtendedCost],MainData[BillID],BeverageCost[[#This Row],[BillID]],MainData[Billable?],"Y",MainData[Category],"Beverage",MainData[Product],H$7)</f>
        <v>0</v>
      </c>
      <c r="N121" s="109">
        <f>SUMIFS(MainData[ExtendedCost],MainData[BillID],BeverageCost[[#This Row],[BillID]],MainData[Billable?],"Y",MainData[Category],"Beverage",MainData[Product],I$7)</f>
        <v>91.72</v>
      </c>
      <c r="O121" s="109">
        <f>SUMIFS(MainData[ExtendedCost],MainData[BillID],BeverageCost[[#This Row],[BillID]],MainData[Billable?],"Y",MainData[Category],"Beverage",MainData[Product],J$7)</f>
        <v>0</v>
      </c>
      <c r="P12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61">
        <f>SUM(BeverageCost[[#This Row],[$Liq]:[$Other]])</f>
        <v>91.72</v>
      </c>
      <c r="R121" s="111">
        <f>IFERROR(BeverageCost[[#This Row],[$Liq]]/BeverageCost[[#This Row],[Liquor]],0)</f>
        <v>0</v>
      </c>
      <c r="S12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1" s="112">
        <f>IFERROR(BeverageCost[[#This Row],[$Wine]]/BeverageCost[[#This Row],[Wine]],0)</f>
        <v>0.22646913580246913</v>
      </c>
      <c r="U12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1" s="112">
        <f>IFERROR(BeverageCost[[#This Row],[$Beer]]/BeverageCost[[#This Row],[Beer]],0)</f>
        <v>0</v>
      </c>
      <c r="W12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1" s="112">
        <f>IFERROR(BeverageCost[[#This Row],[$Other]]/BeverageCost[[#This Row],[Other]],0)</f>
        <v>0</v>
      </c>
      <c r="Y12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1" s="77">
        <f>IFERROR(BeverageCost[[#This Row],[$Total]]/BeverageCost[[#This Row],[Total]],0)</f>
        <v>0.22646913580246913</v>
      </c>
      <c r="AA12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1" s="77">
        <f>IFERROR(BeverageCost[[#This Row],[$Total]]/$Q$5,0)</f>
        <v>1.6007497624268849E-3</v>
      </c>
      <c r="AC121" s="113" t="s">
        <v>8</v>
      </c>
    </row>
    <row r="122" spans="2:29" x14ac:dyDescent="0.25">
      <c r="B122" s="114">
        <v>102</v>
      </c>
      <c r="C122" s="154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55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55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62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08">
        <f>SUMIFS(MainData[ExtendedPrice],MainData[BillID],BeverageCost[[#This Row],[BillID]],MainData[Billable?],"Y",MainData[Category],"Beverage",MainData[Product],H$7)</f>
        <v>0</v>
      </c>
      <c r="I122" s="109">
        <f>SUMIFS(MainData[ExtendedPrice],MainData[BillID],BeverageCost[[#This Row],[BillID]],MainData[Billable?],"Y",MainData[Category],"Beverage",MainData[Product],I$7)</f>
        <v>465</v>
      </c>
      <c r="J122" s="109">
        <f>SUMIFS(MainData[ExtendedPrice],MainData[BillID],BeverageCost[[#This Row],[BillID]],MainData[Billable?],"Y",MainData[Category],"Beverage",MainData[Product],J$7)</f>
        <v>440</v>
      </c>
      <c r="K12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0">
        <f>SUM(BeverageCost[[#This Row],[Liquor]:[Other]])</f>
        <v>975</v>
      </c>
      <c r="M122" s="110">
        <f>SUMIFS(MainData[ExtendedCost],MainData[BillID],BeverageCost[[#This Row],[BillID]],MainData[Billable?],"Y",MainData[Category],"Beverage",MainData[Product],H$7)</f>
        <v>0</v>
      </c>
      <c r="N122" s="109">
        <f>SUMIFS(MainData[ExtendedCost],MainData[BillID],BeverageCost[[#This Row],[BillID]],MainData[Billable?],"Y",MainData[Category],"Beverage",MainData[Product],I$7)</f>
        <v>181.57</v>
      </c>
      <c r="O122" s="109">
        <f>SUMIFS(MainData[ExtendedCost],MainData[BillID],BeverageCost[[#This Row],[BillID]],MainData[Billable?],"Y",MainData[Category],"Beverage",MainData[Product],J$7)</f>
        <v>44</v>
      </c>
      <c r="P12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61">
        <f>SUM(BeverageCost[[#This Row],[$Liq]:[$Other]])</f>
        <v>229.07</v>
      </c>
      <c r="R122" s="111">
        <f>IFERROR(BeverageCost[[#This Row],[$Liq]]/BeverageCost[[#This Row],[Liquor]],0)</f>
        <v>0</v>
      </c>
      <c r="S12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2" s="112">
        <f>IFERROR(BeverageCost[[#This Row],[$Wine]]/BeverageCost[[#This Row],[Wine]],0)</f>
        <v>0.39047311827956988</v>
      </c>
      <c r="U12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2" s="112">
        <f>IFERROR(BeverageCost[[#This Row],[$Beer]]/BeverageCost[[#This Row],[Beer]],0)</f>
        <v>0.1</v>
      </c>
      <c r="W12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2" s="112">
        <f>IFERROR(BeverageCost[[#This Row],[$Other]]/BeverageCost[[#This Row],[Other]],0)</f>
        <v>0.05</v>
      </c>
      <c r="Y12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2" s="77">
        <f>IFERROR(BeverageCost[[#This Row],[$Total]]/BeverageCost[[#This Row],[Total]],0)</f>
        <v>0.23494358974358973</v>
      </c>
      <c r="AA12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2" s="77">
        <f>IFERROR(BeverageCost[[#This Row],[$Total]]/$Q$5,0)</f>
        <v>3.9978603148618248E-3</v>
      </c>
      <c r="AC122" s="113" t="s">
        <v>8</v>
      </c>
    </row>
    <row r="123" spans="2:29" x14ac:dyDescent="0.25">
      <c r="B123" s="114">
        <v>103</v>
      </c>
      <c r="C123" s="154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55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55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62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08">
        <f>SUMIFS(MainData[ExtendedPrice],MainData[BillID],BeverageCost[[#This Row],[BillID]],MainData[Billable?],"Y",MainData[Category],"Beverage",MainData[Product],H$7)</f>
        <v>0</v>
      </c>
      <c r="I123" s="109">
        <f>SUMIFS(MainData[ExtendedPrice],MainData[BillID],BeverageCost[[#This Row],[BillID]],MainData[Billable?],"Y",MainData[Category],"Beverage",MainData[Product],I$7)</f>
        <v>40</v>
      </c>
      <c r="J123" s="109">
        <f>SUMIFS(MainData[ExtendedPrice],MainData[BillID],BeverageCost[[#This Row],[BillID]],MainData[Billable?],"Y",MainData[Category],"Beverage",MainData[Product],J$7)</f>
        <v>60</v>
      </c>
      <c r="K12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0">
        <f>SUM(BeverageCost[[#This Row],[Liquor]:[Other]])</f>
        <v>120</v>
      </c>
      <c r="M123" s="110">
        <f>SUMIFS(MainData[ExtendedCost],MainData[BillID],BeverageCost[[#This Row],[BillID]],MainData[Billable?],"Y",MainData[Category],"Beverage",MainData[Product],H$7)</f>
        <v>0</v>
      </c>
      <c r="N123" s="109">
        <f>SUMIFS(MainData[ExtendedCost],MainData[BillID],BeverageCost[[#This Row],[BillID]],MainData[Billable?],"Y",MainData[Category],"Beverage",MainData[Product],I$7)</f>
        <v>5.5</v>
      </c>
      <c r="O123" s="109">
        <f>SUMIFS(MainData[ExtendedCost],MainData[BillID],BeverageCost[[#This Row],[BillID]],MainData[Billable?],"Y",MainData[Category],"Beverage",MainData[Product],J$7)</f>
        <v>6</v>
      </c>
      <c r="P12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61">
        <f>SUM(BeverageCost[[#This Row],[$Liq]:[$Other]])</f>
        <v>12.5</v>
      </c>
      <c r="R123" s="111">
        <f>IFERROR(BeverageCost[[#This Row],[$Liq]]/BeverageCost[[#This Row],[Liquor]],0)</f>
        <v>0</v>
      </c>
      <c r="S12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3" s="112">
        <f>IFERROR(BeverageCost[[#This Row],[$Wine]]/BeverageCost[[#This Row],[Wine]],0)</f>
        <v>0.13750000000000001</v>
      </c>
      <c r="U12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3" s="112">
        <f>IFERROR(BeverageCost[[#This Row],[$Beer]]/BeverageCost[[#This Row],[Beer]],0)</f>
        <v>0.1</v>
      </c>
      <c r="W12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3" s="112">
        <f>IFERROR(BeverageCost[[#This Row],[$Other]]/BeverageCost[[#This Row],[Other]],0)</f>
        <v>0.05</v>
      </c>
      <c r="Y12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3" s="77">
        <f>IFERROR(BeverageCost[[#This Row],[$Total]]/BeverageCost[[#This Row],[Total]],0)</f>
        <v>0.10416666666666667</v>
      </c>
      <c r="AA12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3" s="77">
        <f>IFERROR(BeverageCost[[#This Row],[$Total]]/$Q$5,0)</f>
        <v>2.1815713072760644E-4</v>
      </c>
      <c r="AC123" s="113" t="s">
        <v>8</v>
      </c>
    </row>
    <row r="124" spans="2:29" x14ac:dyDescent="0.25">
      <c r="B124" s="114">
        <v>106</v>
      </c>
      <c r="C124" s="154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55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55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62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08">
        <f>SUMIFS(MainData[ExtendedPrice],MainData[BillID],BeverageCost[[#This Row],[BillID]],MainData[Billable?],"Y",MainData[Category],"Beverage",MainData[Product],H$7)</f>
        <v>0</v>
      </c>
      <c r="I124" s="109">
        <f>SUMIFS(MainData[ExtendedPrice],MainData[BillID],BeverageCost[[#This Row],[BillID]],MainData[Billable?],"Y",MainData[Category],"Beverage",MainData[Product],I$7)</f>
        <v>261</v>
      </c>
      <c r="J124" s="109">
        <f>SUMIFS(MainData[ExtendedPrice],MainData[BillID],BeverageCost[[#This Row],[BillID]],MainData[Billable?],"Y",MainData[Category],"Beverage",MainData[Product],J$7)</f>
        <v>39</v>
      </c>
      <c r="K12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0">
        <f>SUM(BeverageCost[[#This Row],[Liquor]:[Other]])</f>
        <v>339</v>
      </c>
      <c r="M124" s="110">
        <f>SUMIFS(MainData[ExtendedCost],MainData[BillID],BeverageCost[[#This Row],[BillID]],MainData[Billable?],"Y",MainData[Category],"Beverage",MainData[Product],H$7)</f>
        <v>0</v>
      </c>
      <c r="N124" s="109">
        <f>SUMIFS(MainData[ExtendedCost],MainData[BillID],BeverageCost[[#This Row],[BillID]],MainData[Billable?],"Y",MainData[Category],"Beverage",MainData[Product],I$7)</f>
        <v>66.489999999999995</v>
      </c>
      <c r="O124" s="109">
        <f>SUMIFS(MainData[ExtendedCost],MainData[BillID],BeverageCost[[#This Row],[BillID]],MainData[Billable?],"Y",MainData[Category],"Beverage",MainData[Product],J$7)</f>
        <v>4</v>
      </c>
      <c r="P12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61">
        <f>SUM(BeverageCost[[#This Row],[$Liq]:[$Other]])</f>
        <v>72.489999999999995</v>
      </c>
      <c r="R124" s="111">
        <f>IFERROR(BeverageCost[[#This Row],[$Liq]]/BeverageCost[[#This Row],[Liquor]],0)</f>
        <v>0</v>
      </c>
      <c r="S12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4" s="112">
        <f>IFERROR(BeverageCost[[#This Row],[$Wine]]/BeverageCost[[#This Row],[Wine]],0)</f>
        <v>0.2547509578544061</v>
      </c>
      <c r="U12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4" s="112">
        <f>IFERROR(BeverageCost[[#This Row],[$Beer]]/BeverageCost[[#This Row],[Beer]],0)</f>
        <v>0.10256410256410256</v>
      </c>
      <c r="W12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4" s="112">
        <f>IFERROR(BeverageCost[[#This Row],[$Other]]/BeverageCost[[#This Row],[Other]],0)</f>
        <v>5.128205128205128E-2</v>
      </c>
      <c r="Y12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4" s="77">
        <f>IFERROR(BeverageCost[[#This Row],[$Total]]/BeverageCost[[#This Row],[Total]],0)</f>
        <v>0.21383480825958701</v>
      </c>
      <c r="AA12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4" s="77">
        <f>IFERROR(BeverageCost[[#This Row],[$Total]]/$Q$5,0)</f>
        <v>1.2651368325155351E-3</v>
      </c>
      <c r="AC124" s="113" t="s">
        <v>8</v>
      </c>
    </row>
    <row r="125" spans="2:29" x14ac:dyDescent="0.25">
      <c r="B125" s="114">
        <v>107</v>
      </c>
      <c r="C125" s="154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55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55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62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08">
        <f>SUMIFS(MainData[ExtendedPrice],MainData[BillID],BeverageCost[[#This Row],[BillID]],MainData[Billable?],"Y",MainData[Category],"Beverage",MainData[Product],H$7)</f>
        <v>0</v>
      </c>
      <c r="I125" s="109">
        <f>SUMIFS(MainData[ExtendedPrice],MainData[BillID],BeverageCost[[#This Row],[BillID]],MainData[Billable?],"Y",MainData[Category],"Beverage",MainData[Product],I$7)</f>
        <v>71</v>
      </c>
      <c r="J125" s="109">
        <f>SUMIFS(MainData[ExtendedPrice],MainData[BillID],BeverageCost[[#This Row],[BillID]],MainData[Billable?],"Y",MainData[Category],"Beverage",MainData[Product],J$7)</f>
        <v>56</v>
      </c>
      <c r="K12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0">
        <f>SUM(BeverageCost[[#This Row],[Liquor]:[Other]])</f>
        <v>132</v>
      </c>
      <c r="M125" s="110">
        <f>SUMIFS(MainData[ExtendedCost],MainData[BillID],BeverageCost[[#This Row],[BillID]],MainData[Billable?],"Y",MainData[Category],"Beverage",MainData[Product],H$7)</f>
        <v>0</v>
      </c>
      <c r="N125" s="109">
        <f>SUMIFS(MainData[ExtendedCost],MainData[BillID],BeverageCost[[#This Row],[BillID]],MainData[Billable?],"Y",MainData[Category],"Beverage",MainData[Product],I$7)</f>
        <v>7.9</v>
      </c>
      <c r="O125" s="109">
        <f>SUMIFS(MainData[ExtendedCost],MainData[BillID],BeverageCost[[#This Row],[BillID]],MainData[Billable?],"Y",MainData[Category],"Beverage",MainData[Product],J$7)</f>
        <v>5.6</v>
      </c>
      <c r="P12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61">
        <f>SUM(BeverageCost[[#This Row],[$Liq]:[$Other]])</f>
        <v>13.75</v>
      </c>
      <c r="R125" s="111">
        <f>IFERROR(BeverageCost[[#This Row],[$Liq]]/BeverageCost[[#This Row],[Liquor]],0)</f>
        <v>0</v>
      </c>
      <c r="S12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5" s="112">
        <f>IFERROR(BeverageCost[[#This Row],[$Wine]]/BeverageCost[[#This Row],[Wine]],0)</f>
        <v>0.11126760563380282</v>
      </c>
      <c r="U12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5" s="112">
        <f>IFERROR(BeverageCost[[#This Row],[$Beer]]/BeverageCost[[#This Row],[Beer]],0)</f>
        <v>9.9999999999999992E-2</v>
      </c>
      <c r="W12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5" s="112">
        <f>IFERROR(BeverageCost[[#This Row],[$Other]]/BeverageCost[[#This Row],[Other]],0)</f>
        <v>0.05</v>
      </c>
      <c r="Y12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5" s="77">
        <f>IFERROR(BeverageCost[[#This Row],[$Total]]/BeverageCost[[#This Row],[Total]],0)</f>
        <v>0.10416666666666667</v>
      </c>
      <c r="AA12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5" s="77">
        <f>IFERROR(BeverageCost[[#This Row],[$Total]]/$Q$5,0)</f>
        <v>2.3997284380036709E-4</v>
      </c>
      <c r="AC125" s="113" t="s">
        <v>8</v>
      </c>
    </row>
    <row r="126" spans="2:29" x14ac:dyDescent="0.25">
      <c r="B126" s="114">
        <v>108</v>
      </c>
      <c r="C126" s="154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55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55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62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08">
        <f>SUMIFS(MainData[ExtendedPrice],MainData[BillID],BeverageCost[[#This Row],[BillID]],MainData[Billable?],"Y",MainData[Category],"Beverage",MainData[Product],H$7)</f>
        <v>0</v>
      </c>
      <c r="I126" s="109">
        <f>SUMIFS(MainData[ExtendedPrice],MainData[BillID],BeverageCost[[#This Row],[BillID]],MainData[Billable?],"Y",MainData[Category],"Beverage",MainData[Product],I$7)</f>
        <v>322</v>
      </c>
      <c r="J126" s="109">
        <f>SUMIFS(MainData[ExtendedPrice],MainData[BillID],BeverageCost[[#This Row],[BillID]],MainData[Billable?],"Y",MainData[Category],"Beverage",MainData[Product],J$7)</f>
        <v>120</v>
      </c>
      <c r="K12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0">
        <f>SUM(BeverageCost[[#This Row],[Liquor]:[Other]])</f>
        <v>457</v>
      </c>
      <c r="M126" s="110">
        <f>SUMIFS(MainData[ExtendedCost],MainData[BillID],BeverageCost[[#This Row],[BillID]],MainData[Billable?],"Y",MainData[Category],"Beverage",MainData[Product],H$7)</f>
        <v>0</v>
      </c>
      <c r="N126" s="109">
        <f>SUMIFS(MainData[ExtendedCost],MainData[BillID],BeverageCost[[#This Row],[BillID]],MainData[Billable?],"Y",MainData[Category],"Beverage",MainData[Product],I$7)</f>
        <v>79.11</v>
      </c>
      <c r="O126" s="109">
        <f>SUMIFS(MainData[ExtendedCost],MainData[BillID],BeverageCost[[#This Row],[BillID]],MainData[Billable?],"Y",MainData[Category],"Beverage",MainData[Product],J$7)</f>
        <v>12</v>
      </c>
      <c r="P12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61">
        <f>SUM(BeverageCost[[#This Row],[$Liq]:[$Other]])</f>
        <v>91.86</v>
      </c>
      <c r="R126" s="111">
        <f>IFERROR(BeverageCost[[#This Row],[$Liq]]/BeverageCost[[#This Row],[Liquor]],0)</f>
        <v>0</v>
      </c>
      <c r="S12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6" s="112">
        <f>IFERROR(BeverageCost[[#This Row],[$Wine]]/BeverageCost[[#This Row],[Wine]],0)</f>
        <v>0.24568322981366458</v>
      </c>
      <c r="U12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6" s="112">
        <f>IFERROR(BeverageCost[[#This Row],[$Beer]]/BeverageCost[[#This Row],[Beer]],0)</f>
        <v>0.1</v>
      </c>
      <c r="W12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6" s="112">
        <f>IFERROR(BeverageCost[[#This Row],[$Other]]/BeverageCost[[#This Row],[Other]],0)</f>
        <v>0.05</v>
      </c>
      <c r="Y12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6" s="77">
        <f>IFERROR(BeverageCost[[#This Row],[$Total]]/BeverageCost[[#This Row],[Total]],0)</f>
        <v>0.20100656455142232</v>
      </c>
      <c r="AA12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6" s="77">
        <f>IFERROR(BeverageCost[[#This Row],[$Total]]/$Q$5,0)</f>
        <v>1.6031931222910342E-3</v>
      </c>
      <c r="AC126" s="113" t="s">
        <v>8</v>
      </c>
    </row>
    <row r="127" spans="2:29" x14ac:dyDescent="0.25">
      <c r="B127" s="114">
        <v>110</v>
      </c>
      <c r="C127" s="154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55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55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62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08">
        <f>SUMIFS(MainData[ExtendedPrice],MainData[BillID],BeverageCost[[#This Row],[BillID]],MainData[Billable?],"Y",MainData[Category],"Beverage",MainData[Product],H$7)</f>
        <v>0</v>
      </c>
      <c r="I127" s="109">
        <f>SUMIFS(MainData[ExtendedPrice],MainData[BillID],BeverageCost[[#This Row],[BillID]],MainData[Billable?],"Y",MainData[Category],"Beverage",MainData[Product],I$7)</f>
        <v>41</v>
      </c>
      <c r="J127" s="109">
        <f>SUMIFS(MainData[ExtendedPrice],MainData[BillID],BeverageCost[[#This Row],[BillID]],MainData[Billable?],"Y",MainData[Category],"Beverage",MainData[Product],J$7)</f>
        <v>0</v>
      </c>
      <c r="K12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0">
        <f>SUM(BeverageCost[[#This Row],[Liquor]:[Other]])</f>
        <v>41</v>
      </c>
      <c r="M127" s="110">
        <f>SUMIFS(MainData[ExtendedCost],MainData[BillID],BeverageCost[[#This Row],[BillID]],MainData[Billable?],"Y",MainData[Category],"Beverage",MainData[Product],H$7)</f>
        <v>0</v>
      </c>
      <c r="N127" s="109">
        <f>SUMIFS(MainData[ExtendedCost],MainData[BillID],BeverageCost[[#This Row],[BillID]],MainData[Billable?],"Y",MainData[Category],"Beverage",MainData[Product],I$7)</f>
        <v>5.75</v>
      </c>
      <c r="O127" s="109">
        <f>SUMIFS(MainData[ExtendedCost],MainData[BillID],BeverageCost[[#This Row],[BillID]],MainData[Billable?],"Y",MainData[Category],"Beverage",MainData[Product],J$7)</f>
        <v>0</v>
      </c>
      <c r="P12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61">
        <f>SUM(BeverageCost[[#This Row],[$Liq]:[$Other]])</f>
        <v>5.75</v>
      </c>
      <c r="R127" s="111">
        <f>IFERROR(BeverageCost[[#This Row],[$Liq]]/BeverageCost[[#This Row],[Liquor]],0)</f>
        <v>0</v>
      </c>
      <c r="S12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7" s="112">
        <f>IFERROR(BeverageCost[[#This Row],[$Wine]]/BeverageCost[[#This Row],[Wine]],0)</f>
        <v>0.1402439024390244</v>
      </c>
      <c r="U12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7" s="112">
        <f>IFERROR(BeverageCost[[#This Row],[$Beer]]/BeverageCost[[#This Row],[Beer]],0)</f>
        <v>0</v>
      </c>
      <c r="W12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7" s="112">
        <f>IFERROR(BeverageCost[[#This Row],[$Other]]/BeverageCost[[#This Row],[Other]],0)</f>
        <v>0</v>
      </c>
      <c r="Y12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7" s="77">
        <f>IFERROR(BeverageCost[[#This Row],[$Total]]/BeverageCost[[#This Row],[Total]],0)</f>
        <v>0.1402439024390244</v>
      </c>
      <c r="AA12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7" s="77">
        <f>IFERROR(BeverageCost[[#This Row],[$Total]]/$Q$5,0)</f>
        <v>1.0035228013469896E-4</v>
      </c>
      <c r="AC127" s="113" t="s">
        <v>6</v>
      </c>
    </row>
    <row r="128" spans="2:29" x14ac:dyDescent="0.25">
      <c r="B128" s="114">
        <v>111</v>
      </c>
      <c r="C128" s="154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55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55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62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08">
        <f>SUMIFS(MainData[ExtendedPrice],MainData[BillID],BeverageCost[[#This Row],[BillID]],MainData[Billable?],"Y",MainData[Category],"Beverage",MainData[Product],H$7)</f>
        <v>4488</v>
      </c>
      <c r="I128" s="109">
        <f>SUMIFS(MainData[ExtendedPrice],MainData[BillID],BeverageCost[[#This Row],[BillID]],MainData[Billable?],"Y",MainData[Category],"Beverage",MainData[Product],I$7)</f>
        <v>6840</v>
      </c>
      <c r="J128" s="109">
        <f>SUMIFS(MainData[ExtendedPrice],MainData[BillID],BeverageCost[[#This Row],[BillID]],MainData[Billable?],"Y",MainData[Category],"Beverage",MainData[Product],J$7)</f>
        <v>4690</v>
      </c>
      <c r="K12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0">
        <f>SUM(BeverageCost[[#This Row],[Liquor]:[Other]])</f>
        <v>16993</v>
      </c>
      <c r="M128" s="110">
        <f>SUMIFS(MainData[ExtendedCost],MainData[BillID],BeverageCost[[#This Row],[BillID]],MainData[Billable?],"Y",MainData[Category],"Beverage",MainData[Product],H$7)</f>
        <v>244.13</v>
      </c>
      <c r="N128" s="109">
        <f>SUMIFS(MainData[ExtendedCost],MainData[BillID],BeverageCost[[#This Row],[BillID]],MainData[Billable?],"Y",MainData[Category],"Beverage",MainData[Product],I$7)</f>
        <v>670</v>
      </c>
      <c r="O128" s="109">
        <f>SUMIFS(MainData[ExtendedCost],MainData[BillID],BeverageCost[[#This Row],[BillID]],MainData[Billable?],"Y",MainData[Category],"Beverage",MainData[Product],J$7)</f>
        <v>480</v>
      </c>
      <c r="P12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61">
        <f>SUM(BeverageCost[[#This Row],[$Liq]:[$Other]])</f>
        <v>1444.13</v>
      </c>
      <c r="R128" s="111">
        <f>IFERROR(BeverageCost[[#This Row],[$Liq]]/BeverageCost[[#This Row],[Liquor]],0)</f>
        <v>5.4396167557932265E-2</v>
      </c>
      <c r="S12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8" s="112">
        <f>IFERROR(BeverageCost[[#This Row],[$Wine]]/BeverageCost[[#This Row],[Wine]],0)</f>
        <v>9.7953216374269E-2</v>
      </c>
      <c r="U12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8" s="112">
        <f>IFERROR(BeverageCost[[#This Row],[$Beer]]/BeverageCost[[#This Row],[Beer]],0)</f>
        <v>0.1023454157782516</v>
      </c>
      <c r="W12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8" s="112">
        <f>IFERROR(BeverageCost[[#This Row],[$Other]]/BeverageCost[[#This Row],[Other]],0)</f>
        <v>5.128205128205128E-2</v>
      </c>
      <c r="Y12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8" s="77">
        <f>IFERROR(BeverageCost[[#This Row],[$Total]]/BeverageCost[[#This Row],[Total]],0)</f>
        <v>8.4983816865768266E-2</v>
      </c>
      <c r="AA12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8" s="77">
        <f>IFERROR(BeverageCost[[#This Row],[$Total]]/$Q$5,0)</f>
        <v>2.5203780575812663E-2</v>
      </c>
      <c r="AC128" s="113"/>
    </row>
    <row r="129" spans="2:29" x14ac:dyDescent="0.25">
      <c r="B129" s="114">
        <v>109</v>
      </c>
      <c r="C129" s="154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55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55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62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08">
        <f>SUMIFS(MainData[ExtendedPrice],MainData[BillID],BeverageCost[[#This Row],[BillID]],MainData[Billable?],"Y",MainData[Category],"Beverage",MainData[Product],H$7)</f>
        <v>0</v>
      </c>
      <c r="I129" s="109">
        <f>SUMIFS(MainData[ExtendedPrice],MainData[BillID],BeverageCost[[#This Row],[BillID]],MainData[Billable?],"Y",MainData[Category],"Beverage",MainData[Product],I$7)</f>
        <v>41</v>
      </c>
      <c r="J129" s="109">
        <f>SUMIFS(MainData[ExtendedPrice],MainData[BillID],BeverageCost[[#This Row],[BillID]],MainData[Billable?],"Y",MainData[Category],"Beverage",MainData[Product],J$7)</f>
        <v>0</v>
      </c>
      <c r="K12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0">
        <f>SUM(BeverageCost[[#This Row],[Liquor]:[Other]])</f>
        <v>41</v>
      </c>
      <c r="M129" s="110">
        <f>SUMIFS(MainData[ExtendedCost],MainData[BillID],BeverageCost[[#This Row],[BillID]],MainData[Billable?],"Y",MainData[Category],"Beverage",MainData[Product],H$7)</f>
        <v>0</v>
      </c>
      <c r="N129" s="109">
        <f>SUMIFS(MainData[ExtendedCost],MainData[BillID],BeverageCost[[#This Row],[BillID]],MainData[Billable?],"Y",MainData[Category],"Beverage",MainData[Product],I$7)</f>
        <v>11.5</v>
      </c>
      <c r="O129" s="109">
        <f>SUMIFS(MainData[ExtendedCost],MainData[BillID],BeverageCost[[#This Row],[BillID]],MainData[Billable?],"Y",MainData[Category],"Beverage",MainData[Product],J$7)</f>
        <v>0</v>
      </c>
      <c r="P12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61">
        <f>SUM(BeverageCost[[#This Row],[$Liq]:[$Other]])</f>
        <v>11.5</v>
      </c>
      <c r="R129" s="111">
        <f>IFERROR(BeverageCost[[#This Row],[$Liq]]/BeverageCost[[#This Row],[Liquor]],0)</f>
        <v>0</v>
      </c>
      <c r="S12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9" s="112">
        <f>IFERROR(BeverageCost[[#This Row],[$Wine]]/BeverageCost[[#This Row],[Wine]],0)</f>
        <v>0.28048780487804881</v>
      </c>
      <c r="U12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9" s="112">
        <f>IFERROR(BeverageCost[[#This Row],[$Beer]]/BeverageCost[[#This Row],[Beer]],0)</f>
        <v>0</v>
      </c>
      <c r="W12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9" s="112">
        <f>IFERROR(BeverageCost[[#This Row],[$Other]]/BeverageCost[[#This Row],[Other]],0)</f>
        <v>0</v>
      </c>
      <c r="Y12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9" s="77">
        <f>IFERROR(BeverageCost[[#This Row],[$Total]]/BeverageCost[[#This Row],[Total]],0)</f>
        <v>0.28048780487804881</v>
      </c>
      <c r="AA12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9" s="77">
        <f>IFERROR(BeverageCost[[#This Row],[$Total]]/$Q$5,0)</f>
        <v>2.0070456026939791E-4</v>
      </c>
      <c r="AC129" s="113" t="s">
        <v>6</v>
      </c>
    </row>
    <row r="130" spans="2:29" x14ac:dyDescent="0.25">
      <c r="B130" s="114">
        <v>112</v>
      </c>
      <c r="C130" s="154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55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55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62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08">
        <f>SUMIFS(MainData[ExtendedPrice],MainData[BillID],BeverageCost[[#This Row],[BillID]],MainData[Billable?],"Y",MainData[Category],"Beverage",MainData[Product],H$7)</f>
        <v>100</v>
      </c>
      <c r="I130" s="109">
        <f>SUMIFS(MainData[ExtendedPrice],MainData[BillID],BeverageCost[[#This Row],[BillID]],MainData[Billable?],"Y",MainData[Category],"Beverage",MainData[Product],I$7)</f>
        <v>0</v>
      </c>
      <c r="J130" s="109">
        <f>SUMIFS(MainData[ExtendedPrice],MainData[BillID],BeverageCost[[#This Row],[BillID]],MainData[Billable?],"Y",MainData[Category],"Beverage",MainData[Product],J$7)</f>
        <v>0</v>
      </c>
      <c r="K13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0">
        <f>SUM(BeverageCost[[#This Row],[Liquor]:[Other]])</f>
        <v>100</v>
      </c>
      <c r="M130" s="110">
        <f>SUMIFS(MainData[ExtendedCost],MainData[BillID],BeverageCost[[#This Row],[BillID]],MainData[Billable?],"Y",MainData[Category],"Beverage",MainData[Product],H$7)</f>
        <v>15</v>
      </c>
      <c r="N130" s="109">
        <f>SUMIFS(MainData[ExtendedCost],MainData[BillID],BeverageCost[[#This Row],[BillID]],MainData[Billable?],"Y",MainData[Category],"Beverage",MainData[Product],I$7)</f>
        <v>0</v>
      </c>
      <c r="O130" s="109">
        <f>SUMIFS(MainData[ExtendedCost],MainData[BillID],BeverageCost[[#This Row],[BillID]],MainData[Billable?],"Y",MainData[Category],"Beverage",MainData[Product],J$7)</f>
        <v>0</v>
      </c>
      <c r="P13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61">
        <f>SUM(BeverageCost[[#This Row],[$Liq]:[$Other]])</f>
        <v>15</v>
      </c>
      <c r="R130" s="111">
        <f>IFERROR(BeverageCost[[#This Row],[$Liq]]/BeverageCost[[#This Row],[Liquor]],0)</f>
        <v>0.15</v>
      </c>
      <c r="S13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0" s="112">
        <f>IFERROR(BeverageCost[[#This Row],[$Wine]]/BeverageCost[[#This Row],[Wine]],0)</f>
        <v>0</v>
      </c>
      <c r="U13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0" s="112">
        <f>IFERROR(BeverageCost[[#This Row],[$Beer]]/BeverageCost[[#This Row],[Beer]],0)</f>
        <v>0</v>
      </c>
      <c r="W13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0" s="112">
        <f>IFERROR(BeverageCost[[#This Row],[$Other]]/BeverageCost[[#This Row],[Other]],0)</f>
        <v>0</v>
      </c>
      <c r="Y13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0" s="77">
        <f>IFERROR(BeverageCost[[#This Row],[$Total]]/BeverageCost[[#This Row],[Total]],0)</f>
        <v>0.15</v>
      </c>
      <c r="AA13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0" s="77">
        <f>IFERROR(BeverageCost[[#This Row],[$Total]]/$Q$5,0)</f>
        <v>2.6178855687312774E-4</v>
      </c>
      <c r="AC130" s="113"/>
    </row>
    <row r="131" spans="2:29" x14ac:dyDescent="0.25">
      <c r="B131" s="114">
        <v>114</v>
      </c>
      <c r="C131" s="154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55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55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62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08">
        <f>SUMIFS(MainData[ExtendedPrice],MainData[BillID],BeverageCost[[#This Row],[BillID]],MainData[Billable?],"Y",MainData[Category],"Beverage",MainData[Product],H$7)</f>
        <v>100</v>
      </c>
      <c r="I131" s="109">
        <f>SUMIFS(MainData[ExtendedPrice],MainData[BillID],BeverageCost[[#This Row],[BillID]],MainData[Billable?],"Y",MainData[Category],"Beverage",MainData[Product],I$7)</f>
        <v>100</v>
      </c>
      <c r="J131" s="109">
        <f>SUMIFS(MainData[ExtendedPrice],MainData[BillID],BeverageCost[[#This Row],[BillID]],MainData[Billable?],"Y",MainData[Category],"Beverage",MainData[Product],J$7)</f>
        <v>100</v>
      </c>
      <c r="K13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0">
        <f>SUM(BeverageCost[[#This Row],[Liquor]:[Other]])</f>
        <v>400</v>
      </c>
      <c r="M131" s="110">
        <f>SUMIFS(MainData[ExtendedCost],MainData[BillID],BeverageCost[[#This Row],[BillID]],MainData[Billable?],"Y",MainData[Category],"Beverage",MainData[Product],H$7)</f>
        <v>10</v>
      </c>
      <c r="N131" s="109">
        <f>SUMIFS(MainData[ExtendedCost],MainData[BillID],BeverageCost[[#This Row],[BillID]],MainData[Billable?],"Y",MainData[Category],"Beverage",MainData[Product],I$7)</f>
        <v>10</v>
      </c>
      <c r="O131" s="109">
        <f>SUMIFS(MainData[ExtendedCost],MainData[BillID],BeverageCost[[#This Row],[BillID]],MainData[Billable?],"Y",MainData[Category],"Beverage",MainData[Product],J$7)</f>
        <v>10</v>
      </c>
      <c r="P13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61">
        <f>SUM(BeverageCost[[#This Row],[$Liq]:[$Other]])</f>
        <v>40</v>
      </c>
      <c r="R131" s="111">
        <f>IFERROR(BeverageCost[[#This Row],[$Liq]]/BeverageCost[[#This Row],[Liquor]],0)</f>
        <v>0.1</v>
      </c>
      <c r="S13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1" s="112">
        <f>IFERROR(BeverageCost[[#This Row],[$Wine]]/BeverageCost[[#This Row],[Wine]],0)</f>
        <v>0.1</v>
      </c>
      <c r="U13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1" s="112">
        <f>IFERROR(BeverageCost[[#This Row],[$Beer]]/BeverageCost[[#This Row],[Beer]],0)</f>
        <v>0.1</v>
      </c>
      <c r="W13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1" s="112">
        <f>IFERROR(BeverageCost[[#This Row],[$Other]]/BeverageCost[[#This Row],[Other]],0)</f>
        <v>0.1</v>
      </c>
      <c r="Y13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1" s="77">
        <f>IFERROR(BeverageCost[[#This Row],[$Total]]/BeverageCost[[#This Row],[Total]],0)</f>
        <v>0.1</v>
      </c>
      <c r="AA13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1" s="77">
        <f>IFERROR(BeverageCost[[#This Row],[$Total]]/$Q$5,0)</f>
        <v>6.9810281832834056E-4</v>
      </c>
      <c r="AC131" s="113"/>
    </row>
    <row r="132" spans="2:29" x14ac:dyDescent="0.25">
      <c r="B132" s="114">
        <v>113</v>
      </c>
      <c r="C132" s="154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55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55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62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08">
        <f>SUMIFS(MainData[ExtendedPrice],MainData[BillID],BeverageCost[[#This Row],[BillID]],MainData[Billable?],"Y",MainData[Category],"Beverage",MainData[Product],H$7)</f>
        <v>2000</v>
      </c>
      <c r="I132" s="109">
        <f>SUMIFS(MainData[ExtendedPrice],MainData[BillID],BeverageCost[[#This Row],[BillID]],MainData[Billable?],"Y",MainData[Category],"Beverage",MainData[Product],I$7)</f>
        <v>2000</v>
      </c>
      <c r="J132" s="109">
        <f>SUMIFS(MainData[ExtendedPrice],MainData[BillID],BeverageCost[[#This Row],[BillID]],MainData[Billable?],"Y",MainData[Category],"Beverage",MainData[Product],J$7)</f>
        <v>2000</v>
      </c>
      <c r="K13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0">
        <f>SUM(BeverageCost[[#This Row],[Liquor]:[Other]])</f>
        <v>6100</v>
      </c>
      <c r="M132" s="110">
        <f>SUMIFS(MainData[ExtendedCost],MainData[BillID],BeverageCost[[#This Row],[BillID]],MainData[Billable?],"Y",MainData[Category],"Beverage",MainData[Product],H$7)</f>
        <v>200</v>
      </c>
      <c r="N132" s="109">
        <f>SUMIFS(MainData[ExtendedCost],MainData[BillID],BeverageCost[[#This Row],[BillID]],MainData[Billable?],"Y",MainData[Category],"Beverage",MainData[Product],I$7)</f>
        <v>200</v>
      </c>
      <c r="O132" s="109">
        <f>SUMIFS(MainData[ExtendedCost],MainData[BillID],BeverageCost[[#This Row],[BillID]],MainData[Billable?],"Y",MainData[Category],"Beverage",MainData[Product],J$7)</f>
        <v>200</v>
      </c>
      <c r="P13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61">
        <f>SUM(BeverageCost[[#This Row],[$Liq]:[$Other]])</f>
        <v>610</v>
      </c>
      <c r="R132" s="111">
        <f>IFERROR(BeverageCost[[#This Row],[$Liq]]/BeverageCost[[#This Row],[Liquor]],0)</f>
        <v>0.1</v>
      </c>
      <c r="S13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2" s="112">
        <f>IFERROR(BeverageCost[[#This Row],[$Wine]]/BeverageCost[[#This Row],[Wine]],0)</f>
        <v>0.1</v>
      </c>
      <c r="U13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2" s="112">
        <f>IFERROR(BeverageCost[[#This Row],[$Beer]]/BeverageCost[[#This Row],[Beer]],0)</f>
        <v>0.1</v>
      </c>
      <c r="W13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2" s="112">
        <f>IFERROR(BeverageCost[[#This Row],[$Other]]/BeverageCost[[#This Row],[Other]],0)</f>
        <v>0.1</v>
      </c>
      <c r="Y13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2" s="77">
        <f>IFERROR(BeverageCost[[#This Row],[$Total]]/BeverageCost[[#This Row],[Total]],0)</f>
        <v>0.1</v>
      </c>
      <c r="AA13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2" s="77">
        <f>IFERROR(BeverageCost[[#This Row],[$Total]]/$Q$5,0)</f>
        <v>1.0646067979507194E-2</v>
      </c>
      <c r="AC132" s="113"/>
    </row>
    <row r="133" spans="2:29" x14ac:dyDescent="0.25">
      <c r="B133" s="114">
        <v>115</v>
      </c>
      <c r="C133" s="154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55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55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62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08">
        <f>SUMIFS(MainData[ExtendedPrice],MainData[BillID],BeverageCost[[#This Row],[BillID]],MainData[Billable?],"Y",MainData[Category],"Beverage",MainData[Product],H$7)</f>
        <v>0</v>
      </c>
      <c r="I133" s="109">
        <f>SUMIFS(MainData[ExtendedPrice],MainData[BillID],BeverageCost[[#This Row],[BillID]],MainData[Billable?],"Y",MainData[Category],"Beverage",MainData[Product],I$7)</f>
        <v>150</v>
      </c>
      <c r="J133" s="109">
        <f>SUMIFS(MainData[ExtendedPrice],MainData[BillID],BeverageCost[[#This Row],[BillID]],MainData[Billable?],"Y",MainData[Category],"Beverage",MainData[Product],J$7)</f>
        <v>0</v>
      </c>
      <c r="K13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0">
        <f>SUM(BeverageCost[[#This Row],[Liquor]:[Other]])</f>
        <v>150</v>
      </c>
      <c r="M133" s="110">
        <f>SUMIFS(MainData[ExtendedCost],MainData[BillID],BeverageCost[[#This Row],[BillID]],MainData[Billable?],"Y",MainData[Category],"Beverage",MainData[Product],H$7)</f>
        <v>0</v>
      </c>
      <c r="N133" s="109">
        <f>SUMIFS(MainData[ExtendedCost],MainData[BillID],BeverageCost[[#This Row],[BillID]],MainData[Billable?],"Y",MainData[Category],"Beverage",MainData[Product],I$7)</f>
        <v>25</v>
      </c>
      <c r="O133" s="109">
        <f>SUMIFS(MainData[ExtendedCost],MainData[BillID],BeverageCost[[#This Row],[BillID]],MainData[Billable?],"Y",MainData[Category],"Beverage",MainData[Product],J$7)</f>
        <v>0</v>
      </c>
      <c r="P13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61">
        <f>SUM(BeverageCost[[#This Row],[$Liq]:[$Other]])</f>
        <v>25</v>
      </c>
      <c r="R133" s="111">
        <f>IFERROR(BeverageCost[[#This Row],[$Liq]]/BeverageCost[[#This Row],[Liquor]],0)</f>
        <v>0</v>
      </c>
      <c r="S13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3" s="112">
        <f>IFERROR(BeverageCost[[#This Row],[$Wine]]/BeverageCost[[#This Row],[Wine]],0)</f>
        <v>0.16666666666666666</v>
      </c>
      <c r="U13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3" s="112">
        <f>IFERROR(BeverageCost[[#This Row],[$Beer]]/BeverageCost[[#This Row],[Beer]],0)</f>
        <v>0</v>
      </c>
      <c r="W13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3" s="112">
        <f>IFERROR(BeverageCost[[#This Row],[$Other]]/BeverageCost[[#This Row],[Other]],0)</f>
        <v>0</v>
      </c>
      <c r="Y13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3" s="77">
        <f>IFERROR(BeverageCost[[#This Row],[$Total]]/BeverageCost[[#This Row],[Total]],0)</f>
        <v>0.16666666666666666</v>
      </c>
      <c r="AA13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3" s="77">
        <f>IFERROR(BeverageCost[[#This Row],[$Total]]/$Q$5,0)</f>
        <v>4.3631426145521288E-4</v>
      </c>
      <c r="AC133" s="113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120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7" r:id="rId4" name="ClearFiltersButton">
          <controlPr defaultSize="0" print="0" autoLine="0" r:id="rId5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4" name="ClearFilters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9" r:id="rId8" name="RefreshDataButton">
          <controlPr defaultSize="0" print="0" autoLine="0" r:id="rId9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8" name="RefreshData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workbookViewId="0">
      <pane ySplit="6" topLeftCell="A76" activePane="bottomLeft" state="frozen"/>
      <selection pane="bottomLeft" activeCell="P7" sqref="P7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Revenue'!C1</f>
        <v>BANQUET BEVERAGE REVENUE ANALYSIS</v>
      </c>
      <c r="P1" s="10" t="str">
        <f>"From:  " &amp; TEXT(SUBTOTAL(105,LaborCost[Date]), "mmmm dd, yyyy")</f>
        <v>From:  February 02, 2022</v>
      </c>
      <c r="T1" s="211" t="str">
        <f>Transactions!U1</f>
        <v/>
      </c>
      <c r="U1" s="211"/>
    </row>
    <row r="2" spans="2:23" ht="15.75" x14ac:dyDescent="0.25">
      <c r="C2" s="1" t="s">
        <v>92</v>
      </c>
      <c r="P2" s="10" t="str">
        <f>"To:  " &amp; TEXT(SUBTOTAL(104,LaborCost[Date]),"mmmm dd, yyyy")</f>
        <v>To:  February 28, 2022</v>
      </c>
      <c r="T2" s="211"/>
      <c r="U2" s="211"/>
    </row>
    <row r="3" spans="2:23" x14ac:dyDescent="0.25">
      <c r="C3" s="199">
        <f>Transactions!$B$3</f>
        <v>44887.394606481481</v>
      </c>
      <c r="D3" s="199"/>
      <c r="E3" s="199"/>
      <c r="F3" s="43"/>
      <c r="G3" s="43"/>
      <c r="H3" s="43"/>
      <c r="I3" s="43"/>
      <c r="J3" s="43"/>
      <c r="K3" s="43"/>
      <c r="L3" s="43"/>
      <c r="M3" s="43"/>
      <c r="P3" s="79" t="str">
        <f>IF(SUBTOTAL(102,LaborCost[Date])&lt;&gt;COUNT(LaborCost[Date]),"(Filtered)","(Includes All Events and Dates)")</f>
        <v>(Filtered)</v>
      </c>
    </row>
    <row r="4" spans="2:23" x14ac:dyDescent="0.25">
      <c r="T4" s="10"/>
    </row>
    <row r="5" spans="2:23" x14ac:dyDescent="0.25">
      <c r="C5" s="63" t="str">
        <f>IF(P3="(Filtered)","Subtotals:","Totals:")</f>
        <v>Subtotals:</v>
      </c>
      <c r="H5" s="86">
        <f>SUBTOTAL(109,LaborCost[Guests])</f>
        <v>14431</v>
      </c>
      <c r="I5" s="140">
        <f>SUBTOTAL(109,LaborCost[Hours])</f>
        <v>160.5</v>
      </c>
      <c r="J5" s="86">
        <f>SUBTOTAL(109,LaborCost[Bartenders])</f>
        <v>133</v>
      </c>
      <c r="K5" s="86">
        <f>SUBTOTAL(109,LaborCost[Barbacks])</f>
        <v>81</v>
      </c>
      <c r="L5" s="86">
        <f>SUBTOTAL(109,LaborCost[Cashiers])</f>
        <v>0</v>
      </c>
      <c r="M5" s="86">
        <f>SUBTOTAL(109,LaborCost[Passers])</f>
        <v>7</v>
      </c>
      <c r="N5" s="86">
        <f>SUBTOTAL(109,LaborCost[Captains])</f>
        <v>0</v>
      </c>
      <c r="O5" s="87">
        <f>SUBTOTAL(109,LaborCost[Fees])</f>
        <v>12620</v>
      </c>
      <c r="T5" s="10"/>
    </row>
    <row r="6" spans="2:23" x14ac:dyDescent="0.25">
      <c r="B6" s="2" t="s">
        <v>113</v>
      </c>
      <c r="C6" t="s">
        <v>0</v>
      </c>
      <c r="D6" t="s">
        <v>82</v>
      </c>
      <c r="E6" t="s">
        <v>18</v>
      </c>
      <c r="F6" t="s">
        <v>19</v>
      </c>
      <c r="G6" t="s">
        <v>106</v>
      </c>
      <c r="H6" t="s">
        <v>108</v>
      </c>
      <c r="I6" t="s">
        <v>86</v>
      </c>
      <c r="J6" s="2" t="s">
        <v>87</v>
      </c>
      <c r="K6" s="2" t="s">
        <v>88</v>
      </c>
      <c r="L6" s="2" t="s">
        <v>89</v>
      </c>
      <c r="M6" s="2" t="s">
        <v>107</v>
      </c>
      <c r="N6" s="2" t="s">
        <v>90</v>
      </c>
      <c r="O6" s="2" t="s">
        <v>91</v>
      </c>
      <c r="P6" s="2" t="s">
        <v>17</v>
      </c>
      <c r="T6" s="10"/>
      <c r="U6" s="10"/>
    </row>
    <row r="7" spans="2:23" hidden="1" x14ac:dyDescent="0.25">
      <c r="B7" s="114">
        <v>86</v>
      </c>
      <c r="C7" s="154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55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33">
        <f>MAX(SUMIFS(MainData[Item],MainData[EventID],LaborCost[[#This Row],[EventID]],MainData[Product],H$6),SUMIFS(MainData[Item],MainData[EventID],LaborCost[[#This Row],[EventID]],MainData[Product],"GTD"))</f>
        <v>45</v>
      </c>
      <c r="I7" s="139">
        <f>SUMIFS(MainData[Item],MainData[EventID],LaborCost[[#This Row],[EventID]],MainData[Product],I$6)</f>
        <v>2.5</v>
      </c>
      <c r="J7" s="139">
        <f>SUMIFS(MainData[Quantity],MainData[EventID],LaborCost[[#This Row],[EventID]],MainData[Product],J$6)</f>
        <v>1</v>
      </c>
      <c r="K7" s="139">
        <f>SUMIFS(MainData[Quantity],MainData[EventID],LaborCost[[#This Row],[EventID]],MainData[Product],K$6)</f>
        <v>1</v>
      </c>
      <c r="L7" s="139">
        <f>SUMIFS(MainData[Quantity],MainData[EventID],LaborCost[[#This Row],[EventID]],MainData[Product],L$6)</f>
        <v>0</v>
      </c>
      <c r="M7" s="139">
        <f>SUMIFS(MainData[Quantity],MainData[EventID],LaborCost[[#This Row],[EventID]],MainData[Product],M$6)</f>
        <v>0</v>
      </c>
      <c r="N7" s="139">
        <f>SUMIFS(MainData[Quantity],MainData[EventID],LaborCost[[#This Row],[EventID]],MainData[Product],N$6)</f>
        <v>0</v>
      </c>
      <c r="O7" s="135">
        <f>SUMIFS(MainData[ExtendedPrice],MainData[EventID],LaborCost[[#This Row],[EventID]],MainData[Billable?],"Y",MainData[Category],"Labor")</f>
        <v>100</v>
      </c>
      <c r="P7" s="113"/>
      <c r="T7" s="13"/>
      <c r="U7" s="14"/>
      <c r="W7" s="41"/>
    </row>
    <row r="8" spans="2:23" hidden="1" x14ac:dyDescent="0.25">
      <c r="B8" s="114">
        <v>87</v>
      </c>
      <c r="C8" s="154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55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33">
        <f>MAX(SUMIFS(MainData[Item],MainData[EventID],LaborCost[[#This Row],[EventID]],MainData[Product],H$6),SUMIFS(MainData[Item],MainData[EventID],LaborCost[[#This Row],[EventID]],MainData[Product],"GTD"))</f>
        <v>1500</v>
      </c>
      <c r="I8" s="139">
        <f>SUMIFS(MainData[Item],MainData[EventID],LaborCost[[#This Row],[EventID]],MainData[Product],I$6)</f>
        <v>3</v>
      </c>
      <c r="J8" s="107">
        <f>SUMIFS(MainData[Quantity],MainData[EventID],LaborCost[[#This Row],[EventID]],MainData[Product],J$6)</f>
        <v>16</v>
      </c>
      <c r="K8" s="107">
        <f>SUMIFS(MainData[Quantity],MainData[EventID],LaborCost[[#This Row],[EventID]],MainData[Product],K$6)</f>
        <v>5</v>
      </c>
      <c r="L8" s="107">
        <f>SUMIFS(MainData[Quantity],MainData[EventID],LaborCost[[#This Row],[EventID]],MainData[Product],L$6)</f>
        <v>0</v>
      </c>
      <c r="M8" s="107">
        <f>SUMIFS(MainData[Quantity],MainData[EventID],LaborCost[[#This Row],[EventID]],MainData[Product],M$6)</f>
        <v>0</v>
      </c>
      <c r="N8" s="134">
        <f>SUMIFS(MainData[Quantity],MainData[EventID],LaborCost[[#This Row],[EventID]],MainData[Product],N$6)</f>
        <v>0</v>
      </c>
      <c r="O8" s="135">
        <f>SUMIFS(MainData[ExtendedPrice],MainData[EventID],LaborCost[[#This Row],[EventID]],MainData[Billable?],"Y",MainData[Category],"Labor")</f>
        <v>1600</v>
      </c>
      <c r="P8" s="113"/>
      <c r="T8" s="13"/>
      <c r="U8" s="14"/>
    </row>
    <row r="9" spans="2:23" hidden="1" x14ac:dyDescent="0.25">
      <c r="B9" s="114">
        <v>98</v>
      </c>
      <c r="C9" s="154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55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33">
        <f>MAX(SUMIFS(MainData[Item],MainData[EventID],LaborCost[[#This Row],[EventID]],MainData[Product],H$6),SUMIFS(MainData[Item],MainData[EventID],LaborCost[[#This Row],[EventID]],MainData[Product],"GTD"))</f>
        <v>330</v>
      </c>
      <c r="I9" s="139">
        <f>SUMIFS(MainData[Item],MainData[EventID],LaborCost[[#This Row],[EventID]],MainData[Product],I$6)</f>
        <v>4</v>
      </c>
      <c r="J9" s="107">
        <f>SUMIFS(MainData[Quantity],MainData[EventID],LaborCost[[#This Row],[EventID]],MainData[Product],J$6)</f>
        <v>4</v>
      </c>
      <c r="K9" s="107">
        <f>SUMIFS(MainData[Quantity],MainData[EventID],LaborCost[[#This Row],[EventID]],MainData[Product],K$6)</f>
        <v>2</v>
      </c>
      <c r="L9" s="107">
        <f>SUMIFS(MainData[Quantity],MainData[EventID],LaborCost[[#This Row],[EventID]],MainData[Product],L$6)</f>
        <v>0</v>
      </c>
      <c r="M9" s="107">
        <f>SUMIFS(MainData[Quantity],MainData[EventID],LaborCost[[#This Row],[EventID]],MainData[Product],M$6)</f>
        <v>0</v>
      </c>
      <c r="N9" s="134">
        <f>SUMIFS(MainData[Quantity],MainData[EventID],LaborCost[[#This Row],[EventID]],MainData[Product],N$6)</f>
        <v>0</v>
      </c>
      <c r="O9" s="135">
        <f>SUMIFS(MainData[ExtendedPrice],MainData[EventID],LaborCost[[#This Row],[EventID]],MainData[Billable?],"Y",MainData[Category],"Labor")</f>
        <v>400</v>
      </c>
      <c r="P9" s="113"/>
      <c r="T9" s="13"/>
      <c r="U9" s="14"/>
    </row>
    <row r="10" spans="2:23" hidden="1" x14ac:dyDescent="0.25">
      <c r="B10" s="114">
        <v>99</v>
      </c>
      <c r="C10" s="154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55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33">
        <f>MAX(SUMIFS(MainData[Item],MainData[EventID],LaborCost[[#This Row],[EventID]],MainData[Product],H$6),SUMIFS(MainData[Item],MainData[EventID],LaborCost[[#This Row],[EventID]],MainData[Product],"GTD"))</f>
        <v>40</v>
      </c>
      <c r="I10" s="139">
        <f>SUMIFS(MainData[Item],MainData[EventID],LaborCost[[#This Row],[EventID]],MainData[Product],I$6)</f>
        <v>1.5</v>
      </c>
      <c r="J10" s="107">
        <f>SUMIFS(MainData[Quantity],MainData[EventID],LaborCost[[#This Row],[EventID]],MainData[Product],J$6)</f>
        <v>1</v>
      </c>
      <c r="K10" s="107">
        <f>SUMIFS(MainData[Quantity],MainData[EventID],LaborCost[[#This Row],[EventID]],MainData[Product],K$6)</f>
        <v>1</v>
      </c>
      <c r="L10" s="107">
        <f>SUMIFS(MainData[Quantity],MainData[EventID],LaborCost[[#This Row],[EventID]],MainData[Product],L$6)</f>
        <v>0</v>
      </c>
      <c r="M10" s="107">
        <f>SUMIFS(MainData[Quantity],MainData[EventID],LaborCost[[#This Row],[EventID]],MainData[Product],M$6)</f>
        <v>0</v>
      </c>
      <c r="N10" s="134">
        <f>SUMIFS(MainData[Quantity],MainData[EventID],LaborCost[[#This Row],[EventID]],MainData[Product],N$6)</f>
        <v>0</v>
      </c>
      <c r="O10" s="135">
        <f>SUMIFS(MainData[ExtendedPrice],MainData[EventID],LaborCost[[#This Row],[EventID]],MainData[Billable?],"Y",MainData[Category],"Labor")</f>
        <v>0</v>
      </c>
      <c r="P10" s="113"/>
      <c r="T10" s="13"/>
      <c r="U10" s="14"/>
    </row>
    <row r="11" spans="2:23" hidden="1" x14ac:dyDescent="0.25">
      <c r="B11" s="114">
        <v>17</v>
      </c>
      <c r="C11" s="154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55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33">
        <f>MAX(SUMIFS(MainData[Item],MainData[EventID],LaborCost[[#This Row],[EventID]],MainData[Product],H$6),SUMIFS(MainData[Item],MainData[EventID],LaborCost[[#This Row],[EventID]],MainData[Product],"GTD"))</f>
        <v>15</v>
      </c>
      <c r="I11" s="139">
        <f>SUMIFS(MainData[Item],MainData[EventID],LaborCost[[#This Row],[EventID]],MainData[Product],I$6)</f>
        <v>1</v>
      </c>
      <c r="J11" s="107">
        <f>SUMIFS(MainData[Quantity],MainData[EventID],LaborCost[[#This Row],[EventID]],MainData[Product],J$6)</f>
        <v>0</v>
      </c>
      <c r="K11" s="107">
        <f>SUMIFS(MainData[Quantity],MainData[EventID],LaborCost[[#This Row],[EventID]],MainData[Product],K$6)</f>
        <v>0</v>
      </c>
      <c r="L11" s="107">
        <f>SUMIFS(MainData[Quantity],MainData[EventID],LaborCost[[#This Row],[EventID]],MainData[Product],L$6)</f>
        <v>0</v>
      </c>
      <c r="M11" s="107">
        <f>SUMIFS(MainData[Quantity],MainData[EventID],LaborCost[[#This Row],[EventID]],MainData[Product],M$6)</f>
        <v>1</v>
      </c>
      <c r="N11" s="134">
        <f>SUMIFS(MainData[Quantity],MainData[EventID],LaborCost[[#This Row],[EventID]],MainData[Product],N$6)</f>
        <v>0</v>
      </c>
      <c r="O11" s="135">
        <f>SUMIFS(MainData[ExtendedPrice],MainData[EventID],LaborCost[[#This Row],[EventID]],MainData[Billable?],"Y",MainData[Category],"Labor")</f>
        <v>0</v>
      </c>
      <c r="P11" s="113" t="s">
        <v>6</v>
      </c>
      <c r="T11" s="13"/>
      <c r="U11" s="14"/>
    </row>
    <row r="12" spans="2:23" hidden="1" x14ac:dyDescent="0.25">
      <c r="B12" s="114">
        <v>81</v>
      </c>
      <c r="C12" s="154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55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33">
        <f>MAX(SUMIFS(MainData[Item],MainData[EventID],LaborCost[[#This Row],[EventID]],MainData[Product],H$6),SUMIFS(MainData[Item],MainData[EventID],LaborCost[[#This Row],[EventID]],MainData[Product],"GTD"))</f>
        <v>35</v>
      </c>
      <c r="I12" s="139">
        <f>SUMIFS(MainData[Item],MainData[EventID],LaborCost[[#This Row],[EventID]],MainData[Product],I$6)</f>
        <v>2</v>
      </c>
      <c r="J12" s="107">
        <f>SUMIFS(MainData[Quantity],MainData[EventID],LaborCost[[#This Row],[EventID]],MainData[Product],J$6)</f>
        <v>1</v>
      </c>
      <c r="K12" s="107">
        <f>SUMIFS(MainData[Quantity],MainData[EventID],LaborCost[[#This Row],[EventID]],MainData[Product],K$6)</f>
        <v>1</v>
      </c>
      <c r="L12" s="107">
        <f>SUMIFS(MainData[Quantity],MainData[EventID],LaborCost[[#This Row],[EventID]],MainData[Product],L$6)</f>
        <v>0</v>
      </c>
      <c r="M12" s="107">
        <f>SUMIFS(MainData[Quantity],MainData[EventID],LaborCost[[#This Row],[EventID]],MainData[Product],M$6)</f>
        <v>0</v>
      </c>
      <c r="N12" s="134">
        <f>SUMIFS(MainData[Quantity],MainData[EventID],LaborCost[[#This Row],[EventID]],MainData[Product],N$6)</f>
        <v>0</v>
      </c>
      <c r="O12" s="135">
        <f>SUMIFS(MainData[ExtendedPrice],MainData[EventID],LaborCost[[#This Row],[EventID]],MainData[Billable?],"Y",MainData[Category],"Labor")</f>
        <v>100</v>
      </c>
      <c r="P12" s="113"/>
      <c r="T12" s="13"/>
      <c r="U12" s="14"/>
    </row>
    <row r="13" spans="2:23" hidden="1" x14ac:dyDescent="0.25">
      <c r="B13" s="114">
        <v>15</v>
      </c>
      <c r="C13" s="154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55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33">
        <f>MAX(SUMIFS(MainData[Item],MainData[EventID],LaborCost[[#This Row],[EventID]],MainData[Product],H$6),SUMIFS(MainData[Item],MainData[EventID],LaborCost[[#This Row],[EventID]],MainData[Product],"GTD"))</f>
        <v>550</v>
      </c>
      <c r="I13" s="139">
        <f>SUMIFS(MainData[Item],MainData[EventID],LaborCost[[#This Row],[EventID]],MainData[Product],I$6)</f>
        <v>3</v>
      </c>
      <c r="J13" s="107">
        <f>SUMIFS(MainData[Quantity],MainData[EventID],LaborCost[[#This Row],[EventID]],MainData[Product],J$6)</f>
        <v>6</v>
      </c>
      <c r="K13" s="107">
        <f>SUMIFS(MainData[Quantity],MainData[EventID],LaborCost[[#This Row],[EventID]],MainData[Product],K$6)</f>
        <v>3</v>
      </c>
      <c r="L13" s="107">
        <f>SUMIFS(MainData[Quantity],MainData[EventID],LaborCost[[#This Row],[EventID]],MainData[Product],L$6)</f>
        <v>0</v>
      </c>
      <c r="M13" s="107">
        <f>SUMIFS(MainData[Quantity],MainData[EventID],LaborCost[[#This Row],[EventID]],MainData[Product],M$6)</f>
        <v>0</v>
      </c>
      <c r="N13" s="134">
        <f>SUMIFS(MainData[Quantity],MainData[EventID],LaborCost[[#This Row],[EventID]],MainData[Product],N$6)</f>
        <v>0</v>
      </c>
      <c r="O13" s="135">
        <f>SUMIFS(MainData[ExtendedPrice],MainData[EventID],LaborCost[[#This Row],[EventID]],MainData[Billable?],"Y",MainData[Category],"Labor")</f>
        <v>600</v>
      </c>
      <c r="P13" s="113"/>
      <c r="T13" s="13"/>
      <c r="U13" s="14"/>
    </row>
    <row r="14" spans="2:23" hidden="1" x14ac:dyDescent="0.25">
      <c r="B14" s="114">
        <v>64</v>
      </c>
      <c r="C14" s="154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55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33">
        <f>MAX(SUMIFS(MainData[Item],MainData[EventID],LaborCost[[#This Row],[EventID]],MainData[Product],H$6),SUMIFS(MainData[Item],MainData[EventID],LaborCost[[#This Row],[EventID]],MainData[Product],"GTD"))</f>
        <v>15</v>
      </c>
      <c r="I14" s="139">
        <f>SUMIFS(MainData[Item],MainData[EventID],LaborCost[[#This Row],[EventID]],MainData[Product],I$6)</f>
        <v>1</v>
      </c>
      <c r="J14" s="107">
        <f>SUMIFS(MainData[Quantity],MainData[EventID],LaborCost[[#This Row],[EventID]],MainData[Product],J$6)</f>
        <v>0</v>
      </c>
      <c r="K14" s="107">
        <f>SUMIFS(MainData[Quantity],MainData[EventID],LaborCost[[#This Row],[EventID]],MainData[Product],K$6)</f>
        <v>0</v>
      </c>
      <c r="L14" s="107">
        <f>SUMIFS(MainData[Quantity],MainData[EventID],LaborCost[[#This Row],[EventID]],MainData[Product],L$6)</f>
        <v>0</v>
      </c>
      <c r="M14" s="107">
        <f>SUMIFS(MainData[Quantity],MainData[EventID],LaborCost[[#This Row],[EventID]],MainData[Product],M$6)</f>
        <v>1</v>
      </c>
      <c r="N14" s="134">
        <f>SUMIFS(MainData[Quantity],MainData[EventID],LaborCost[[#This Row],[EventID]],MainData[Product],N$6)</f>
        <v>0</v>
      </c>
      <c r="O14" s="135">
        <f>SUMIFS(MainData[ExtendedPrice],MainData[EventID],LaborCost[[#This Row],[EventID]],MainData[Billable?],"Y",MainData[Category],"Labor")</f>
        <v>0</v>
      </c>
      <c r="P14" s="113" t="s">
        <v>6</v>
      </c>
      <c r="T14" s="13"/>
      <c r="U14" s="14"/>
    </row>
    <row r="15" spans="2:23" hidden="1" x14ac:dyDescent="0.25">
      <c r="B15" s="114">
        <v>7</v>
      </c>
      <c r="C15" s="154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55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33">
        <f>MAX(SUMIFS(MainData[Item],MainData[EventID],LaborCost[[#This Row],[EventID]],MainData[Product],H$6),SUMIFS(MainData[Item],MainData[EventID],LaborCost[[#This Row],[EventID]],MainData[Product],"GTD"))</f>
        <v>55</v>
      </c>
      <c r="I15" s="139">
        <f>SUMIFS(MainData[Item],MainData[EventID],LaborCost[[#This Row],[EventID]],MainData[Product],I$6)</f>
        <v>2</v>
      </c>
      <c r="J15" s="107">
        <f>SUMIFS(MainData[Quantity],MainData[EventID],LaborCost[[#This Row],[EventID]],MainData[Product],J$6)</f>
        <v>1</v>
      </c>
      <c r="K15" s="107">
        <f>SUMIFS(MainData[Quantity],MainData[EventID],LaborCost[[#This Row],[EventID]],MainData[Product],K$6)</f>
        <v>1</v>
      </c>
      <c r="L15" s="107">
        <f>SUMIFS(MainData[Quantity],MainData[EventID],LaborCost[[#This Row],[EventID]],MainData[Product],L$6)</f>
        <v>0</v>
      </c>
      <c r="M15" s="107">
        <f>SUMIFS(MainData[Quantity],MainData[EventID],LaborCost[[#This Row],[EventID]],MainData[Product],M$6)</f>
        <v>0</v>
      </c>
      <c r="N15" s="134">
        <f>SUMIFS(MainData[Quantity],MainData[EventID],LaborCost[[#This Row],[EventID]],MainData[Product],N$6)</f>
        <v>0</v>
      </c>
      <c r="O15" s="135">
        <f>SUMIFS(MainData[ExtendedPrice],MainData[EventID],LaborCost[[#This Row],[EventID]],MainData[Billable?],"Y",MainData[Category],"Labor")</f>
        <v>100</v>
      </c>
      <c r="P15" s="113"/>
      <c r="T15" s="13"/>
      <c r="U15" s="14"/>
    </row>
    <row r="16" spans="2:23" hidden="1" x14ac:dyDescent="0.25">
      <c r="B16" s="114">
        <v>65</v>
      </c>
      <c r="C16" s="154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55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33">
        <f>MAX(SUMIFS(MainData[Item],MainData[EventID],LaborCost[[#This Row],[EventID]],MainData[Product],H$6),SUMIFS(MainData[Item],MainData[EventID],LaborCost[[#This Row],[EventID]],MainData[Product],"GTD"))</f>
        <v>165</v>
      </c>
      <c r="I16" s="139">
        <f>SUMIFS(MainData[Item],MainData[EventID],LaborCost[[#This Row],[EventID]],MainData[Product],I$6)</f>
        <v>1.5</v>
      </c>
      <c r="J16" s="107">
        <f>SUMIFS(MainData[Quantity],MainData[EventID],LaborCost[[#This Row],[EventID]],MainData[Product],J$6)</f>
        <v>2</v>
      </c>
      <c r="K16" s="107">
        <f>SUMIFS(MainData[Quantity],MainData[EventID],LaborCost[[#This Row],[EventID]],MainData[Product],K$6)</f>
        <v>1</v>
      </c>
      <c r="L16" s="107">
        <f>SUMIFS(MainData[Quantity],MainData[EventID],LaborCost[[#This Row],[EventID]],MainData[Product],L$6)</f>
        <v>0</v>
      </c>
      <c r="M16" s="107">
        <f>SUMIFS(MainData[Quantity],MainData[EventID],LaborCost[[#This Row],[EventID]],MainData[Product],M$6)</f>
        <v>0</v>
      </c>
      <c r="N16" s="134">
        <f>SUMIFS(MainData[Quantity],MainData[EventID],LaborCost[[#This Row],[EventID]],MainData[Product],N$6)</f>
        <v>0</v>
      </c>
      <c r="O16" s="135">
        <f>SUMIFS(MainData[ExtendedPrice],MainData[EventID],LaborCost[[#This Row],[EventID]],MainData[Billable?],"Y",MainData[Category],"Labor")</f>
        <v>200</v>
      </c>
      <c r="P16" s="113"/>
      <c r="T16" s="13"/>
      <c r="U16" s="14"/>
    </row>
    <row r="17" spans="2:21" hidden="1" x14ac:dyDescent="0.25">
      <c r="B17" s="114">
        <v>16</v>
      </c>
      <c r="C17" s="154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55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33">
        <f>MAX(SUMIFS(MainData[Item],MainData[EventID],LaborCost[[#This Row],[EventID]],MainData[Product],H$6),SUMIFS(MainData[Item],MainData[EventID],LaborCost[[#This Row],[EventID]],MainData[Product],"GTD"))</f>
        <v>635</v>
      </c>
      <c r="I17" s="139">
        <f>SUMIFS(MainData[Item],MainData[EventID],LaborCost[[#This Row],[EventID]],MainData[Product],I$6)</f>
        <v>3.5</v>
      </c>
      <c r="J17" s="107">
        <f>SUMIFS(MainData[Quantity],MainData[EventID],LaborCost[[#This Row],[EventID]],MainData[Product],J$6)</f>
        <v>7</v>
      </c>
      <c r="K17" s="107">
        <f>SUMIFS(MainData[Quantity],MainData[EventID],LaborCost[[#This Row],[EventID]],MainData[Product],K$6)</f>
        <v>3</v>
      </c>
      <c r="L17" s="107">
        <f>SUMIFS(MainData[Quantity],MainData[EventID],LaborCost[[#This Row],[EventID]],MainData[Product],L$6)</f>
        <v>0</v>
      </c>
      <c r="M17" s="107">
        <f>SUMIFS(MainData[Quantity],MainData[EventID],LaborCost[[#This Row],[EventID]],MainData[Product],M$6)</f>
        <v>0</v>
      </c>
      <c r="N17" s="134">
        <f>SUMIFS(MainData[Quantity],MainData[EventID],LaborCost[[#This Row],[EventID]],MainData[Product],N$6)</f>
        <v>0</v>
      </c>
      <c r="O17" s="135">
        <f>SUMIFS(MainData[ExtendedPrice],MainData[EventID],LaborCost[[#This Row],[EventID]],MainData[Billable?],"Y",MainData[Category],"Labor")</f>
        <v>700</v>
      </c>
      <c r="P17" s="113"/>
      <c r="T17" s="13"/>
      <c r="U17" s="14"/>
    </row>
    <row r="18" spans="2:21" hidden="1" x14ac:dyDescent="0.25">
      <c r="B18" s="114">
        <v>18</v>
      </c>
      <c r="C18" s="154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55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33">
        <f>MAX(SUMIFS(MainData[Item],MainData[EventID],LaborCost[[#This Row],[EventID]],MainData[Product],H$6),SUMIFS(MainData[Item],MainData[EventID],LaborCost[[#This Row],[EventID]],MainData[Product],"GTD"))</f>
        <v>45</v>
      </c>
      <c r="I18" s="139">
        <f>SUMIFS(MainData[Item],MainData[EventID],LaborCost[[#This Row],[EventID]],MainData[Product],I$6)</f>
        <v>1</v>
      </c>
      <c r="J18" s="107">
        <f>SUMIFS(MainData[Quantity],MainData[EventID],LaborCost[[#This Row],[EventID]],MainData[Product],J$6)</f>
        <v>1</v>
      </c>
      <c r="K18" s="107">
        <f>SUMIFS(MainData[Quantity],MainData[EventID],LaborCost[[#This Row],[EventID]],MainData[Product],K$6)</f>
        <v>1</v>
      </c>
      <c r="L18" s="107">
        <f>SUMIFS(MainData[Quantity],MainData[EventID],LaborCost[[#This Row],[EventID]],MainData[Product],L$6)</f>
        <v>0</v>
      </c>
      <c r="M18" s="107">
        <f>SUMIFS(MainData[Quantity],MainData[EventID],LaborCost[[#This Row],[EventID]],MainData[Product],M$6)</f>
        <v>0</v>
      </c>
      <c r="N18" s="134">
        <f>SUMIFS(MainData[Quantity],MainData[EventID],LaborCost[[#This Row],[EventID]],MainData[Product],N$6)</f>
        <v>0</v>
      </c>
      <c r="O18" s="135">
        <f>SUMIFS(MainData[ExtendedPrice],MainData[EventID],LaborCost[[#This Row],[EventID]],MainData[Billable?],"Y",MainData[Category],"Labor")</f>
        <v>100</v>
      </c>
      <c r="P18" s="113"/>
      <c r="T18" s="13"/>
      <c r="U18" s="14"/>
    </row>
    <row r="19" spans="2:21" hidden="1" x14ac:dyDescent="0.25">
      <c r="B19" s="114">
        <v>19</v>
      </c>
      <c r="C19" s="154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55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33">
        <f>MAX(SUMIFS(MainData[Item],MainData[EventID],LaborCost[[#This Row],[EventID]],MainData[Product],H$6),SUMIFS(MainData[Item],MainData[EventID],LaborCost[[#This Row],[EventID]],MainData[Product],"GTD"))</f>
        <v>59</v>
      </c>
      <c r="I19" s="139">
        <f>SUMIFS(MainData[Item],MainData[EventID],LaborCost[[#This Row],[EventID]],MainData[Product],I$6)</f>
        <v>1</v>
      </c>
      <c r="J19" s="107">
        <f>SUMIFS(MainData[Quantity],MainData[EventID],LaborCost[[#This Row],[EventID]],MainData[Product],J$6)</f>
        <v>1</v>
      </c>
      <c r="K19" s="107">
        <f>SUMIFS(MainData[Quantity],MainData[EventID],LaborCost[[#This Row],[EventID]],MainData[Product],K$6)</f>
        <v>1</v>
      </c>
      <c r="L19" s="107">
        <f>SUMIFS(MainData[Quantity],MainData[EventID],LaborCost[[#This Row],[EventID]],MainData[Product],L$6)</f>
        <v>0</v>
      </c>
      <c r="M19" s="107">
        <f>SUMIFS(MainData[Quantity],MainData[EventID],LaborCost[[#This Row],[EventID]],MainData[Product],M$6)</f>
        <v>0</v>
      </c>
      <c r="N19" s="134">
        <f>SUMIFS(MainData[Quantity],MainData[EventID],LaborCost[[#This Row],[EventID]],MainData[Product],N$6)</f>
        <v>0</v>
      </c>
      <c r="O19" s="135">
        <f>SUMIFS(MainData[ExtendedPrice],MainData[EventID],LaborCost[[#This Row],[EventID]],MainData[Billable?],"Y",MainData[Category],"Labor")</f>
        <v>100</v>
      </c>
      <c r="P19" s="113"/>
      <c r="T19" s="13"/>
      <c r="U19" s="14"/>
    </row>
    <row r="20" spans="2:21" hidden="1" x14ac:dyDescent="0.25">
      <c r="B20" s="114">
        <v>66</v>
      </c>
      <c r="C20" s="154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55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33">
        <f>MAX(SUMIFS(MainData[Item],MainData[EventID],LaborCost[[#This Row],[EventID]],MainData[Product],H$6),SUMIFS(MainData[Item],MainData[EventID],LaborCost[[#This Row],[EventID]],MainData[Product],"GTD"))</f>
        <v>425</v>
      </c>
      <c r="I20" s="139">
        <f>SUMIFS(MainData[Item],MainData[EventID],LaborCost[[#This Row],[EventID]],MainData[Product],I$6)</f>
        <v>2.5</v>
      </c>
      <c r="J20" s="107">
        <f>SUMIFS(MainData[Quantity],MainData[EventID],LaborCost[[#This Row],[EventID]],MainData[Product],J$6)</f>
        <v>5</v>
      </c>
      <c r="K20" s="107">
        <f>SUMIFS(MainData[Quantity],MainData[EventID],LaborCost[[#This Row],[EventID]],MainData[Product],K$6)</f>
        <v>3</v>
      </c>
      <c r="L20" s="107">
        <f>SUMIFS(MainData[Quantity],MainData[EventID],LaborCost[[#This Row],[EventID]],MainData[Product],L$6)</f>
        <v>0</v>
      </c>
      <c r="M20" s="107">
        <f>SUMIFS(MainData[Quantity],MainData[EventID],LaborCost[[#This Row],[EventID]],MainData[Product],M$6)</f>
        <v>0</v>
      </c>
      <c r="N20" s="134">
        <f>SUMIFS(MainData[Quantity],MainData[EventID],LaborCost[[#This Row],[EventID]],MainData[Product],N$6)</f>
        <v>0</v>
      </c>
      <c r="O20" s="135">
        <f>SUMIFS(MainData[ExtendedPrice],MainData[EventID],LaborCost[[#This Row],[EventID]],MainData[Billable?],"Y",MainData[Category],"Labor")</f>
        <v>500</v>
      </c>
      <c r="P20" s="113"/>
    </row>
    <row r="21" spans="2:21" hidden="1" x14ac:dyDescent="0.25">
      <c r="B21" s="114">
        <v>59</v>
      </c>
      <c r="C21" s="154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55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33">
        <f>MAX(SUMIFS(MainData[Item],MainData[EventID],LaborCost[[#This Row],[EventID]],MainData[Product],H$6),SUMIFS(MainData[Item],MainData[EventID],LaborCost[[#This Row],[EventID]],MainData[Product],"GTD"))</f>
        <v>700</v>
      </c>
      <c r="I21" s="139">
        <f>SUMIFS(MainData[Item],MainData[EventID],LaborCost[[#This Row],[EventID]],MainData[Product],I$6)</f>
        <v>3</v>
      </c>
      <c r="J21" s="107">
        <f>SUMIFS(MainData[Quantity],MainData[EventID],LaborCost[[#This Row],[EventID]],MainData[Product],J$6)</f>
        <v>8</v>
      </c>
      <c r="K21" s="107">
        <f>SUMIFS(MainData[Quantity],MainData[EventID],LaborCost[[#This Row],[EventID]],MainData[Product],K$6)</f>
        <v>4</v>
      </c>
      <c r="L21" s="107">
        <f>SUMIFS(MainData[Quantity],MainData[EventID],LaborCost[[#This Row],[EventID]],MainData[Product],L$6)</f>
        <v>0</v>
      </c>
      <c r="M21" s="107">
        <f>SUMIFS(MainData[Quantity],MainData[EventID],LaborCost[[#This Row],[EventID]],MainData[Product],M$6)</f>
        <v>0</v>
      </c>
      <c r="N21" s="134">
        <f>SUMIFS(MainData[Quantity],MainData[EventID],LaborCost[[#This Row],[EventID]],MainData[Product],N$6)</f>
        <v>0</v>
      </c>
      <c r="O21" s="135">
        <f>SUMIFS(MainData[ExtendedPrice],MainData[EventID],LaborCost[[#This Row],[EventID]],MainData[Billable?],"Y",MainData[Category],"Labor")</f>
        <v>800</v>
      </c>
      <c r="P21" s="113"/>
    </row>
    <row r="22" spans="2:21" hidden="1" x14ac:dyDescent="0.25">
      <c r="B22" s="114">
        <v>67</v>
      </c>
      <c r="C22" s="154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55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33">
        <f>MAX(SUMIFS(MainData[Item],MainData[EventID],LaborCost[[#This Row],[EventID]],MainData[Product],H$6),SUMIFS(MainData[Item],MainData[EventID],LaborCost[[#This Row],[EventID]],MainData[Product],"GTD"))</f>
        <v>450</v>
      </c>
      <c r="I22" s="139">
        <f>SUMIFS(MainData[Item],MainData[EventID],LaborCost[[#This Row],[EventID]],MainData[Product],I$6)</f>
        <v>2</v>
      </c>
      <c r="J22" s="107">
        <f>SUMIFS(MainData[Quantity],MainData[EventID],LaborCost[[#This Row],[EventID]],MainData[Product],J$6)</f>
        <v>5</v>
      </c>
      <c r="K22" s="107">
        <f>SUMIFS(MainData[Quantity],MainData[EventID],LaborCost[[#This Row],[EventID]],MainData[Product],K$6)</f>
        <v>3</v>
      </c>
      <c r="L22" s="107">
        <f>SUMIFS(MainData[Quantity],MainData[EventID],LaborCost[[#This Row],[EventID]],MainData[Product],L$6)</f>
        <v>0</v>
      </c>
      <c r="M22" s="107">
        <f>SUMIFS(MainData[Quantity],MainData[EventID],LaborCost[[#This Row],[EventID]],MainData[Product],M$6)</f>
        <v>0</v>
      </c>
      <c r="N22" s="134">
        <f>SUMIFS(MainData[Quantity],MainData[EventID],LaborCost[[#This Row],[EventID]],MainData[Product],N$6)</f>
        <v>0</v>
      </c>
      <c r="O22" s="135">
        <f>SUMIFS(MainData[ExtendedPrice],MainData[EventID],LaborCost[[#This Row],[EventID]],MainData[Billable?],"Y",MainData[Category],"Labor")</f>
        <v>500</v>
      </c>
      <c r="P22" s="113"/>
    </row>
    <row r="23" spans="2:21" hidden="1" x14ac:dyDescent="0.25">
      <c r="B23" s="114">
        <v>71</v>
      </c>
      <c r="C23" s="154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55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33">
        <f>MAX(SUMIFS(MainData[Item],MainData[EventID],LaborCost[[#This Row],[EventID]],MainData[Product],H$6),SUMIFS(MainData[Item],MainData[EventID],LaborCost[[#This Row],[EventID]],MainData[Product],"GTD"))</f>
        <v>35</v>
      </c>
      <c r="I23" s="139">
        <f>SUMIFS(MainData[Item],MainData[EventID],LaborCost[[#This Row],[EventID]],MainData[Product],I$6)</f>
        <v>1</v>
      </c>
      <c r="J23" s="107">
        <f>SUMIFS(MainData[Quantity],MainData[EventID],LaborCost[[#This Row],[EventID]],MainData[Product],J$6)</f>
        <v>0</v>
      </c>
      <c r="K23" s="107">
        <f>SUMIFS(MainData[Quantity],MainData[EventID],LaborCost[[#This Row],[EventID]],MainData[Product],K$6)</f>
        <v>0</v>
      </c>
      <c r="L23" s="107">
        <f>SUMIFS(MainData[Quantity],MainData[EventID],LaborCost[[#This Row],[EventID]],MainData[Product],L$6)</f>
        <v>0</v>
      </c>
      <c r="M23" s="107">
        <f>SUMIFS(MainData[Quantity],MainData[EventID],LaborCost[[#This Row],[EventID]],MainData[Product],M$6)</f>
        <v>1</v>
      </c>
      <c r="N23" s="134">
        <f>SUMIFS(MainData[Quantity],MainData[EventID],LaborCost[[#This Row],[EventID]],MainData[Product],N$6)</f>
        <v>0</v>
      </c>
      <c r="O23" s="135">
        <f>SUMIFS(MainData[ExtendedPrice],MainData[EventID],LaborCost[[#This Row],[EventID]],MainData[Billable?],"Y",MainData[Category],"Labor")</f>
        <v>0</v>
      </c>
      <c r="P23" s="113" t="s">
        <v>6</v>
      </c>
    </row>
    <row r="24" spans="2:21" hidden="1" x14ac:dyDescent="0.25">
      <c r="B24" s="114">
        <v>78</v>
      </c>
      <c r="C24" s="154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55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33">
        <f>MAX(SUMIFS(MainData[Item],MainData[EventID],LaborCost[[#This Row],[EventID]],MainData[Product],H$6),SUMIFS(MainData[Item],MainData[EventID],LaborCost[[#This Row],[EventID]],MainData[Product],"GTD"))</f>
        <v>40</v>
      </c>
      <c r="I24" s="139">
        <f>SUMIFS(MainData[Item],MainData[EventID],LaborCost[[#This Row],[EventID]],MainData[Product],I$6)</f>
        <v>2</v>
      </c>
      <c r="J24" s="107">
        <f>SUMIFS(MainData[Quantity],MainData[EventID],LaborCost[[#This Row],[EventID]],MainData[Product],J$6)</f>
        <v>1</v>
      </c>
      <c r="K24" s="107">
        <f>SUMIFS(MainData[Quantity],MainData[EventID],LaborCost[[#This Row],[EventID]],MainData[Product],K$6)</f>
        <v>1</v>
      </c>
      <c r="L24" s="107">
        <f>SUMIFS(MainData[Quantity],MainData[EventID],LaborCost[[#This Row],[EventID]],MainData[Product],L$6)</f>
        <v>0</v>
      </c>
      <c r="M24" s="107">
        <f>SUMIFS(MainData[Quantity],MainData[EventID],LaborCost[[#This Row],[EventID]],MainData[Product],M$6)</f>
        <v>0</v>
      </c>
      <c r="N24" s="134">
        <f>SUMIFS(MainData[Quantity],MainData[EventID],LaborCost[[#This Row],[EventID]],MainData[Product],N$6)</f>
        <v>0</v>
      </c>
      <c r="O24" s="135">
        <f>SUMIFS(MainData[ExtendedPrice],MainData[EventID],LaborCost[[#This Row],[EventID]],MainData[Billable?],"Y",MainData[Category],"Labor")</f>
        <v>0</v>
      </c>
      <c r="P24" s="113"/>
    </row>
    <row r="25" spans="2:21" hidden="1" x14ac:dyDescent="0.25">
      <c r="B25" s="114">
        <v>69</v>
      </c>
      <c r="C25" s="154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55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33">
        <f>MAX(SUMIFS(MainData[Item],MainData[EventID],LaborCost[[#This Row],[EventID]],MainData[Product],H$6),SUMIFS(MainData[Item],MainData[EventID],LaborCost[[#This Row],[EventID]],MainData[Product],"GTD"))</f>
        <v>350</v>
      </c>
      <c r="I25" s="139">
        <f>SUMIFS(MainData[Item],MainData[EventID],LaborCost[[#This Row],[EventID]],MainData[Product],I$6)</f>
        <v>1</v>
      </c>
      <c r="J25" s="107">
        <f>SUMIFS(MainData[Quantity],MainData[EventID],LaborCost[[#This Row],[EventID]],MainData[Product],J$6)</f>
        <v>4</v>
      </c>
      <c r="K25" s="107">
        <f>SUMIFS(MainData[Quantity],MainData[EventID],LaborCost[[#This Row],[EventID]],MainData[Product],K$6)</f>
        <v>2</v>
      </c>
      <c r="L25" s="107">
        <f>SUMIFS(MainData[Quantity],MainData[EventID],LaborCost[[#This Row],[EventID]],MainData[Product],L$6)</f>
        <v>0</v>
      </c>
      <c r="M25" s="107">
        <f>SUMIFS(MainData[Quantity],MainData[EventID],LaborCost[[#This Row],[EventID]],MainData[Product],M$6)</f>
        <v>0</v>
      </c>
      <c r="N25" s="134">
        <f>SUMIFS(MainData[Quantity],MainData[EventID],LaborCost[[#This Row],[EventID]],MainData[Product],N$6)</f>
        <v>0</v>
      </c>
      <c r="O25" s="135">
        <f>SUMIFS(MainData[ExtendedPrice],MainData[EventID],LaborCost[[#This Row],[EventID]],MainData[Billable?],"Y",MainData[Category],"Labor")</f>
        <v>400</v>
      </c>
      <c r="P25" s="113"/>
    </row>
    <row r="26" spans="2:21" hidden="1" x14ac:dyDescent="0.25">
      <c r="B26" s="114">
        <v>70</v>
      </c>
      <c r="C26" s="154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55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33">
        <f>MAX(SUMIFS(MainData[Item],MainData[EventID],LaborCost[[#This Row],[EventID]],MainData[Product],H$6),SUMIFS(MainData[Item],MainData[EventID],LaborCost[[#This Row],[EventID]],MainData[Product],"GTD"))</f>
        <v>1200</v>
      </c>
      <c r="I26" s="139">
        <f>SUMIFS(MainData[Item],MainData[EventID],LaborCost[[#This Row],[EventID]],MainData[Product],I$6)</f>
        <v>1.5</v>
      </c>
      <c r="J26" s="107">
        <f>SUMIFS(MainData[Quantity],MainData[EventID],LaborCost[[#This Row],[EventID]],MainData[Product],J$6)</f>
        <v>14</v>
      </c>
      <c r="K26" s="107">
        <f>SUMIFS(MainData[Quantity],MainData[EventID],LaborCost[[#This Row],[EventID]],MainData[Product],K$6)</f>
        <v>6</v>
      </c>
      <c r="L26" s="107">
        <f>SUMIFS(MainData[Quantity],MainData[EventID],LaborCost[[#This Row],[EventID]],MainData[Product],L$6)</f>
        <v>0</v>
      </c>
      <c r="M26" s="107">
        <f>SUMIFS(MainData[Quantity],MainData[EventID],LaborCost[[#This Row],[EventID]],MainData[Product],M$6)</f>
        <v>0</v>
      </c>
      <c r="N26" s="134">
        <f>SUMIFS(MainData[Quantity],MainData[EventID],LaborCost[[#This Row],[EventID]],MainData[Product],N$6)</f>
        <v>0</v>
      </c>
      <c r="O26" s="135">
        <f>SUMIFS(MainData[ExtendedPrice],MainData[EventID],LaborCost[[#This Row],[EventID]],MainData[Billable?],"Y",MainData[Category],"Labor")</f>
        <v>1400</v>
      </c>
      <c r="P26" s="113"/>
    </row>
    <row r="27" spans="2:21" hidden="1" x14ac:dyDescent="0.25">
      <c r="B27" s="114">
        <v>77</v>
      </c>
      <c r="C27" s="154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55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33">
        <f>MAX(SUMIFS(MainData[Item],MainData[EventID],LaborCost[[#This Row],[EventID]],MainData[Product],H$6),SUMIFS(MainData[Item],MainData[EventID],LaborCost[[#This Row],[EventID]],MainData[Product],"GTD"))</f>
        <v>1200</v>
      </c>
      <c r="I27" s="139">
        <f>SUMIFS(MainData[Item],MainData[EventID],LaborCost[[#This Row],[EventID]],MainData[Product],I$6)</f>
        <v>2</v>
      </c>
      <c r="J27" s="107">
        <f>SUMIFS(MainData[Quantity],MainData[EventID],LaborCost[[#This Row],[EventID]],MainData[Product],J$6)</f>
        <v>1</v>
      </c>
      <c r="K27" s="107">
        <f>SUMIFS(MainData[Quantity],MainData[EventID],LaborCost[[#This Row],[EventID]],MainData[Product],K$6)</f>
        <v>1</v>
      </c>
      <c r="L27" s="107">
        <f>SUMIFS(MainData[Quantity],MainData[EventID],LaborCost[[#This Row],[EventID]],MainData[Product],L$6)</f>
        <v>0</v>
      </c>
      <c r="M27" s="107">
        <f>SUMIFS(MainData[Quantity],MainData[EventID],LaborCost[[#This Row],[EventID]],MainData[Product],M$6)</f>
        <v>0</v>
      </c>
      <c r="N27" s="134">
        <f>SUMIFS(MainData[Quantity],MainData[EventID],LaborCost[[#This Row],[EventID]],MainData[Product],N$6)</f>
        <v>0</v>
      </c>
      <c r="O27" s="135">
        <f>SUMIFS(MainData[ExtendedPrice],MainData[EventID],LaborCost[[#This Row],[EventID]],MainData[Billable?],"Y",MainData[Category],"Labor")</f>
        <v>100</v>
      </c>
      <c r="P27" s="113"/>
    </row>
    <row r="28" spans="2:21" hidden="1" x14ac:dyDescent="0.25">
      <c r="B28" s="114">
        <v>68</v>
      </c>
      <c r="C28" s="154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55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33">
        <f>MAX(SUMIFS(MainData[Item],MainData[EventID],LaborCost[[#This Row],[EventID]],MainData[Product],H$6),SUMIFS(MainData[Item],MainData[EventID],LaborCost[[#This Row],[EventID]],MainData[Product],"GTD"))</f>
        <v>125</v>
      </c>
      <c r="I28" s="139">
        <f>SUMIFS(MainData[Item],MainData[EventID],LaborCost[[#This Row],[EventID]],MainData[Product],I$6)</f>
        <v>1</v>
      </c>
      <c r="J28" s="107">
        <f>SUMIFS(MainData[Quantity],MainData[EventID],LaborCost[[#This Row],[EventID]],MainData[Product],J$6)</f>
        <v>1</v>
      </c>
      <c r="K28" s="107">
        <f>SUMIFS(MainData[Quantity],MainData[EventID],LaborCost[[#This Row],[EventID]],MainData[Product],K$6)</f>
        <v>1</v>
      </c>
      <c r="L28" s="107">
        <f>SUMIFS(MainData[Quantity],MainData[EventID],LaborCost[[#This Row],[EventID]],MainData[Product],L$6)</f>
        <v>0</v>
      </c>
      <c r="M28" s="107">
        <f>SUMIFS(MainData[Quantity],MainData[EventID],LaborCost[[#This Row],[EventID]],MainData[Product],M$6)</f>
        <v>0</v>
      </c>
      <c r="N28" s="134">
        <f>SUMIFS(MainData[Quantity],MainData[EventID],LaborCost[[#This Row],[EventID]],MainData[Product],N$6)</f>
        <v>0</v>
      </c>
      <c r="O28" s="135">
        <f>SUMIFS(MainData[ExtendedPrice],MainData[EventID],LaborCost[[#This Row],[EventID]],MainData[Billable?],"Y",MainData[Category],"Labor")</f>
        <v>100</v>
      </c>
      <c r="P28" s="113"/>
    </row>
    <row r="29" spans="2:21" hidden="1" x14ac:dyDescent="0.25">
      <c r="B29" s="114">
        <v>74</v>
      </c>
      <c r="C29" s="154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55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33">
        <f>MAX(SUMIFS(MainData[Item],MainData[EventID],LaborCost[[#This Row],[EventID]],MainData[Product],H$6),SUMIFS(MainData[Item],MainData[EventID],LaborCost[[#This Row],[EventID]],MainData[Product],"GTD"))</f>
        <v>135</v>
      </c>
      <c r="I29" s="139">
        <f>SUMIFS(MainData[Item],MainData[EventID],LaborCost[[#This Row],[EventID]],MainData[Product],I$6)</f>
        <v>1</v>
      </c>
      <c r="J29" s="107">
        <f>SUMIFS(MainData[Quantity],MainData[EventID],LaborCost[[#This Row],[EventID]],MainData[Product],J$6)</f>
        <v>1</v>
      </c>
      <c r="K29" s="107">
        <f>SUMIFS(MainData[Quantity],MainData[EventID],LaborCost[[#This Row],[EventID]],MainData[Product],K$6)</f>
        <v>1</v>
      </c>
      <c r="L29" s="107">
        <f>SUMIFS(MainData[Quantity],MainData[EventID],LaborCost[[#This Row],[EventID]],MainData[Product],L$6)</f>
        <v>0</v>
      </c>
      <c r="M29" s="107">
        <f>SUMIFS(MainData[Quantity],MainData[EventID],LaborCost[[#This Row],[EventID]],MainData[Product],M$6)</f>
        <v>0</v>
      </c>
      <c r="N29" s="134">
        <f>SUMIFS(MainData[Quantity],MainData[EventID],LaborCost[[#This Row],[EventID]],MainData[Product],N$6)</f>
        <v>0</v>
      </c>
      <c r="O29" s="135">
        <f>SUMIFS(MainData[ExtendedPrice],MainData[EventID],LaborCost[[#This Row],[EventID]],MainData[Billable?],"Y",MainData[Category],"Labor")</f>
        <v>100</v>
      </c>
      <c r="P29" s="113"/>
    </row>
    <row r="30" spans="2:21" hidden="1" x14ac:dyDescent="0.25">
      <c r="B30" s="114">
        <v>75</v>
      </c>
      <c r="C30" s="154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55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33">
        <f>MAX(SUMIFS(MainData[Item],MainData[EventID],LaborCost[[#This Row],[EventID]],MainData[Product],H$6),SUMIFS(MainData[Item],MainData[EventID],LaborCost[[#This Row],[EventID]],MainData[Product],"GTD"))</f>
        <v>115</v>
      </c>
      <c r="I30" s="139">
        <f>SUMIFS(MainData[Item],MainData[EventID],LaborCost[[#This Row],[EventID]],MainData[Product],I$6)</f>
        <v>1</v>
      </c>
      <c r="J30" s="107">
        <f>SUMIFS(MainData[Quantity],MainData[EventID],LaborCost[[#This Row],[EventID]],MainData[Product],J$6)</f>
        <v>1</v>
      </c>
      <c r="K30" s="107">
        <f>SUMIFS(MainData[Quantity],MainData[EventID],LaborCost[[#This Row],[EventID]],MainData[Product],K$6)</f>
        <v>1</v>
      </c>
      <c r="L30" s="107">
        <f>SUMIFS(MainData[Quantity],MainData[EventID],LaborCost[[#This Row],[EventID]],MainData[Product],L$6)</f>
        <v>0</v>
      </c>
      <c r="M30" s="107">
        <f>SUMIFS(MainData[Quantity],MainData[EventID],LaborCost[[#This Row],[EventID]],MainData[Product],M$6)</f>
        <v>0</v>
      </c>
      <c r="N30" s="134">
        <f>SUMIFS(MainData[Quantity],MainData[EventID],LaborCost[[#This Row],[EventID]],MainData[Product],N$6)</f>
        <v>0</v>
      </c>
      <c r="O30" s="135">
        <f>SUMIFS(MainData[ExtendedPrice],MainData[EventID],LaborCost[[#This Row],[EventID]],MainData[Billable?],"Y",MainData[Category],"Labor")</f>
        <v>100</v>
      </c>
      <c r="P30" s="113"/>
    </row>
    <row r="31" spans="2:21" hidden="1" x14ac:dyDescent="0.25">
      <c r="B31" s="114">
        <v>79</v>
      </c>
      <c r="C31" s="154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55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33">
        <f>MAX(SUMIFS(MainData[Item],MainData[EventID],LaborCost[[#This Row],[EventID]],MainData[Product],H$6),SUMIFS(MainData[Item],MainData[EventID],LaborCost[[#This Row],[EventID]],MainData[Product],"GTD"))</f>
        <v>120</v>
      </c>
      <c r="I31" s="139">
        <f>SUMIFS(MainData[Item],MainData[EventID],LaborCost[[#This Row],[EventID]],MainData[Product],I$6)</f>
        <v>1</v>
      </c>
      <c r="J31" s="107">
        <f>SUMIFS(MainData[Quantity],MainData[EventID],LaborCost[[#This Row],[EventID]],MainData[Product],J$6)</f>
        <v>1</v>
      </c>
      <c r="K31" s="107">
        <f>SUMIFS(MainData[Quantity],MainData[EventID],LaborCost[[#This Row],[EventID]],MainData[Product],K$6)</f>
        <v>1</v>
      </c>
      <c r="L31" s="107">
        <f>SUMIFS(MainData[Quantity],MainData[EventID],LaborCost[[#This Row],[EventID]],MainData[Product],L$6)</f>
        <v>0</v>
      </c>
      <c r="M31" s="107">
        <f>SUMIFS(MainData[Quantity],MainData[EventID],LaborCost[[#This Row],[EventID]],MainData[Product],M$6)</f>
        <v>0</v>
      </c>
      <c r="N31" s="134">
        <f>SUMIFS(MainData[Quantity],MainData[EventID],LaborCost[[#This Row],[EventID]],MainData[Product],N$6)</f>
        <v>0</v>
      </c>
      <c r="O31" s="135">
        <f>SUMIFS(MainData[ExtendedPrice],MainData[EventID],LaborCost[[#This Row],[EventID]],MainData[Billable?],"Y",MainData[Category],"Labor")</f>
        <v>100</v>
      </c>
      <c r="P31" s="113"/>
    </row>
    <row r="32" spans="2:21" hidden="1" x14ac:dyDescent="0.25">
      <c r="B32" s="114">
        <v>72</v>
      </c>
      <c r="C32" s="154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55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33">
        <f>MAX(SUMIFS(MainData[Item],MainData[EventID],LaborCost[[#This Row],[EventID]],MainData[Product],H$6),SUMIFS(MainData[Item],MainData[EventID],LaborCost[[#This Row],[EventID]],MainData[Product],"GTD"))</f>
        <v>795</v>
      </c>
      <c r="I32" s="139">
        <f>SUMIFS(MainData[Item],MainData[EventID],LaborCost[[#This Row],[EventID]],MainData[Product],I$6)</f>
        <v>2.5</v>
      </c>
      <c r="J32" s="107">
        <f>SUMIFS(MainData[Quantity],MainData[EventID],LaborCost[[#This Row],[EventID]],MainData[Product],J$6)</f>
        <v>9</v>
      </c>
      <c r="K32" s="107">
        <f>SUMIFS(MainData[Quantity],MainData[EventID],LaborCost[[#This Row],[EventID]],MainData[Product],K$6)</f>
        <v>4</v>
      </c>
      <c r="L32" s="107">
        <f>SUMIFS(MainData[Quantity],MainData[EventID],LaborCost[[#This Row],[EventID]],MainData[Product],L$6)</f>
        <v>0</v>
      </c>
      <c r="M32" s="107">
        <f>SUMIFS(MainData[Quantity],MainData[EventID],LaborCost[[#This Row],[EventID]],MainData[Product],M$6)</f>
        <v>0</v>
      </c>
      <c r="N32" s="134">
        <f>SUMIFS(MainData[Quantity],MainData[EventID],LaborCost[[#This Row],[EventID]],MainData[Product],N$6)</f>
        <v>0</v>
      </c>
      <c r="O32" s="135">
        <f>SUMIFS(MainData[ExtendedPrice],MainData[EventID],LaborCost[[#This Row],[EventID]],MainData[Billable?],"Y",MainData[Category],"Labor")</f>
        <v>900</v>
      </c>
      <c r="P32" s="113"/>
    </row>
    <row r="33" spans="2:16" hidden="1" x14ac:dyDescent="0.25">
      <c r="B33" s="114">
        <v>73</v>
      </c>
      <c r="C33" s="154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55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33">
        <f>MAX(SUMIFS(MainData[Item],MainData[EventID],LaborCost[[#This Row],[EventID]],MainData[Product],H$6),SUMIFS(MainData[Item],MainData[EventID],LaborCost[[#This Row],[EventID]],MainData[Product],"GTD"))</f>
        <v>65</v>
      </c>
      <c r="I33" s="139">
        <f>SUMIFS(MainData[Item],MainData[EventID],LaborCost[[#This Row],[EventID]],MainData[Product],I$6)</f>
        <v>0.5</v>
      </c>
      <c r="J33" s="107">
        <f>SUMIFS(MainData[Quantity],MainData[EventID],LaborCost[[#This Row],[EventID]],MainData[Product],J$6)</f>
        <v>1</v>
      </c>
      <c r="K33" s="107">
        <f>SUMIFS(MainData[Quantity],MainData[EventID],LaborCost[[#This Row],[EventID]],MainData[Product],K$6)</f>
        <v>1</v>
      </c>
      <c r="L33" s="107">
        <f>SUMIFS(MainData[Quantity],MainData[EventID],LaborCost[[#This Row],[EventID]],MainData[Product],L$6)</f>
        <v>0</v>
      </c>
      <c r="M33" s="107">
        <f>SUMIFS(MainData[Quantity],MainData[EventID],LaborCost[[#This Row],[EventID]],MainData[Product],M$6)</f>
        <v>0</v>
      </c>
      <c r="N33" s="134">
        <f>SUMIFS(MainData[Quantity],MainData[EventID],LaborCost[[#This Row],[EventID]],MainData[Product],N$6)</f>
        <v>0</v>
      </c>
      <c r="O33" s="135">
        <f>SUMIFS(MainData[ExtendedPrice],MainData[EventID],LaborCost[[#This Row],[EventID]],MainData[Billable?],"Y",MainData[Category],"Labor")</f>
        <v>100</v>
      </c>
      <c r="P33" s="113"/>
    </row>
    <row r="34" spans="2:16" hidden="1" x14ac:dyDescent="0.25">
      <c r="B34" s="114">
        <v>8</v>
      </c>
      <c r="C34" s="154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55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33">
        <f>MAX(SUMIFS(MainData[Item],MainData[EventID],LaborCost[[#This Row],[EventID]],MainData[Product],H$6),SUMIFS(MainData[Item],MainData[EventID],LaborCost[[#This Row],[EventID]],MainData[Product],"GTD"))</f>
        <v>18</v>
      </c>
      <c r="I34" s="139">
        <f>SUMIFS(MainData[Item],MainData[EventID],LaborCost[[#This Row],[EventID]],MainData[Product],I$6)</f>
        <v>1</v>
      </c>
      <c r="J34" s="107">
        <f>SUMIFS(MainData[Quantity],MainData[EventID],LaborCost[[#This Row],[EventID]],MainData[Product],J$6)</f>
        <v>0</v>
      </c>
      <c r="K34" s="107">
        <f>SUMIFS(MainData[Quantity],MainData[EventID],LaborCost[[#This Row],[EventID]],MainData[Product],K$6)</f>
        <v>0</v>
      </c>
      <c r="L34" s="107">
        <f>SUMIFS(MainData[Quantity],MainData[EventID],LaborCost[[#This Row],[EventID]],MainData[Product],L$6)</f>
        <v>0</v>
      </c>
      <c r="M34" s="107">
        <f>SUMIFS(MainData[Quantity],MainData[EventID],LaborCost[[#This Row],[EventID]],MainData[Product],M$6)</f>
        <v>1</v>
      </c>
      <c r="N34" s="134">
        <f>SUMIFS(MainData[Quantity],MainData[EventID],LaborCost[[#This Row],[EventID]],MainData[Product],N$6)</f>
        <v>0</v>
      </c>
      <c r="O34" s="135">
        <f>SUMIFS(MainData[ExtendedPrice],MainData[EventID],LaborCost[[#This Row],[EventID]],MainData[Billable?],"Y",MainData[Category],"Labor")</f>
        <v>0</v>
      </c>
      <c r="P34" s="113" t="s">
        <v>6</v>
      </c>
    </row>
    <row r="35" spans="2:16" hidden="1" x14ac:dyDescent="0.25">
      <c r="B35" s="114">
        <v>76</v>
      </c>
      <c r="C35" s="154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55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33">
        <f>MAX(SUMIFS(MainData[Item],MainData[EventID],LaborCost[[#This Row],[EventID]],MainData[Product],H$6),SUMIFS(MainData[Item],MainData[EventID],LaborCost[[#This Row],[EventID]],MainData[Product],"GTD"))</f>
        <v>65</v>
      </c>
      <c r="I35" s="139">
        <f>SUMIFS(MainData[Item],MainData[EventID],LaborCost[[#This Row],[EventID]],MainData[Product],I$6)</f>
        <v>1.5</v>
      </c>
      <c r="J35" s="107">
        <f>SUMIFS(MainData[Quantity],MainData[EventID],LaborCost[[#This Row],[EventID]],MainData[Product],J$6)</f>
        <v>1</v>
      </c>
      <c r="K35" s="107">
        <f>SUMIFS(MainData[Quantity],MainData[EventID],LaborCost[[#This Row],[EventID]],MainData[Product],K$6)</f>
        <v>1</v>
      </c>
      <c r="L35" s="107">
        <f>SUMIFS(MainData[Quantity],MainData[EventID],LaborCost[[#This Row],[EventID]],MainData[Product],L$6)</f>
        <v>0</v>
      </c>
      <c r="M35" s="107">
        <f>SUMIFS(MainData[Quantity],MainData[EventID],LaborCost[[#This Row],[EventID]],MainData[Product],M$6)</f>
        <v>0</v>
      </c>
      <c r="N35" s="134">
        <f>SUMIFS(MainData[Quantity],MainData[EventID],LaborCost[[#This Row],[EventID]],MainData[Product],N$6)</f>
        <v>0</v>
      </c>
      <c r="O35" s="135">
        <f>SUMIFS(MainData[ExtendedPrice],MainData[EventID],LaborCost[[#This Row],[EventID]],MainData[Billable?],"Y",MainData[Category],"Labor")</f>
        <v>100</v>
      </c>
      <c r="P35" s="113"/>
    </row>
    <row r="36" spans="2:16" hidden="1" x14ac:dyDescent="0.25">
      <c r="B36" s="114">
        <v>93</v>
      </c>
      <c r="C36" s="154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55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33">
        <f>MAX(SUMIFS(MainData[Item],MainData[EventID],LaborCost[[#This Row],[EventID]],MainData[Product],H$6),SUMIFS(MainData[Item],MainData[EventID],LaborCost[[#This Row],[EventID]],MainData[Product],"GTD"))</f>
        <v>55</v>
      </c>
      <c r="I36" s="139">
        <f>SUMIFS(MainData[Item],MainData[EventID],LaborCost[[#This Row],[EventID]],MainData[Product],I$6)</f>
        <v>1</v>
      </c>
      <c r="J36" s="107">
        <f>SUMIFS(MainData[Quantity],MainData[EventID],LaborCost[[#This Row],[EventID]],MainData[Product],J$6)</f>
        <v>1</v>
      </c>
      <c r="K36" s="107">
        <f>SUMIFS(MainData[Quantity],MainData[EventID],LaborCost[[#This Row],[EventID]],MainData[Product],K$6)</f>
        <v>1</v>
      </c>
      <c r="L36" s="107">
        <f>SUMIFS(MainData[Quantity],MainData[EventID],LaborCost[[#This Row],[EventID]],MainData[Product],L$6)</f>
        <v>0</v>
      </c>
      <c r="M36" s="107">
        <f>SUMIFS(MainData[Quantity],MainData[EventID],LaborCost[[#This Row],[EventID]],MainData[Product],M$6)</f>
        <v>0</v>
      </c>
      <c r="N36" s="134">
        <f>SUMIFS(MainData[Quantity],MainData[EventID],LaborCost[[#This Row],[EventID]],MainData[Product],N$6)</f>
        <v>0</v>
      </c>
      <c r="O36" s="135">
        <f>SUMIFS(MainData[ExtendedPrice],MainData[EventID],LaborCost[[#This Row],[EventID]],MainData[Billable?],"Y",MainData[Category],"Labor")</f>
        <v>100</v>
      </c>
      <c r="P36" s="113"/>
    </row>
    <row r="37" spans="2:16" hidden="1" x14ac:dyDescent="0.25">
      <c r="B37" s="114">
        <v>94</v>
      </c>
      <c r="C37" s="154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55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33">
        <f>MAX(SUMIFS(MainData[Item],MainData[EventID],LaborCost[[#This Row],[EventID]],MainData[Product],H$6),SUMIFS(MainData[Item],MainData[EventID],LaborCost[[#This Row],[EventID]],MainData[Product],"GTD"))</f>
        <v>145</v>
      </c>
      <c r="I37" s="139">
        <f>SUMIFS(MainData[Item],MainData[EventID],LaborCost[[#This Row],[EventID]],MainData[Product],I$6)</f>
        <v>2.5</v>
      </c>
      <c r="J37" s="107">
        <f>SUMIFS(MainData[Quantity],MainData[EventID],LaborCost[[#This Row],[EventID]],MainData[Product],J$6)</f>
        <v>2</v>
      </c>
      <c r="K37" s="107">
        <f>SUMIFS(MainData[Quantity],MainData[EventID],LaborCost[[#This Row],[EventID]],MainData[Product],K$6)</f>
        <v>1</v>
      </c>
      <c r="L37" s="107">
        <f>SUMIFS(MainData[Quantity],MainData[EventID],LaborCost[[#This Row],[EventID]],MainData[Product],L$6)</f>
        <v>0</v>
      </c>
      <c r="M37" s="107">
        <f>SUMIFS(MainData[Quantity],MainData[EventID],LaborCost[[#This Row],[EventID]],MainData[Product],M$6)</f>
        <v>0</v>
      </c>
      <c r="N37" s="134">
        <f>SUMIFS(MainData[Quantity],MainData[EventID],LaborCost[[#This Row],[EventID]],MainData[Product],N$6)</f>
        <v>0</v>
      </c>
      <c r="O37" s="135">
        <f>SUMIFS(MainData[ExtendedPrice],MainData[EventID],LaborCost[[#This Row],[EventID]],MainData[Billable?],"Y",MainData[Category],"Labor")</f>
        <v>200</v>
      </c>
      <c r="P37" s="113"/>
    </row>
    <row r="38" spans="2:16" hidden="1" x14ac:dyDescent="0.25">
      <c r="B38" s="114">
        <v>42</v>
      </c>
      <c r="C38" s="154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55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33">
        <f>MAX(SUMIFS(MainData[Item],MainData[EventID],LaborCost[[#This Row],[EventID]],MainData[Product],H$6),SUMIFS(MainData[Item],MainData[EventID],LaborCost[[#This Row],[EventID]],MainData[Product],"GTD"))</f>
        <v>245</v>
      </c>
      <c r="I38" s="139">
        <f>SUMIFS(MainData[Item],MainData[EventID],LaborCost[[#This Row],[EventID]],MainData[Product],I$6)</f>
        <v>2.5</v>
      </c>
      <c r="J38" s="107">
        <f>SUMIFS(MainData[Quantity],MainData[EventID],LaborCost[[#This Row],[EventID]],MainData[Product],J$6)</f>
        <v>3</v>
      </c>
      <c r="K38" s="107">
        <f>SUMIFS(MainData[Quantity],MainData[EventID],LaborCost[[#This Row],[EventID]],MainData[Product],K$6)</f>
        <v>2</v>
      </c>
      <c r="L38" s="107">
        <f>SUMIFS(MainData[Quantity],MainData[EventID],LaborCost[[#This Row],[EventID]],MainData[Product],L$6)</f>
        <v>0</v>
      </c>
      <c r="M38" s="107">
        <f>SUMIFS(MainData[Quantity],MainData[EventID],LaborCost[[#This Row],[EventID]],MainData[Product],M$6)</f>
        <v>0</v>
      </c>
      <c r="N38" s="134">
        <f>SUMIFS(MainData[Quantity],MainData[EventID],LaborCost[[#This Row],[EventID]],MainData[Product],N$6)</f>
        <v>0</v>
      </c>
      <c r="O38" s="135">
        <f>SUMIFS(MainData[ExtendedPrice],MainData[EventID],LaborCost[[#This Row],[EventID]],MainData[Billable?],"Y",MainData[Category],"Labor")</f>
        <v>300</v>
      </c>
      <c r="P38" s="113"/>
    </row>
    <row r="39" spans="2:16" hidden="1" x14ac:dyDescent="0.25">
      <c r="B39" s="114">
        <v>23</v>
      </c>
      <c r="C39" s="154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55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33">
        <f>MAX(SUMIFS(MainData[Item],MainData[EventID],LaborCost[[#This Row],[EventID]],MainData[Product],H$6),SUMIFS(MainData[Item],MainData[EventID],LaborCost[[#This Row],[EventID]],MainData[Product],"GTD"))</f>
        <v>25</v>
      </c>
      <c r="I39" s="139">
        <f>SUMIFS(MainData[Item],MainData[EventID],LaborCost[[#This Row],[EventID]],MainData[Product],I$6)</f>
        <v>12</v>
      </c>
      <c r="J39" s="107">
        <f>SUMIFS(MainData[Quantity],MainData[EventID],LaborCost[[#This Row],[EventID]],MainData[Product],J$6)</f>
        <v>0</v>
      </c>
      <c r="K39" s="107">
        <f>SUMIFS(MainData[Quantity],MainData[EventID],LaborCost[[#This Row],[EventID]],MainData[Product],K$6)</f>
        <v>1</v>
      </c>
      <c r="L39" s="107">
        <f>SUMIFS(MainData[Quantity],MainData[EventID],LaborCost[[#This Row],[EventID]],MainData[Product],L$6)</f>
        <v>0</v>
      </c>
      <c r="M39" s="107">
        <f>SUMIFS(MainData[Quantity],MainData[EventID],LaborCost[[#This Row],[EventID]],MainData[Product],M$6)</f>
        <v>0</v>
      </c>
      <c r="N39" s="134">
        <f>SUMIFS(MainData[Quantity],MainData[EventID],LaborCost[[#This Row],[EventID]],MainData[Product],N$6)</f>
        <v>0</v>
      </c>
      <c r="O39" s="135">
        <f>SUMIFS(MainData[ExtendedPrice],MainData[EventID],LaborCost[[#This Row],[EventID]],MainData[Billable?],"Y",MainData[Category],"Labor")</f>
        <v>0</v>
      </c>
      <c r="P39" s="113"/>
    </row>
    <row r="40" spans="2:16" hidden="1" x14ac:dyDescent="0.25">
      <c r="B40" s="114">
        <v>60</v>
      </c>
      <c r="C40" s="154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55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33">
        <f>MAX(SUMIFS(MainData[Item],MainData[EventID],LaborCost[[#This Row],[EventID]],MainData[Product],H$6),SUMIFS(MainData[Item],MainData[EventID],LaborCost[[#This Row],[EventID]],MainData[Product],"GTD"))</f>
        <v>75</v>
      </c>
      <c r="I40" s="139">
        <f>SUMIFS(MainData[Item],MainData[EventID],LaborCost[[#This Row],[EventID]],MainData[Product],I$6)</f>
        <v>2</v>
      </c>
      <c r="J40" s="107">
        <f>SUMIFS(MainData[Quantity],MainData[EventID],LaborCost[[#This Row],[EventID]],MainData[Product],J$6)</f>
        <v>1</v>
      </c>
      <c r="K40" s="107">
        <f>SUMIFS(MainData[Quantity],MainData[EventID],LaborCost[[#This Row],[EventID]],MainData[Product],K$6)</f>
        <v>1</v>
      </c>
      <c r="L40" s="107">
        <f>SUMIFS(MainData[Quantity],MainData[EventID],LaborCost[[#This Row],[EventID]],MainData[Product],L$6)</f>
        <v>0</v>
      </c>
      <c r="M40" s="107">
        <f>SUMIFS(MainData[Quantity],MainData[EventID],LaborCost[[#This Row],[EventID]],MainData[Product],M$6)</f>
        <v>0</v>
      </c>
      <c r="N40" s="134">
        <f>SUMIFS(MainData[Quantity],MainData[EventID],LaborCost[[#This Row],[EventID]],MainData[Product],N$6)</f>
        <v>0</v>
      </c>
      <c r="O40" s="135">
        <f>SUMIFS(MainData[ExtendedPrice],MainData[EventID],LaborCost[[#This Row],[EventID]],MainData[Billable?],"Y",MainData[Category],"Labor")</f>
        <v>100</v>
      </c>
      <c r="P40" s="113"/>
    </row>
    <row r="41" spans="2:16" hidden="1" x14ac:dyDescent="0.25">
      <c r="B41" s="114">
        <v>24</v>
      </c>
      <c r="C41" s="154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55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33">
        <f>MAX(SUMIFS(MainData[Item],MainData[EventID],LaborCost[[#This Row],[EventID]],MainData[Product],H$6),SUMIFS(MainData[Item],MainData[EventID],LaborCost[[#This Row],[EventID]],MainData[Product],"GTD"))</f>
        <v>25</v>
      </c>
      <c r="I41" s="139">
        <f>SUMIFS(MainData[Item],MainData[EventID],LaborCost[[#This Row],[EventID]],MainData[Product],I$6)</f>
        <v>12</v>
      </c>
      <c r="J41" s="107">
        <f>SUMIFS(MainData[Quantity],MainData[EventID],LaborCost[[#This Row],[EventID]],MainData[Product],J$6)</f>
        <v>0</v>
      </c>
      <c r="K41" s="107">
        <f>SUMIFS(MainData[Quantity],MainData[EventID],LaborCost[[#This Row],[EventID]],MainData[Product],K$6)</f>
        <v>1</v>
      </c>
      <c r="L41" s="107">
        <f>SUMIFS(MainData[Quantity],MainData[EventID],LaborCost[[#This Row],[EventID]],MainData[Product],L$6)</f>
        <v>0</v>
      </c>
      <c r="M41" s="107">
        <f>SUMIFS(MainData[Quantity],MainData[EventID],LaborCost[[#This Row],[EventID]],MainData[Product],M$6)</f>
        <v>0</v>
      </c>
      <c r="N41" s="134">
        <f>SUMIFS(MainData[Quantity],MainData[EventID],LaborCost[[#This Row],[EventID]],MainData[Product],N$6)</f>
        <v>0</v>
      </c>
      <c r="O41" s="135">
        <f>SUMIFS(MainData[ExtendedPrice],MainData[EventID],LaborCost[[#This Row],[EventID]],MainData[Billable?],"Y",MainData[Category],"Labor")</f>
        <v>0</v>
      </c>
      <c r="P41" s="113"/>
    </row>
    <row r="42" spans="2:16" hidden="1" x14ac:dyDescent="0.25">
      <c r="B42" s="114">
        <v>6</v>
      </c>
      <c r="C42" s="154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55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33">
        <f>MAX(SUMIFS(MainData[Item],MainData[EventID],LaborCost[[#This Row],[EventID]],MainData[Product],H$6),SUMIFS(MainData[Item],MainData[EventID],LaborCost[[#This Row],[EventID]],MainData[Product],"GTD"))</f>
        <v>60</v>
      </c>
      <c r="I42" s="139">
        <f>SUMIFS(MainData[Item],MainData[EventID],LaborCost[[#This Row],[EventID]],MainData[Product],I$6)</f>
        <v>2</v>
      </c>
      <c r="J42" s="107">
        <f>SUMIFS(MainData[Quantity],MainData[EventID],LaborCost[[#This Row],[EventID]],MainData[Product],J$6)</f>
        <v>1</v>
      </c>
      <c r="K42" s="107">
        <f>SUMIFS(MainData[Quantity],MainData[EventID],LaborCost[[#This Row],[EventID]],MainData[Product],K$6)</f>
        <v>1</v>
      </c>
      <c r="L42" s="107">
        <f>SUMIFS(MainData[Quantity],MainData[EventID],LaborCost[[#This Row],[EventID]],MainData[Product],L$6)</f>
        <v>0</v>
      </c>
      <c r="M42" s="107">
        <f>SUMIFS(MainData[Quantity],MainData[EventID],LaborCost[[#This Row],[EventID]],MainData[Product],M$6)</f>
        <v>0</v>
      </c>
      <c r="N42" s="134">
        <f>SUMIFS(MainData[Quantity],MainData[EventID],LaborCost[[#This Row],[EventID]],MainData[Product],N$6)</f>
        <v>0</v>
      </c>
      <c r="O42" s="135">
        <f>SUMIFS(MainData[ExtendedPrice],MainData[EventID],LaborCost[[#This Row],[EventID]],MainData[Billable?],"Y",MainData[Category],"Labor")</f>
        <v>100</v>
      </c>
      <c r="P42" s="113"/>
    </row>
    <row r="43" spans="2:16" hidden="1" x14ac:dyDescent="0.25">
      <c r="B43" s="114">
        <v>20</v>
      </c>
      <c r="C43" s="154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55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33">
        <f>MAX(SUMIFS(MainData[Item],MainData[EventID],LaborCost[[#This Row],[EventID]],MainData[Product],H$6),SUMIFS(MainData[Item],MainData[EventID],LaborCost[[#This Row],[EventID]],MainData[Product],"GTD"))</f>
        <v>25</v>
      </c>
      <c r="I43" s="139">
        <f>SUMIFS(MainData[Item],MainData[EventID],LaborCost[[#This Row],[EventID]],MainData[Product],I$6)</f>
        <v>12</v>
      </c>
      <c r="J43" s="107">
        <f>SUMIFS(MainData[Quantity],MainData[EventID],LaborCost[[#This Row],[EventID]],MainData[Product],J$6)</f>
        <v>0</v>
      </c>
      <c r="K43" s="107">
        <f>SUMIFS(MainData[Quantity],MainData[EventID],LaborCost[[#This Row],[EventID]],MainData[Product],K$6)</f>
        <v>1</v>
      </c>
      <c r="L43" s="107">
        <f>SUMIFS(MainData[Quantity],MainData[EventID],LaborCost[[#This Row],[EventID]],MainData[Product],L$6)</f>
        <v>0</v>
      </c>
      <c r="M43" s="107">
        <f>SUMIFS(MainData[Quantity],MainData[EventID],LaborCost[[#This Row],[EventID]],MainData[Product],M$6)</f>
        <v>0</v>
      </c>
      <c r="N43" s="134">
        <f>SUMIFS(MainData[Quantity],MainData[EventID],LaborCost[[#This Row],[EventID]],MainData[Product],N$6)</f>
        <v>0</v>
      </c>
      <c r="O43" s="135">
        <f>SUMIFS(MainData[ExtendedPrice],MainData[EventID],LaborCost[[#This Row],[EventID]],MainData[Billable?],"Y",MainData[Category],"Labor")</f>
        <v>0</v>
      </c>
      <c r="P43" s="113"/>
    </row>
    <row r="44" spans="2:16" hidden="1" x14ac:dyDescent="0.25">
      <c r="B44" s="114">
        <v>4</v>
      </c>
      <c r="C44" s="154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55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33">
        <f>MAX(SUMIFS(MainData[Item],MainData[EventID],LaborCost[[#This Row],[EventID]],MainData[Product],H$6),SUMIFS(MainData[Item],MainData[EventID],LaborCost[[#This Row],[EventID]],MainData[Product],"GTD"))</f>
        <v>125</v>
      </c>
      <c r="I44" s="139">
        <f>SUMIFS(MainData[Item],MainData[EventID],LaborCost[[#This Row],[EventID]],MainData[Product],I$6)</f>
        <v>1</v>
      </c>
      <c r="J44" s="107">
        <f>SUMIFS(MainData[Quantity],MainData[EventID],LaborCost[[#This Row],[EventID]],MainData[Product],J$6)</f>
        <v>1</v>
      </c>
      <c r="K44" s="107">
        <f>SUMIFS(MainData[Quantity],MainData[EventID],LaborCost[[#This Row],[EventID]],MainData[Product],K$6)</f>
        <v>1</v>
      </c>
      <c r="L44" s="107">
        <f>SUMIFS(MainData[Quantity],MainData[EventID],LaborCost[[#This Row],[EventID]],MainData[Product],L$6)</f>
        <v>0</v>
      </c>
      <c r="M44" s="107">
        <f>SUMIFS(MainData[Quantity],MainData[EventID],LaborCost[[#This Row],[EventID]],MainData[Product],M$6)</f>
        <v>0</v>
      </c>
      <c r="N44" s="134">
        <f>SUMIFS(MainData[Quantity],MainData[EventID],LaborCost[[#This Row],[EventID]],MainData[Product],N$6)</f>
        <v>0</v>
      </c>
      <c r="O44" s="135">
        <f>SUMIFS(MainData[ExtendedPrice],MainData[EventID],LaborCost[[#This Row],[EventID]],MainData[Billable?],"Y",MainData[Category],"Labor")</f>
        <v>100</v>
      </c>
      <c r="P44" s="113"/>
    </row>
    <row r="45" spans="2:16" hidden="1" x14ac:dyDescent="0.25">
      <c r="B45" s="114">
        <v>45</v>
      </c>
      <c r="C45" s="154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55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33">
        <f>MAX(SUMIFS(MainData[Item],MainData[EventID],LaborCost[[#This Row],[EventID]],MainData[Product],H$6),SUMIFS(MainData[Item],MainData[EventID],LaborCost[[#This Row],[EventID]],MainData[Product],"GTD"))</f>
        <v>145</v>
      </c>
      <c r="I45" s="139">
        <f>SUMIFS(MainData[Item],MainData[EventID],LaborCost[[#This Row],[EventID]],MainData[Product],I$6)</f>
        <v>3</v>
      </c>
      <c r="J45" s="107">
        <f>SUMIFS(MainData[Quantity],MainData[EventID],LaborCost[[#This Row],[EventID]],MainData[Product],J$6)</f>
        <v>2</v>
      </c>
      <c r="K45" s="107">
        <f>SUMIFS(MainData[Quantity],MainData[EventID],LaborCost[[#This Row],[EventID]],MainData[Product],K$6)</f>
        <v>1</v>
      </c>
      <c r="L45" s="107">
        <f>SUMIFS(MainData[Quantity],MainData[EventID],LaborCost[[#This Row],[EventID]],MainData[Product],L$6)</f>
        <v>0</v>
      </c>
      <c r="M45" s="107">
        <f>SUMIFS(MainData[Quantity],MainData[EventID],LaborCost[[#This Row],[EventID]],MainData[Product],M$6)</f>
        <v>0</v>
      </c>
      <c r="N45" s="134">
        <f>SUMIFS(MainData[Quantity],MainData[EventID],LaborCost[[#This Row],[EventID]],MainData[Product],N$6)</f>
        <v>0</v>
      </c>
      <c r="O45" s="135">
        <f>SUMIFS(MainData[ExtendedPrice],MainData[EventID],LaborCost[[#This Row],[EventID]],MainData[Billable?],"Y",MainData[Category],"Labor")</f>
        <v>200</v>
      </c>
      <c r="P45" s="113"/>
    </row>
    <row r="46" spans="2:16" hidden="1" x14ac:dyDescent="0.25">
      <c r="B46" s="114">
        <v>61</v>
      </c>
      <c r="C46" s="154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55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33">
        <f>MAX(SUMIFS(MainData[Item],MainData[EventID],LaborCost[[#This Row],[EventID]],MainData[Product],H$6),SUMIFS(MainData[Item],MainData[EventID],LaborCost[[#This Row],[EventID]],MainData[Product],"GTD"))</f>
        <v>270</v>
      </c>
      <c r="I46" s="139">
        <f>SUMIFS(MainData[Item],MainData[EventID],LaborCost[[#This Row],[EventID]],MainData[Product],I$6)</f>
        <v>1.5</v>
      </c>
      <c r="J46" s="107">
        <f>SUMIFS(MainData[Quantity],MainData[EventID],LaborCost[[#This Row],[EventID]],MainData[Product],J$6)</f>
        <v>3</v>
      </c>
      <c r="K46" s="107">
        <f>SUMIFS(MainData[Quantity],MainData[EventID],LaborCost[[#This Row],[EventID]],MainData[Product],K$6)</f>
        <v>1</v>
      </c>
      <c r="L46" s="107">
        <f>SUMIFS(MainData[Quantity],MainData[EventID],LaborCost[[#This Row],[EventID]],MainData[Product],L$6)</f>
        <v>0</v>
      </c>
      <c r="M46" s="107">
        <f>SUMIFS(MainData[Quantity],MainData[EventID],LaborCost[[#This Row],[EventID]],MainData[Product],M$6)</f>
        <v>0</v>
      </c>
      <c r="N46" s="134">
        <f>SUMIFS(MainData[Quantity],MainData[EventID],LaborCost[[#This Row],[EventID]],MainData[Product],N$6)</f>
        <v>0</v>
      </c>
      <c r="O46" s="135">
        <f>SUMIFS(MainData[ExtendedPrice],MainData[EventID],LaborCost[[#This Row],[EventID]],MainData[Billable?],"Y",MainData[Category],"Labor")</f>
        <v>300</v>
      </c>
      <c r="P46" s="113"/>
    </row>
    <row r="47" spans="2:16" hidden="1" x14ac:dyDescent="0.25">
      <c r="B47" s="114">
        <v>62</v>
      </c>
      <c r="C47" s="154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55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33">
        <f>MAX(SUMIFS(MainData[Item],MainData[EventID],LaborCost[[#This Row],[EventID]],MainData[Product],H$6),SUMIFS(MainData[Item],MainData[EventID],LaborCost[[#This Row],[EventID]],MainData[Product],"GTD"))</f>
        <v>270</v>
      </c>
      <c r="I47" s="139">
        <f>SUMIFS(MainData[Item],MainData[EventID],LaborCost[[#This Row],[EventID]],MainData[Product],I$6)</f>
        <v>1</v>
      </c>
      <c r="J47" s="107">
        <f>SUMIFS(MainData[Quantity],MainData[EventID],LaborCost[[#This Row],[EventID]],MainData[Product],J$6)</f>
        <v>1</v>
      </c>
      <c r="K47" s="107">
        <f>SUMIFS(MainData[Quantity],MainData[EventID],LaborCost[[#This Row],[EventID]],MainData[Product],K$6)</f>
        <v>1</v>
      </c>
      <c r="L47" s="107">
        <f>SUMIFS(MainData[Quantity],MainData[EventID],LaborCost[[#This Row],[EventID]],MainData[Product],L$6)</f>
        <v>0</v>
      </c>
      <c r="M47" s="107">
        <f>SUMIFS(MainData[Quantity],MainData[EventID],LaborCost[[#This Row],[EventID]],MainData[Product],M$6)</f>
        <v>0</v>
      </c>
      <c r="N47" s="134">
        <f>SUMIFS(MainData[Quantity],MainData[EventID],LaborCost[[#This Row],[EventID]],MainData[Product],N$6)</f>
        <v>0</v>
      </c>
      <c r="O47" s="135">
        <f>SUMIFS(MainData[ExtendedPrice],MainData[EventID],LaborCost[[#This Row],[EventID]],MainData[Billable?],"Y",MainData[Category],"Labor")</f>
        <v>100</v>
      </c>
      <c r="P47" s="113"/>
    </row>
    <row r="48" spans="2:16" hidden="1" x14ac:dyDescent="0.25">
      <c r="B48" s="114">
        <v>21</v>
      </c>
      <c r="C48" s="154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55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33">
        <f>MAX(SUMIFS(MainData[Item],MainData[EventID],LaborCost[[#This Row],[EventID]],MainData[Product],H$6),SUMIFS(MainData[Item],MainData[EventID],LaborCost[[#This Row],[EventID]],MainData[Product],"GTD"))</f>
        <v>25</v>
      </c>
      <c r="I48" s="139">
        <f>SUMIFS(MainData[Item],MainData[EventID],LaborCost[[#This Row],[EventID]],MainData[Product],I$6)</f>
        <v>12</v>
      </c>
      <c r="J48" s="107">
        <f>SUMIFS(MainData[Quantity],MainData[EventID],LaborCost[[#This Row],[EventID]],MainData[Product],J$6)</f>
        <v>0</v>
      </c>
      <c r="K48" s="107">
        <f>SUMIFS(MainData[Quantity],MainData[EventID],LaborCost[[#This Row],[EventID]],MainData[Product],K$6)</f>
        <v>1</v>
      </c>
      <c r="L48" s="107">
        <f>SUMIFS(MainData[Quantity],MainData[EventID],LaborCost[[#This Row],[EventID]],MainData[Product],L$6)</f>
        <v>0</v>
      </c>
      <c r="M48" s="107">
        <f>SUMIFS(MainData[Quantity],MainData[EventID],LaborCost[[#This Row],[EventID]],MainData[Product],M$6)</f>
        <v>0</v>
      </c>
      <c r="N48" s="134">
        <f>SUMIFS(MainData[Quantity],MainData[EventID],LaborCost[[#This Row],[EventID]],MainData[Product],N$6)</f>
        <v>0</v>
      </c>
      <c r="O48" s="135">
        <f>SUMIFS(MainData[ExtendedPrice],MainData[EventID],LaborCost[[#This Row],[EventID]],MainData[Billable?],"Y",MainData[Category],"Labor")</f>
        <v>0</v>
      </c>
      <c r="P48" s="113"/>
    </row>
    <row r="49" spans="2:16" hidden="1" x14ac:dyDescent="0.25">
      <c r="B49" s="114">
        <v>5</v>
      </c>
      <c r="C49" s="154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55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33">
        <f>MAX(SUMIFS(MainData[Item],MainData[EventID],LaborCost[[#This Row],[EventID]],MainData[Product],H$6),SUMIFS(MainData[Item],MainData[EventID],LaborCost[[#This Row],[EventID]],MainData[Product],"GTD"))</f>
        <v>85</v>
      </c>
      <c r="I49" s="139">
        <f>SUMIFS(MainData[Item],MainData[EventID],LaborCost[[#This Row],[EventID]],MainData[Product],I$6)</f>
        <v>2</v>
      </c>
      <c r="J49" s="107">
        <f>SUMIFS(MainData[Quantity],MainData[EventID],LaborCost[[#This Row],[EventID]],MainData[Product],J$6)</f>
        <v>1</v>
      </c>
      <c r="K49" s="107">
        <f>SUMIFS(MainData[Quantity],MainData[EventID],LaborCost[[#This Row],[EventID]],MainData[Product],K$6)</f>
        <v>1</v>
      </c>
      <c r="L49" s="107">
        <f>SUMIFS(MainData[Quantity],MainData[EventID],LaborCost[[#This Row],[EventID]],MainData[Product],L$6)</f>
        <v>0</v>
      </c>
      <c r="M49" s="107">
        <f>SUMIFS(MainData[Quantity],MainData[EventID],LaborCost[[#This Row],[EventID]],MainData[Product],M$6)</f>
        <v>0</v>
      </c>
      <c r="N49" s="134">
        <f>SUMIFS(MainData[Quantity],MainData[EventID],LaborCost[[#This Row],[EventID]],MainData[Product],N$6)</f>
        <v>0</v>
      </c>
      <c r="O49" s="135">
        <f>SUMIFS(MainData[ExtendedPrice],MainData[EventID],LaborCost[[#This Row],[EventID]],MainData[Billable?],"Y",MainData[Category],"Labor")</f>
        <v>100</v>
      </c>
      <c r="P49" s="113"/>
    </row>
    <row r="50" spans="2:16" hidden="1" x14ac:dyDescent="0.25">
      <c r="B50" s="114">
        <v>63</v>
      </c>
      <c r="C50" s="154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55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33">
        <f>MAX(SUMIFS(MainData[Item],MainData[EventID],LaborCost[[#This Row],[EventID]],MainData[Product],H$6),SUMIFS(MainData[Item],MainData[EventID],LaborCost[[#This Row],[EventID]],MainData[Product],"GTD"))</f>
        <v>55</v>
      </c>
      <c r="I50" s="139">
        <f>SUMIFS(MainData[Item],MainData[EventID],LaborCost[[#This Row],[EventID]],MainData[Product],I$6)</f>
        <v>2.5</v>
      </c>
      <c r="J50" s="107">
        <f>SUMIFS(MainData[Quantity],MainData[EventID],LaborCost[[#This Row],[EventID]],MainData[Product],J$6)</f>
        <v>1</v>
      </c>
      <c r="K50" s="107">
        <f>SUMIFS(MainData[Quantity],MainData[EventID],LaborCost[[#This Row],[EventID]],MainData[Product],K$6)</f>
        <v>1</v>
      </c>
      <c r="L50" s="107">
        <f>SUMIFS(MainData[Quantity],MainData[EventID],LaborCost[[#This Row],[EventID]],MainData[Product],L$6)</f>
        <v>0</v>
      </c>
      <c r="M50" s="107">
        <f>SUMIFS(MainData[Quantity],MainData[EventID],LaborCost[[#This Row],[EventID]],MainData[Product],M$6)</f>
        <v>0</v>
      </c>
      <c r="N50" s="134">
        <f>SUMIFS(MainData[Quantity],MainData[EventID],LaborCost[[#This Row],[EventID]],MainData[Product],N$6)</f>
        <v>0</v>
      </c>
      <c r="O50" s="135">
        <f>SUMIFS(MainData[ExtendedPrice],MainData[EventID],LaborCost[[#This Row],[EventID]],MainData[Billable?],"Y",MainData[Category],"Labor")</f>
        <v>100</v>
      </c>
      <c r="P50" s="113"/>
    </row>
    <row r="51" spans="2:16" hidden="1" x14ac:dyDescent="0.25">
      <c r="B51" s="114">
        <v>25</v>
      </c>
      <c r="C51" s="154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55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33">
        <f>MAX(SUMIFS(MainData[Item],MainData[EventID],LaborCost[[#This Row],[EventID]],MainData[Product],H$6),SUMIFS(MainData[Item],MainData[EventID],LaborCost[[#This Row],[EventID]],MainData[Product],"GTD"))</f>
        <v>1000</v>
      </c>
      <c r="I51" s="139">
        <f>SUMIFS(MainData[Item],MainData[EventID],LaborCost[[#This Row],[EventID]],MainData[Product],I$6)</f>
        <v>3</v>
      </c>
      <c r="J51" s="107">
        <f>SUMIFS(MainData[Quantity],MainData[EventID],LaborCost[[#This Row],[EventID]],MainData[Product],J$6)</f>
        <v>10</v>
      </c>
      <c r="K51" s="107">
        <f>SUMIFS(MainData[Quantity],MainData[EventID],LaborCost[[#This Row],[EventID]],MainData[Product],K$6)</f>
        <v>5</v>
      </c>
      <c r="L51" s="107">
        <f>SUMIFS(MainData[Quantity],MainData[EventID],LaborCost[[#This Row],[EventID]],MainData[Product],L$6)</f>
        <v>0</v>
      </c>
      <c r="M51" s="107">
        <f>SUMIFS(MainData[Quantity],MainData[EventID],LaborCost[[#This Row],[EventID]],MainData[Product],M$6)</f>
        <v>0</v>
      </c>
      <c r="N51" s="134">
        <f>SUMIFS(MainData[Quantity],MainData[EventID],LaborCost[[#This Row],[EventID]],MainData[Product],N$6)</f>
        <v>0</v>
      </c>
      <c r="O51" s="135">
        <f>SUMIFS(MainData[ExtendedPrice],MainData[EventID],LaborCost[[#This Row],[EventID]],MainData[Billable?],"Y",MainData[Category],"Labor")</f>
        <v>600</v>
      </c>
      <c r="P51" s="113" t="s">
        <v>517</v>
      </c>
    </row>
    <row r="52" spans="2:16" hidden="1" x14ac:dyDescent="0.25">
      <c r="B52" s="114">
        <v>22</v>
      </c>
      <c r="C52" s="154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55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33">
        <f>MAX(SUMIFS(MainData[Item],MainData[EventID],LaborCost[[#This Row],[EventID]],MainData[Product],H$6),SUMIFS(MainData[Item],MainData[EventID],LaborCost[[#This Row],[EventID]],MainData[Product],"GTD"))</f>
        <v>25</v>
      </c>
      <c r="I52" s="139">
        <f>SUMIFS(MainData[Item],MainData[EventID],LaborCost[[#This Row],[EventID]],MainData[Product],I$6)</f>
        <v>12</v>
      </c>
      <c r="J52" s="107">
        <f>SUMIFS(MainData[Quantity],MainData[EventID],LaborCost[[#This Row],[EventID]],MainData[Product],J$6)</f>
        <v>0</v>
      </c>
      <c r="K52" s="107">
        <f>SUMIFS(MainData[Quantity],MainData[EventID],LaborCost[[#This Row],[EventID]],MainData[Product],K$6)</f>
        <v>1</v>
      </c>
      <c r="L52" s="107">
        <f>SUMIFS(MainData[Quantity],MainData[EventID],LaborCost[[#This Row],[EventID]],MainData[Product],L$6)</f>
        <v>0</v>
      </c>
      <c r="M52" s="107">
        <f>SUMIFS(MainData[Quantity],MainData[EventID],LaborCost[[#This Row],[EventID]],MainData[Product],M$6)</f>
        <v>0</v>
      </c>
      <c r="N52" s="134">
        <f>SUMIFS(MainData[Quantity],MainData[EventID],LaborCost[[#This Row],[EventID]],MainData[Product],N$6)</f>
        <v>0</v>
      </c>
      <c r="O52" s="135">
        <f>SUMIFS(MainData[ExtendedPrice],MainData[EventID],LaborCost[[#This Row],[EventID]],MainData[Billable?],"Y",MainData[Category],"Labor")</f>
        <v>0</v>
      </c>
      <c r="P52" s="113"/>
    </row>
    <row r="53" spans="2:16" x14ac:dyDescent="0.25">
      <c r="B53" s="114">
        <v>103</v>
      </c>
      <c r="C53" s="154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55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33">
        <f>MAX(SUMIFS(MainData[Item],MainData[EventID],LaborCost[[#This Row],[EventID]],MainData[Product],H$6),SUMIFS(MainData[Item],MainData[EventID],LaborCost[[#This Row],[EventID]],MainData[Product],"GTD"))</f>
        <v>18</v>
      </c>
      <c r="I53" s="139">
        <f>SUMIFS(MainData[Item],MainData[EventID],LaborCost[[#This Row],[EventID]],MainData[Product],I$6)</f>
        <v>1</v>
      </c>
      <c r="J53" s="107">
        <f>SUMIFS(MainData[Quantity],MainData[EventID],LaborCost[[#This Row],[EventID]],MainData[Product],J$6)</f>
        <v>0</v>
      </c>
      <c r="K53" s="107">
        <f>SUMIFS(MainData[Quantity],MainData[EventID],LaborCost[[#This Row],[EventID]],MainData[Product],K$6)</f>
        <v>0</v>
      </c>
      <c r="L53" s="107">
        <f>SUMIFS(MainData[Quantity],MainData[EventID],LaborCost[[#This Row],[EventID]],MainData[Product],L$6)</f>
        <v>0</v>
      </c>
      <c r="M53" s="107">
        <f>SUMIFS(MainData[Quantity],MainData[EventID],LaborCost[[#This Row],[EventID]],MainData[Product],M$6)</f>
        <v>1</v>
      </c>
      <c r="N53" s="134">
        <f>SUMIFS(MainData[Quantity],MainData[EventID],LaborCost[[#This Row],[EventID]],MainData[Product],N$6)</f>
        <v>0</v>
      </c>
      <c r="O53" s="135">
        <f>SUMIFS(MainData[ExtendedPrice],MainData[EventID],LaborCost[[#This Row],[EventID]],MainData[Billable?],"Y",MainData[Category],"Labor")</f>
        <v>0</v>
      </c>
      <c r="P53" s="113" t="s">
        <v>6</v>
      </c>
    </row>
    <row r="54" spans="2:16" x14ac:dyDescent="0.25">
      <c r="B54" s="114">
        <v>11</v>
      </c>
      <c r="C54" s="154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55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33">
        <f>MAX(SUMIFS(MainData[Item],MainData[EventID],LaborCost[[#This Row],[EventID]],MainData[Product],H$6),SUMIFS(MainData[Item],MainData[EventID],LaborCost[[#This Row],[EventID]],MainData[Product],"GTD"))</f>
        <v>80</v>
      </c>
      <c r="I54" s="139">
        <f>SUMIFS(MainData[Item],MainData[EventID],LaborCost[[#This Row],[EventID]],MainData[Product],I$6)</f>
        <v>2</v>
      </c>
      <c r="J54" s="107">
        <f>SUMIFS(MainData[Quantity],MainData[EventID],LaborCost[[#This Row],[EventID]],MainData[Product],J$6)</f>
        <v>1</v>
      </c>
      <c r="K54" s="107">
        <f>SUMIFS(MainData[Quantity],MainData[EventID],LaborCost[[#This Row],[EventID]],MainData[Product],K$6)</f>
        <v>1</v>
      </c>
      <c r="L54" s="107">
        <f>SUMIFS(MainData[Quantity],MainData[EventID],LaborCost[[#This Row],[EventID]],MainData[Product],L$6)</f>
        <v>0</v>
      </c>
      <c r="M54" s="107">
        <f>SUMIFS(MainData[Quantity],MainData[EventID],LaborCost[[#This Row],[EventID]],MainData[Product],M$6)</f>
        <v>0</v>
      </c>
      <c r="N54" s="134">
        <f>SUMIFS(MainData[Quantity],MainData[EventID],LaborCost[[#This Row],[EventID]],MainData[Product],N$6)</f>
        <v>0</v>
      </c>
      <c r="O54" s="135">
        <f>SUMIFS(MainData[ExtendedPrice],MainData[EventID],LaborCost[[#This Row],[EventID]],MainData[Billable?],"Y",MainData[Category],"Labor")</f>
        <v>0</v>
      </c>
      <c r="P54" s="113"/>
    </row>
    <row r="55" spans="2:16" x14ac:dyDescent="0.25">
      <c r="B55" s="114">
        <v>105</v>
      </c>
      <c r="C55" s="154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55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33">
        <f>MAX(SUMIFS(MainData[Item],MainData[EventID],LaborCost[[#This Row],[EventID]],MainData[Product],H$6),SUMIFS(MainData[Item],MainData[EventID],LaborCost[[#This Row],[EventID]],MainData[Product],"GTD"))</f>
        <v>270</v>
      </c>
      <c r="I55" s="139">
        <f>SUMIFS(MainData[Item],MainData[EventID],LaborCost[[#This Row],[EventID]],MainData[Product],I$6)</f>
        <v>4</v>
      </c>
      <c r="J55" s="107">
        <f>SUMIFS(MainData[Quantity],MainData[EventID],LaborCost[[#This Row],[EventID]],MainData[Product],J$6)</f>
        <v>3</v>
      </c>
      <c r="K55" s="107">
        <f>SUMIFS(MainData[Quantity],MainData[EventID],LaborCost[[#This Row],[EventID]],MainData[Product],K$6)</f>
        <v>2</v>
      </c>
      <c r="L55" s="107">
        <f>SUMIFS(MainData[Quantity],MainData[EventID],LaborCost[[#This Row],[EventID]],MainData[Product],L$6)</f>
        <v>0</v>
      </c>
      <c r="M55" s="107">
        <f>SUMIFS(MainData[Quantity],MainData[EventID],LaborCost[[#This Row],[EventID]],MainData[Product],M$6)</f>
        <v>0</v>
      </c>
      <c r="N55" s="134">
        <f>SUMIFS(MainData[Quantity],MainData[EventID],LaborCost[[#This Row],[EventID]],MainData[Product],N$6)</f>
        <v>0</v>
      </c>
      <c r="O55" s="135">
        <f>SUMIFS(MainData[ExtendedPrice],MainData[EventID],LaborCost[[#This Row],[EventID]],MainData[Billable?],"Y",MainData[Category],"Labor")</f>
        <v>300</v>
      </c>
      <c r="P55" s="113"/>
    </row>
    <row r="56" spans="2:16" x14ac:dyDescent="0.25">
      <c r="B56" s="114">
        <v>13</v>
      </c>
      <c r="C56" s="154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55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33">
        <f>MAX(SUMIFS(MainData[Item],MainData[EventID],LaborCost[[#This Row],[EventID]],MainData[Product],H$6),SUMIFS(MainData[Item],MainData[EventID],LaborCost[[#This Row],[EventID]],MainData[Product],"GTD"))</f>
        <v>45</v>
      </c>
      <c r="I56" s="139">
        <f>SUMIFS(MainData[Item],MainData[EventID],LaborCost[[#This Row],[EventID]],MainData[Product],I$6)</f>
        <v>1</v>
      </c>
      <c r="J56" s="107">
        <f>SUMIFS(MainData[Quantity],MainData[EventID],LaborCost[[#This Row],[EventID]],MainData[Product],J$6)</f>
        <v>1</v>
      </c>
      <c r="K56" s="107">
        <f>SUMIFS(MainData[Quantity],MainData[EventID],LaborCost[[#This Row],[EventID]],MainData[Product],K$6)</f>
        <v>1</v>
      </c>
      <c r="L56" s="107">
        <f>SUMIFS(MainData[Quantity],MainData[EventID],LaborCost[[#This Row],[EventID]],MainData[Product],L$6)</f>
        <v>0</v>
      </c>
      <c r="M56" s="107">
        <f>SUMIFS(MainData[Quantity],MainData[EventID],LaborCost[[#This Row],[EventID]],MainData[Product],M$6)</f>
        <v>0</v>
      </c>
      <c r="N56" s="134">
        <f>SUMIFS(MainData[Quantity],MainData[EventID],LaborCost[[#This Row],[EventID]],MainData[Product],N$6)</f>
        <v>0</v>
      </c>
      <c r="O56" s="135">
        <f>SUMIFS(MainData[ExtendedPrice],MainData[EventID],LaborCost[[#This Row],[EventID]],MainData[Billable?],"Y",MainData[Category],"Labor")</f>
        <v>100</v>
      </c>
      <c r="P56" s="113"/>
    </row>
    <row r="57" spans="2:16" x14ac:dyDescent="0.25">
      <c r="B57" s="114">
        <v>10</v>
      </c>
      <c r="C57" s="154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55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33">
        <f>MAX(SUMIFS(MainData[Item],MainData[EventID],LaborCost[[#This Row],[EventID]],MainData[Product],H$6),SUMIFS(MainData[Item],MainData[EventID],LaborCost[[#This Row],[EventID]],MainData[Product],"GTD"))</f>
        <v>60</v>
      </c>
      <c r="I57" s="139">
        <f>SUMIFS(MainData[Item],MainData[EventID],LaborCost[[#This Row],[EventID]],MainData[Product],I$6)</f>
        <v>2</v>
      </c>
      <c r="J57" s="107">
        <f>SUMIFS(MainData[Quantity],MainData[EventID],LaborCost[[#This Row],[EventID]],MainData[Product],J$6)</f>
        <v>1</v>
      </c>
      <c r="K57" s="107">
        <f>SUMIFS(MainData[Quantity],MainData[EventID],LaborCost[[#This Row],[EventID]],MainData[Product],K$6)</f>
        <v>1</v>
      </c>
      <c r="L57" s="107">
        <f>SUMIFS(MainData[Quantity],MainData[EventID],LaborCost[[#This Row],[EventID]],MainData[Product],L$6)</f>
        <v>0</v>
      </c>
      <c r="M57" s="107">
        <f>SUMIFS(MainData[Quantity],MainData[EventID],LaborCost[[#This Row],[EventID]],MainData[Product],M$6)</f>
        <v>0</v>
      </c>
      <c r="N57" s="134">
        <f>SUMIFS(MainData[Quantity],MainData[EventID],LaborCost[[#This Row],[EventID]],MainData[Product],N$6)</f>
        <v>0</v>
      </c>
      <c r="O57" s="135">
        <f>SUMIFS(MainData[ExtendedPrice],MainData[EventID],LaborCost[[#This Row],[EventID]],MainData[Billable?],"Y",MainData[Category],"Labor")</f>
        <v>100</v>
      </c>
      <c r="P57" s="113"/>
    </row>
    <row r="58" spans="2:16" x14ac:dyDescent="0.25">
      <c r="B58" s="114">
        <v>102</v>
      </c>
      <c r="C58" s="154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55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33">
        <f>MAX(SUMIFS(MainData[Item],MainData[EventID],LaborCost[[#This Row],[EventID]],MainData[Product],H$6),SUMIFS(MainData[Item],MainData[EventID],LaborCost[[#This Row],[EventID]],MainData[Product],"GTD"))</f>
        <v>375</v>
      </c>
      <c r="I58" s="139">
        <f>SUMIFS(MainData[Item],MainData[EventID],LaborCost[[#This Row],[EventID]],MainData[Product],I$6)</f>
        <v>3</v>
      </c>
      <c r="J58" s="107">
        <f>SUMIFS(MainData[Quantity],MainData[EventID],LaborCost[[#This Row],[EventID]],MainData[Product],J$6)</f>
        <v>4</v>
      </c>
      <c r="K58" s="107">
        <f>SUMIFS(MainData[Quantity],MainData[EventID],LaborCost[[#This Row],[EventID]],MainData[Product],K$6)</f>
        <v>2</v>
      </c>
      <c r="L58" s="107">
        <f>SUMIFS(MainData[Quantity],MainData[EventID],LaborCost[[#This Row],[EventID]],MainData[Product],L$6)</f>
        <v>0</v>
      </c>
      <c r="M58" s="107">
        <f>SUMIFS(MainData[Quantity],MainData[EventID],LaborCost[[#This Row],[EventID]],MainData[Product],M$6)</f>
        <v>0</v>
      </c>
      <c r="N58" s="134">
        <f>SUMIFS(MainData[Quantity],MainData[EventID],LaborCost[[#This Row],[EventID]],MainData[Product],N$6)</f>
        <v>0</v>
      </c>
      <c r="O58" s="135">
        <f>SUMIFS(MainData[ExtendedPrice],MainData[EventID],LaborCost[[#This Row],[EventID]],MainData[Billable?],"Y",MainData[Category],"Labor")</f>
        <v>400</v>
      </c>
      <c r="P58" s="113"/>
    </row>
    <row r="59" spans="2:16" x14ac:dyDescent="0.25">
      <c r="B59" s="114">
        <v>106</v>
      </c>
      <c r="C59" s="154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55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33">
        <f>MAX(SUMIFS(MainData[Item],MainData[EventID],LaborCost[[#This Row],[EventID]],MainData[Product],H$6),SUMIFS(MainData[Item],MainData[EventID],LaborCost[[#This Row],[EventID]],MainData[Product],"GTD"))</f>
        <v>240</v>
      </c>
      <c r="I59" s="139">
        <f>SUMIFS(MainData[Item],MainData[EventID],LaborCost[[#This Row],[EventID]],MainData[Product],I$6)</f>
        <v>4</v>
      </c>
      <c r="J59" s="107">
        <f>SUMIFS(MainData[Quantity],MainData[EventID],LaborCost[[#This Row],[EventID]],MainData[Product],J$6)</f>
        <v>3</v>
      </c>
      <c r="K59" s="107">
        <f>SUMIFS(MainData[Quantity],MainData[EventID],LaborCost[[#This Row],[EventID]],MainData[Product],K$6)</f>
        <v>2</v>
      </c>
      <c r="L59" s="107">
        <f>SUMIFS(MainData[Quantity],MainData[EventID],LaborCost[[#This Row],[EventID]],MainData[Product],L$6)</f>
        <v>0</v>
      </c>
      <c r="M59" s="107">
        <f>SUMIFS(MainData[Quantity],MainData[EventID],LaborCost[[#This Row],[EventID]],MainData[Product],M$6)</f>
        <v>0</v>
      </c>
      <c r="N59" s="134">
        <f>SUMIFS(MainData[Quantity],MainData[EventID],LaborCost[[#This Row],[EventID]],MainData[Product],N$6)</f>
        <v>0</v>
      </c>
      <c r="O59" s="135">
        <f>SUMIFS(MainData[ExtendedPrice],MainData[EventID],LaborCost[[#This Row],[EventID]],MainData[Billable?],"Y",MainData[Category],"Labor")</f>
        <v>300</v>
      </c>
      <c r="P59" s="113"/>
    </row>
    <row r="60" spans="2:16" x14ac:dyDescent="0.25">
      <c r="B60" s="114">
        <v>12</v>
      </c>
      <c r="C60" s="154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55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33">
        <f>MAX(SUMIFS(MainData[Item],MainData[EventID],LaborCost[[#This Row],[EventID]],MainData[Product],H$6),SUMIFS(MainData[Item],MainData[EventID],LaborCost[[#This Row],[EventID]],MainData[Product],"GTD"))</f>
        <v>165</v>
      </c>
      <c r="I60" s="139">
        <f>SUMIFS(MainData[Item],MainData[EventID],LaborCost[[#This Row],[EventID]],MainData[Product],I$6)</f>
        <v>3</v>
      </c>
      <c r="J60" s="107">
        <f>SUMIFS(MainData[Quantity],MainData[EventID],LaborCost[[#This Row],[EventID]],MainData[Product],J$6)</f>
        <v>2</v>
      </c>
      <c r="K60" s="107">
        <f>SUMIFS(MainData[Quantity],MainData[EventID],LaborCost[[#This Row],[EventID]],MainData[Product],K$6)</f>
        <v>1</v>
      </c>
      <c r="L60" s="107">
        <f>SUMIFS(MainData[Quantity],MainData[EventID],LaborCost[[#This Row],[EventID]],MainData[Product],L$6)</f>
        <v>0</v>
      </c>
      <c r="M60" s="107">
        <f>SUMIFS(MainData[Quantity],MainData[EventID],LaborCost[[#This Row],[EventID]],MainData[Product],M$6)</f>
        <v>0</v>
      </c>
      <c r="N60" s="134">
        <f>SUMIFS(MainData[Quantity],MainData[EventID],LaborCost[[#This Row],[EventID]],MainData[Product],N$6)</f>
        <v>0</v>
      </c>
      <c r="O60" s="135">
        <f>SUMIFS(MainData[ExtendedPrice],MainData[EventID],LaborCost[[#This Row],[EventID]],MainData[Billable?],"Y",MainData[Category],"Labor")</f>
        <v>200</v>
      </c>
      <c r="P60" s="113"/>
    </row>
    <row r="61" spans="2:16" x14ac:dyDescent="0.25">
      <c r="B61" s="114">
        <v>1</v>
      </c>
      <c r="C61" s="154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55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33">
        <f>MAX(SUMIFS(MainData[Item],MainData[EventID],LaborCost[[#This Row],[EventID]],MainData[Product],H$6),SUMIFS(MainData[Item],MainData[EventID],LaborCost[[#This Row],[EventID]],MainData[Product],"GTD"))</f>
        <v>670</v>
      </c>
      <c r="I61" s="139">
        <f>SUMIFS(MainData[Item],MainData[EventID],LaborCost[[#This Row],[EventID]],MainData[Product],I$6)</f>
        <v>2.5</v>
      </c>
      <c r="J61" s="134">
        <f>SUMIFS(MainData[Quantity],MainData[EventID],LaborCost[[#This Row],[EventID]],MainData[Product],J$6)</f>
        <v>7</v>
      </c>
      <c r="K61" s="107">
        <f>SUMIFS(MainData[Quantity],MainData[EventID],LaborCost[[#This Row],[EventID]],MainData[Product],K$6)</f>
        <v>3</v>
      </c>
      <c r="L61" s="107">
        <f>SUMIFS(MainData[Quantity],MainData[EventID],LaborCost[[#This Row],[EventID]],MainData[Product],L$6)</f>
        <v>0</v>
      </c>
      <c r="M61" s="107">
        <f>SUMIFS(MainData[Quantity],MainData[EventID],LaborCost[[#This Row],[EventID]],MainData[Product],M$6)</f>
        <v>0</v>
      </c>
      <c r="N61" s="134">
        <f>SUMIFS(MainData[Quantity],MainData[EventID],LaborCost[[#This Row],[EventID]],MainData[Product],N$6)</f>
        <v>0</v>
      </c>
      <c r="O61" s="135">
        <f>SUMIFS(MainData[ExtendedPrice],MainData[EventID],LaborCost[[#This Row],[EventID]],MainData[Billable?],"Y",MainData[Category],"Labor")</f>
        <v>700</v>
      </c>
      <c r="P61" s="113"/>
    </row>
    <row r="62" spans="2:16" x14ac:dyDescent="0.25">
      <c r="B62" s="114">
        <v>80</v>
      </c>
      <c r="C62" s="154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55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33">
        <f>MAX(SUMIFS(MainData[Item],MainData[EventID],LaborCost[[#This Row],[EventID]],MainData[Product],H$6),SUMIFS(MainData[Item],MainData[EventID],LaborCost[[#This Row],[EventID]],MainData[Product],"GTD"))</f>
        <v>70</v>
      </c>
      <c r="I62" s="139">
        <f>SUMIFS(MainData[Item],MainData[EventID],LaborCost[[#This Row],[EventID]],MainData[Product],I$6)</f>
        <v>4</v>
      </c>
      <c r="J62" s="107">
        <f>SUMIFS(MainData[Quantity],MainData[EventID],LaborCost[[#This Row],[EventID]],MainData[Product],J$6)</f>
        <v>1</v>
      </c>
      <c r="K62" s="107">
        <f>SUMIFS(MainData[Quantity],MainData[EventID],LaborCost[[#This Row],[EventID]],MainData[Product],K$6)</f>
        <v>1</v>
      </c>
      <c r="L62" s="107">
        <f>SUMIFS(MainData[Quantity],MainData[EventID],LaborCost[[#This Row],[EventID]],MainData[Product],L$6)</f>
        <v>0</v>
      </c>
      <c r="M62" s="107">
        <f>SUMIFS(MainData[Quantity],MainData[EventID],LaborCost[[#This Row],[EventID]],MainData[Product],M$6)</f>
        <v>0</v>
      </c>
      <c r="N62" s="134">
        <f>SUMIFS(MainData[Quantity],MainData[EventID],LaborCost[[#This Row],[EventID]],MainData[Product],N$6)</f>
        <v>0</v>
      </c>
      <c r="O62" s="135">
        <f>SUMIFS(MainData[ExtendedPrice],MainData[EventID],LaborCost[[#This Row],[EventID]],MainData[Billable?],"Y",MainData[Category],"Labor")</f>
        <v>100</v>
      </c>
      <c r="P62" s="113"/>
    </row>
    <row r="63" spans="2:16" x14ac:dyDescent="0.25">
      <c r="B63" s="114">
        <v>107</v>
      </c>
      <c r="C63" s="154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55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33">
        <f>MAX(SUMIFS(MainData[Item],MainData[EventID],LaborCost[[#This Row],[EventID]],MainData[Product],H$6),SUMIFS(MainData[Item],MainData[EventID],LaborCost[[#This Row],[EventID]],MainData[Product],"GTD"))</f>
        <v>150</v>
      </c>
      <c r="I63" s="139">
        <f>SUMIFS(MainData[Item],MainData[EventID],LaborCost[[#This Row],[EventID]],MainData[Product],I$6)</f>
        <v>4</v>
      </c>
      <c r="J63" s="107">
        <f>SUMIFS(MainData[Quantity],MainData[EventID],LaborCost[[#This Row],[EventID]],MainData[Product],J$6)</f>
        <v>2</v>
      </c>
      <c r="K63" s="107">
        <f>SUMIFS(MainData[Quantity],MainData[EventID],LaborCost[[#This Row],[EventID]],MainData[Product],K$6)</f>
        <v>1</v>
      </c>
      <c r="L63" s="107">
        <f>SUMIFS(MainData[Quantity],MainData[EventID],LaborCost[[#This Row],[EventID]],MainData[Product],L$6)</f>
        <v>0</v>
      </c>
      <c r="M63" s="107">
        <f>SUMIFS(MainData[Quantity],MainData[EventID],LaborCost[[#This Row],[EventID]],MainData[Product],M$6)</f>
        <v>0</v>
      </c>
      <c r="N63" s="134">
        <f>SUMIFS(MainData[Quantity],MainData[EventID],LaborCost[[#This Row],[EventID]],MainData[Product],N$6)</f>
        <v>0</v>
      </c>
      <c r="O63" s="135">
        <f>SUMIFS(MainData[ExtendedPrice],MainData[EventID],LaborCost[[#This Row],[EventID]],MainData[Billable?],"Y",MainData[Category],"Labor")</f>
        <v>20</v>
      </c>
      <c r="P63" s="113"/>
    </row>
    <row r="64" spans="2:16" x14ac:dyDescent="0.25">
      <c r="B64" s="114">
        <v>104</v>
      </c>
      <c r="C64" s="154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55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33">
        <f>MAX(SUMIFS(MainData[Item],MainData[EventID],LaborCost[[#This Row],[EventID]],MainData[Product],H$6),SUMIFS(MainData[Item],MainData[EventID],LaborCost[[#This Row],[EventID]],MainData[Product],"GTD"))</f>
        <v>175</v>
      </c>
      <c r="I64" s="139">
        <f>SUMIFS(MainData[Item],MainData[EventID],LaborCost[[#This Row],[EventID]],MainData[Product],I$6)</f>
        <v>4</v>
      </c>
      <c r="J64" s="107">
        <f>SUMIFS(MainData[Quantity],MainData[EventID],LaborCost[[#This Row],[EventID]],MainData[Product],J$6)</f>
        <v>2</v>
      </c>
      <c r="K64" s="107">
        <f>SUMIFS(MainData[Quantity],MainData[EventID],LaborCost[[#This Row],[EventID]],MainData[Product],K$6)</f>
        <v>1</v>
      </c>
      <c r="L64" s="107">
        <f>SUMIFS(MainData[Quantity],MainData[EventID],LaborCost[[#This Row],[EventID]],MainData[Product],L$6)</f>
        <v>0</v>
      </c>
      <c r="M64" s="107">
        <f>SUMIFS(MainData[Quantity],MainData[EventID],LaborCost[[#This Row],[EventID]],MainData[Product],M$6)</f>
        <v>0</v>
      </c>
      <c r="N64" s="134">
        <f>SUMIFS(MainData[Quantity],MainData[EventID],LaborCost[[#This Row],[EventID]],MainData[Product],N$6)</f>
        <v>0</v>
      </c>
      <c r="O64" s="135">
        <f>SUMIFS(MainData[ExtendedPrice],MainData[EventID],LaborCost[[#This Row],[EventID]],MainData[Billable?],"Y",MainData[Category],"Labor")</f>
        <v>200</v>
      </c>
      <c r="P64" s="113"/>
    </row>
    <row r="65" spans="2:16" x14ac:dyDescent="0.25">
      <c r="B65" s="114">
        <v>2</v>
      </c>
      <c r="C65" s="154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55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33">
        <f>MAX(SUMIFS(MainData[Item],MainData[EventID],LaborCost[[#This Row],[EventID]],MainData[Product],H$6),SUMIFS(MainData[Item],MainData[EventID],LaborCost[[#This Row],[EventID]],MainData[Product],"GTD"))</f>
        <v>635</v>
      </c>
      <c r="I65" s="139">
        <f>SUMIFS(MainData[Item],MainData[EventID],LaborCost[[#This Row],[EventID]],MainData[Product],I$6)</f>
        <v>2.5</v>
      </c>
      <c r="J65" s="107">
        <f>SUMIFS(MainData[Quantity],MainData[EventID],LaborCost[[#This Row],[EventID]],MainData[Product],J$6)</f>
        <v>7</v>
      </c>
      <c r="K65" s="107">
        <f>SUMIFS(MainData[Quantity],MainData[EventID],LaborCost[[#This Row],[EventID]],MainData[Product],K$6)</f>
        <v>3</v>
      </c>
      <c r="L65" s="107">
        <f>SUMIFS(MainData[Quantity],MainData[EventID],LaborCost[[#This Row],[EventID]],MainData[Product],L$6)</f>
        <v>0</v>
      </c>
      <c r="M65" s="107">
        <f>SUMIFS(MainData[Quantity],MainData[EventID],LaborCost[[#This Row],[EventID]],MainData[Product],M$6)</f>
        <v>0</v>
      </c>
      <c r="N65" s="134">
        <f>SUMIFS(MainData[Quantity],MainData[EventID],LaborCost[[#This Row],[EventID]],MainData[Product],N$6)</f>
        <v>0</v>
      </c>
      <c r="O65" s="135">
        <f>SUMIFS(MainData[ExtendedPrice],MainData[EventID],LaborCost[[#This Row],[EventID]],MainData[Billable?],"Y",MainData[Category],"Labor")</f>
        <v>700</v>
      </c>
      <c r="P65" s="113"/>
    </row>
    <row r="66" spans="2:16" x14ac:dyDescent="0.25">
      <c r="B66" s="114">
        <v>49</v>
      </c>
      <c r="C66" s="154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55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33">
        <f>MAX(SUMIFS(MainData[Item],MainData[EventID],LaborCost[[#This Row],[EventID]],MainData[Product],H$6),SUMIFS(MainData[Item],MainData[EventID],LaborCost[[#This Row],[EventID]],MainData[Product],"GTD"))</f>
        <v>45</v>
      </c>
      <c r="I66" s="139">
        <f>SUMIFS(MainData[Item],MainData[EventID],LaborCost[[#This Row],[EventID]],MainData[Product],I$6)</f>
        <v>2</v>
      </c>
      <c r="J66" s="107">
        <f>SUMIFS(MainData[Quantity],MainData[EventID],LaborCost[[#This Row],[EventID]],MainData[Product],J$6)</f>
        <v>1</v>
      </c>
      <c r="K66" s="107">
        <f>SUMIFS(MainData[Quantity],MainData[EventID],LaborCost[[#This Row],[EventID]],MainData[Product],K$6)</f>
        <v>1</v>
      </c>
      <c r="L66" s="107">
        <f>SUMIFS(MainData[Quantity],MainData[EventID],LaborCost[[#This Row],[EventID]],MainData[Product],L$6)</f>
        <v>0</v>
      </c>
      <c r="M66" s="107">
        <f>SUMIFS(MainData[Quantity],MainData[EventID],LaborCost[[#This Row],[EventID]],MainData[Product],M$6)</f>
        <v>0</v>
      </c>
      <c r="N66" s="134">
        <f>SUMIFS(MainData[Quantity],MainData[EventID],LaborCost[[#This Row],[EventID]],MainData[Product],N$6)</f>
        <v>0</v>
      </c>
      <c r="O66" s="135">
        <f>SUMIFS(MainData[ExtendedPrice],MainData[EventID],LaborCost[[#This Row],[EventID]],MainData[Billable?],"Y",MainData[Category],"Labor")</f>
        <v>0</v>
      </c>
      <c r="P66" s="113"/>
    </row>
    <row r="67" spans="2:16" x14ac:dyDescent="0.25">
      <c r="B67" s="114">
        <v>3</v>
      </c>
      <c r="C67" s="154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55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33">
        <f>MAX(SUMIFS(MainData[Item],MainData[EventID],LaborCost[[#This Row],[EventID]],MainData[Product],H$6),SUMIFS(MainData[Item],MainData[EventID],LaborCost[[#This Row],[EventID]],MainData[Product],"GTD"))</f>
        <v>50</v>
      </c>
      <c r="I67" s="139">
        <f>SUMIFS(MainData[Item],MainData[EventID],LaborCost[[#This Row],[EventID]],MainData[Product],I$6)</f>
        <v>2</v>
      </c>
      <c r="J67" s="107">
        <f>SUMIFS(MainData[Quantity],MainData[EventID],LaborCost[[#This Row],[EventID]],MainData[Product],J$6)</f>
        <v>1</v>
      </c>
      <c r="K67" s="107">
        <f>SUMIFS(MainData[Quantity],MainData[EventID],LaborCost[[#This Row],[EventID]],MainData[Product],K$6)</f>
        <v>1</v>
      </c>
      <c r="L67" s="107">
        <f>SUMIFS(MainData[Quantity],MainData[EventID],LaborCost[[#This Row],[EventID]],MainData[Product],L$6)</f>
        <v>0</v>
      </c>
      <c r="M67" s="107">
        <f>SUMIFS(MainData[Quantity],MainData[EventID],LaborCost[[#This Row],[EventID]],MainData[Product],M$6)</f>
        <v>0</v>
      </c>
      <c r="N67" s="134">
        <f>SUMIFS(MainData[Quantity],MainData[EventID],LaborCost[[#This Row],[EventID]],MainData[Product],N$6)</f>
        <v>0</v>
      </c>
      <c r="O67" s="135">
        <f>SUMIFS(MainData[ExtendedPrice],MainData[EventID],LaborCost[[#This Row],[EventID]],MainData[Billable?],"Y",MainData[Category],"Labor")</f>
        <v>100</v>
      </c>
      <c r="P67" s="113"/>
    </row>
    <row r="68" spans="2:16" x14ac:dyDescent="0.25">
      <c r="B68" s="114">
        <v>46</v>
      </c>
      <c r="C68" s="154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55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33">
        <f>MAX(SUMIFS(MainData[Item],MainData[EventID],LaborCost[[#This Row],[EventID]],MainData[Product],H$6),SUMIFS(MainData[Item],MainData[EventID],LaborCost[[#This Row],[EventID]],MainData[Product],"GTD"))</f>
        <v>35</v>
      </c>
      <c r="I68" s="139">
        <f>SUMIFS(MainData[Item],MainData[EventID],LaborCost[[#This Row],[EventID]],MainData[Product],I$6)</f>
        <v>2.5</v>
      </c>
      <c r="J68" s="107">
        <f>SUMIFS(MainData[Quantity],MainData[EventID],LaborCost[[#This Row],[EventID]],MainData[Product],J$6)</f>
        <v>1</v>
      </c>
      <c r="K68" s="107">
        <f>SUMIFS(MainData[Quantity],MainData[EventID],LaborCost[[#This Row],[EventID]],MainData[Product],K$6)</f>
        <v>1</v>
      </c>
      <c r="L68" s="107">
        <f>SUMIFS(MainData[Quantity],MainData[EventID],LaborCost[[#This Row],[EventID]],MainData[Product],L$6)</f>
        <v>0</v>
      </c>
      <c r="M68" s="107">
        <f>SUMIFS(MainData[Quantity],MainData[EventID],LaborCost[[#This Row],[EventID]],MainData[Product],M$6)</f>
        <v>0</v>
      </c>
      <c r="N68" s="134">
        <f>SUMIFS(MainData[Quantity],MainData[EventID],LaborCost[[#This Row],[EventID]],MainData[Product],N$6)</f>
        <v>0</v>
      </c>
      <c r="O68" s="135">
        <f>SUMIFS(MainData[ExtendedPrice],MainData[EventID],LaborCost[[#This Row],[EventID]],MainData[Billable?],"Y",MainData[Category],"Labor")</f>
        <v>100</v>
      </c>
      <c r="P68" s="113"/>
    </row>
    <row r="69" spans="2:16" x14ac:dyDescent="0.25">
      <c r="B69" s="114">
        <v>89</v>
      </c>
      <c r="C69" s="154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55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33">
        <f>MAX(SUMIFS(MainData[Item],MainData[EventID],LaborCost[[#This Row],[EventID]],MainData[Product],H$6),SUMIFS(MainData[Item],MainData[EventID],LaborCost[[#This Row],[EventID]],MainData[Product],"GTD"))</f>
        <v>245</v>
      </c>
      <c r="I69" s="139">
        <f>SUMIFS(MainData[Item],MainData[EventID],LaborCost[[#This Row],[EventID]],MainData[Product],I$6)</f>
        <v>3</v>
      </c>
      <c r="J69" s="107">
        <f>SUMIFS(MainData[Quantity],MainData[EventID],LaborCost[[#This Row],[EventID]],MainData[Product],J$6)</f>
        <v>3</v>
      </c>
      <c r="K69" s="107">
        <f>SUMIFS(MainData[Quantity],MainData[EventID],LaborCost[[#This Row],[EventID]],MainData[Product],K$6)</f>
        <v>2</v>
      </c>
      <c r="L69" s="107">
        <f>SUMIFS(MainData[Quantity],MainData[EventID],LaborCost[[#This Row],[EventID]],MainData[Product],L$6)</f>
        <v>0</v>
      </c>
      <c r="M69" s="107">
        <f>SUMIFS(MainData[Quantity],MainData[EventID],LaborCost[[#This Row],[EventID]],MainData[Product],M$6)</f>
        <v>0</v>
      </c>
      <c r="N69" s="134">
        <f>SUMIFS(MainData[Quantity],MainData[EventID],LaborCost[[#This Row],[EventID]],MainData[Product],N$6)</f>
        <v>0</v>
      </c>
      <c r="O69" s="135">
        <f>SUMIFS(MainData[ExtendedPrice],MainData[EventID],LaborCost[[#This Row],[EventID]],MainData[Billable?],"Y",MainData[Category],"Labor")</f>
        <v>300</v>
      </c>
      <c r="P69" s="113"/>
    </row>
    <row r="70" spans="2:16" x14ac:dyDescent="0.25">
      <c r="B70" s="114">
        <v>88</v>
      </c>
      <c r="C70" s="154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55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33">
        <f>MAX(SUMIFS(MainData[Item],MainData[EventID],LaborCost[[#This Row],[EventID]],MainData[Product],H$6),SUMIFS(MainData[Item],MainData[EventID],LaborCost[[#This Row],[EventID]],MainData[Product],"GTD"))</f>
        <v>7</v>
      </c>
      <c r="I70" s="139">
        <f>SUMIFS(MainData[Item],MainData[EventID],LaborCost[[#This Row],[EventID]],MainData[Product],I$6)</f>
        <v>3</v>
      </c>
      <c r="J70" s="107">
        <f>SUMIFS(MainData[Quantity],MainData[EventID],LaborCost[[#This Row],[EventID]],MainData[Product],J$6)</f>
        <v>1</v>
      </c>
      <c r="K70" s="107">
        <f>SUMIFS(MainData[Quantity],MainData[EventID],LaborCost[[#This Row],[EventID]],MainData[Product],K$6)</f>
        <v>1</v>
      </c>
      <c r="L70" s="107">
        <f>SUMIFS(MainData[Quantity],MainData[EventID],LaborCost[[#This Row],[EventID]],MainData[Product],L$6)</f>
        <v>0</v>
      </c>
      <c r="M70" s="107">
        <f>SUMIFS(MainData[Quantity],MainData[EventID],LaborCost[[#This Row],[EventID]],MainData[Product],M$6)</f>
        <v>0</v>
      </c>
      <c r="N70" s="134">
        <f>SUMIFS(MainData[Quantity],MainData[EventID],LaborCost[[#This Row],[EventID]],MainData[Product],N$6)</f>
        <v>0</v>
      </c>
      <c r="O70" s="135">
        <f>SUMIFS(MainData[ExtendedPrice],MainData[EventID],LaborCost[[#This Row],[EventID]],MainData[Billable?],"Y",MainData[Category],"Labor")</f>
        <v>100</v>
      </c>
      <c r="P70" s="113"/>
    </row>
    <row r="71" spans="2:16" x14ac:dyDescent="0.25">
      <c r="B71" s="114">
        <v>29</v>
      </c>
      <c r="C71" s="154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55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33">
        <f>MAX(SUMIFS(MainData[Item],MainData[EventID],LaborCost[[#This Row],[EventID]],MainData[Product],H$6),SUMIFS(MainData[Item],MainData[EventID],LaborCost[[#This Row],[EventID]],MainData[Product],"GTD"))</f>
        <v>25</v>
      </c>
      <c r="I71" s="139">
        <f>SUMIFS(MainData[Item],MainData[EventID],LaborCost[[#This Row],[EventID]],MainData[Product],I$6)</f>
        <v>1</v>
      </c>
      <c r="J71" s="107">
        <f>SUMIFS(MainData[Quantity],MainData[EventID],LaborCost[[#This Row],[EventID]],MainData[Product],J$6)</f>
        <v>0</v>
      </c>
      <c r="K71" s="107">
        <f>SUMIFS(MainData[Quantity],MainData[EventID],LaborCost[[#This Row],[EventID]],MainData[Product],K$6)</f>
        <v>0</v>
      </c>
      <c r="L71" s="107">
        <f>SUMIFS(MainData[Quantity],MainData[EventID],LaborCost[[#This Row],[EventID]],MainData[Product],L$6)</f>
        <v>0</v>
      </c>
      <c r="M71" s="107">
        <f>SUMIFS(MainData[Quantity],MainData[EventID],LaborCost[[#This Row],[EventID]],MainData[Product],M$6)</f>
        <v>1</v>
      </c>
      <c r="N71" s="134">
        <f>SUMIFS(MainData[Quantity],MainData[EventID],LaborCost[[#This Row],[EventID]],MainData[Product],N$6)</f>
        <v>0</v>
      </c>
      <c r="O71" s="135">
        <f>SUMIFS(MainData[ExtendedPrice],MainData[EventID],LaborCost[[#This Row],[EventID]],MainData[Billable?],"Y",MainData[Category],"Labor")</f>
        <v>0</v>
      </c>
      <c r="P71" s="113" t="s">
        <v>6</v>
      </c>
    </row>
    <row r="72" spans="2:16" x14ac:dyDescent="0.25">
      <c r="B72" s="114">
        <v>31</v>
      </c>
      <c r="C72" s="154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55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33">
        <f>MAX(SUMIFS(MainData[Item],MainData[EventID],LaborCost[[#This Row],[EventID]],MainData[Product],H$6),SUMIFS(MainData[Item],MainData[EventID],LaborCost[[#This Row],[EventID]],MainData[Product],"GTD"))</f>
        <v>88</v>
      </c>
      <c r="I72" s="139">
        <f>SUMIFS(MainData[Item],MainData[EventID],LaborCost[[#This Row],[EventID]],MainData[Product],I$6)</f>
        <v>2.5</v>
      </c>
      <c r="J72" s="107">
        <f>SUMIFS(MainData[Quantity],MainData[EventID],LaborCost[[#This Row],[EventID]],MainData[Product],J$6)</f>
        <v>1</v>
      </c>
      <c r="K72" s="107">
        <f>SUMIFS(MainData[Quantity],MainData[EventID],LaborCost[[#This Row],[EventID]],MainData[Product],K$6)</f>
        <v>1</v>
      </c>
      <c r="L72" s="107">
        <f>SUMIFS(MainData[Quantity],MainData[EventID],LaborCost[[#This Row],[EventID]],MainData[Product],L$6)</f>
        <v>0</v>
      </c>
      <c r="M72" s="107">
        <f>SUMIFS(MainData[Quantity],MainData[EventID],LaborCost[[#This Row],[EventID]],MainData[Product],M$6)</f>
        <v>0</v>
      </c>
      <c r="N72" s="134">
        <f>SUMIFS(MainData[Quantity],MainData[EventID],LaborCost[[#This Row],[EventID]],MainData[Product],N$6)</f>
        <v>0</v>
      </c>
      <c r="O72" s="135">
        <f>SUMIFS(MainData[ExtendedPrice],MainData[EventID],LaborCost[[#This Row],[EventID]],MainData[Billable?],"Y",MainData[Category],"Labor")</f>
        <v>100</v>
      </c>
      <c r="P72" s="113"/>
    </row>
    <row r="73" spans="2:16" x14ac:dyDescent="0.25">
      <c r="B73" s="114">
        <v>84</v>
      </c>
      <c r="C73" s="154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55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33">
        <f>MAX(SUMIFS(MainData[Item],MainData[EventID],LaborCost[[#This Row],[EventID]],MainData[Product],H$6),SUMIFS(MainData[Item],MainData[EventID],LaborCost[[#This Row],[EventID]],MainData[Product],"GTD"))</f>
        <v>38</v>
      </c>
      <c r="I73" s="139">
        <f>SUMIFS(MainData[Item],MainData[EventID],LaborCost[[#This Row],[EventID]],MainData[Product],I$6)</f>
        <v>2</v>
      </c>
      <c r="J73" s="107">
        <f>SUMIFS(MainData[Quantity],MainData[EventID],LaborCost[[#This Row],[EventID]],MainData[Product],J$6)</f>
        <v>1</v>
      </c>
      <c r="K73" s="107">
        <f>SUMIFS(MainData[Quantity],MainData[EventID],LaborCost[[#This Row],[EventID]],MainData[Product],K$6)</f>
        <v>1</v>
      </c>
      <c r="L73" s="107">
        <f>SUMIFS(MainData[Quantity],MainData[EventID],LaborCost[[#This Row],[EventID]],MainData[Product],L$6)</f>
        <v>0</v>
      </c>
      <c r="M73" s="107">
        <f>SUMIFS(MainData[Quantity],MainData[EventID],LaborCost[[#This Row],[EventID]],MainData[Product],M$6)</f>
        <v>0</v>
      </c>
      <c r="N73" s="134">
        <f>SUMIFS(MainData[Quantity],MainData[EventID],LaborCost[[#This Row],[EventID]],MainData[Product],N$6)</f>
        <v>0</v>
      </c>
      <c r="O73" s="135">
        <f>SUMIFS(MainData[ExtendedPrice],MainData[EventID],LaborCost[[#This Row],[EventID]],MainData[Billable?],"Y",MainData[Category],"Labor")</f>
        <v>100</v>
      </c>
      <c r="P73" s="113"/>
    </row>
    <row r="74" spans="2:16" x14ac:dyDescent="0.25">
      <c r="B74" s="114">
        <v>82</v>
      </c>
      <c r="C74" s="154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55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33">
        <f>MAX(SUMIFS(MainData[Item],MainData[EventID],LaborCost[[#This Row],[EventID]],MainData[Product],H$6),SUMIFS(MainData[Item],MainData[EventID],LaborCost[[#This Row],[EventID]],MainData[Product],"GTD"))</f>
        <v>565</v>
      </c>
      <c r="I74" s="139">
        <f>SUMIFS(MainData[Item],MainData[EventID],LaborCost[[#This Row],[EventID]],MainData[Product],I$6)</f>
        <v>3.5</v>
      </c>
      <c r="J74" s="107">
        <f>SUMIFS(MainData[Quantity],MainData[EventID],LaborCost[[#This Row],[EventID]],MainData[Product],J$6)</f>
        <v>6</v>
      </c>
      <c r="K74" s="107">
        <f>SUMIFS(MainData[Quantity],MainData[EventID],LaborCost[[#This Row],[EventID]],MainData[Product],K$6)</f>
        <v>3</v>
      </c>
      <c r="L74" s="107">
        <f>SUMIFS(MainData[Quantity],MainData[EventID],LaborCost[[#This Row],[EventID]],MainData[Product],L$6)</f>
        <v>0</v>
      </c>
      <c r="M74" s="107">
        <f>SUMIFS(MainData[Quantity],MainData[EventID],LaborCost[[#This Row],[EventID]],MainData[Product],M$6)</f>
        <v>0</v>
      </c>
      <c r="N74" s="134">
        <f>SUMIFS(MainData[Quantity],MainData[EventID],LaborCost[[#This Row],[EventID]],MainData[Product],N$6)</f>
        <v>0</v>
      </c>
      <c r="O74" s="135">
        <f>SUMIFS(MainData[ExtendedPrice],MainData[EventID],LaborCost[[#This Row],[EventID]],MainData[Billable?],"Y",MainData[Category],"Labor")</f>
        <v>600</v>
      </c>
      <c r="P74" s="113"/>
    </row>
    <row r="75" spans="2:16" x14ac:dyDescent="0.25">
      <c r="B75" s="114">
        <v>48</v>
      </c>
      <c r="C75" s="154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55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33">
        <f>MAX(SUMIFS(MainData[Item],MainData[EventID],LaborCost[[#This Row],[EventID]],MainData[Product],H$6),SUMIFS(MainData[Item],MainData[EventID],LaborCost[[#This Row],[EventID]],MainData[Product],"GTD"))</f>
        <v>40</v>
      </c>
      <c r="I75" s="139">
        <f>SUMIFS(MainData[Item],MainData[EventID],LaborCost[[#This Row],[EventID]],MainData[Product],I$6)</f>
        <v>2</v>
      </c>
      <c r="J75" s="107">
        <f>SUMIFS(MainData[Quantity],MainData[EventID],LaborCost[[#This Row],[EventID]],MainData[Product],J$6)</f>
        <v>1</v>
      </c>
      <c r="K75" s="107">
        <f>SUMIFS(MainData[Quantity],MainData[EventID],LaborCost[[#This Row],[EventID]],MainData[Product],K$6)</f>
        <v>1</v>
      </c>
      <c r="L75" s="107">
        <f>SUMIFS(MainData[Quantity],MainData[EventID],LaborCost[[#This Row],[EventID]],MainData[Product],L$6)</f>
        <v>0</v>
      </c>
      <c r="M75" s="107">
        <f>SUMIFS(MainData[Quantity],MainData[EventID],LaborCost[[#This Row],[EventID]],MainData[Product],M$6)</f>
        <v>0</v>
      </c>
      <c r="N75" s="134">
        <f>SUMIFS(MainData[Quantity],MainData[EventID],LaborCost[[#This Row],[EventID]],MainData[Product],N$6)</f>
        <v>0</v>
      </c>
      <c r="O75" s="135">
        <f>SUMIFS(MainData[ExtendedPrice],MainData[EventID],LaborCost[[#This Row],[EventID]],MainData[Billable?],"Y",MainData[Category],"Labor")</f>
        <v>0</v>
      </c>
      <c r="P75" s="113"/>
    </row>
    <row r="76" spans="2:16" x14ac:dyDescent="0.25">
      <c r="B76" s="114">
        <v>32</v>
      </c>
      <c r="C76" s="154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55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33">
        <f>MAX(SUMIFS(MainData[Item],MainData[EventID],LaborCost[[#This Row],[EventID]],MainData[Product],H$6),SUMIFS(MainData[Item],MainData[EventID],LaborCost[[#This Row],[EventID]],MainData[Product],"GTD"))</f>
        <v>55</v>
      </c>
      <c r="I76" s="139">
        <f>SUMIFS(MainData[Item],MainData[EventID],LaborCost[[#This Row],[EventID]],MainData[Product],I$6)</f>
        <v>1.5</v>
      </c>
      <c r="J76" s="107">
        <f>SUMIFS(MainData[Quantity],MainData[EventID],LaborCost[[#This Row],[EventID]],MainData[Product],J$6)</f>
        <v>1</v>
      </c>
      <c r="K76" s="107">
        <f>SUMIFS(MainData[Quantity],MainData[EventID],LaborCost[[#This Row],[EventID]],MainData[Product],K$6)</f>
        <v>1</v>
      </c>
      <c r="L76" s="107">
        <f>SUMIFS(MainData[Quantity],MainData[EventID],LaborCost[[#This Row],[EventID]],MainData[Product],L$6)</f>
        <v>0</v>
      </c>
      <c r="M76" s="107">
        <f>SUMIFS(MainData[Quantity],MainData[EventID],LaborCost[[#This Row],[EventID]],MainData[Product],M$6)</f>
        <v>0</v>
      </c>
      <c r="N76" s="134">
        <f>SUMIFS(MainData[Quantity],MainData[EventID],LaborCost[[#This Row],[EventID]],MainData[Product],N$6)</f>
        <v>0</v>
      </c>
      <c r="O76" s="135">
        <f>SUMIFS(MainData[ExtendedPrice],MainData[EventID],LaborCost[[#This Row],[EventID]],MainData[Billable?],"Y",MainData[Category],"Labor")</f>
        <v>100</v>
      </c>
      <c r="P76" s="113"/>
    </row>
    <row r="77" spans="2:16" x14ac:dyDescent="0.25">
      <c r="B77" s="114">
        <v>83</v>
      </c>
      <c r="C77" s="154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55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33">
        <f>MAX(SUMIFS(MainData[Item],MainData[EventID],LaborCost[[#This Row],[EventID]],MainData[Product],H$6),SUMIFS(MainData[Item],MainData[EventID],LaborCost[[#This Row],[EventID]],MainData[Product],"GTD"))</f>
        <v>48</v>
      </c>
      <c r="I77" s="139">
        <f>SUMIFS(MainData[Item],MainData[EventID],LaborCost[[#This Row],[EventID]],MainData[Product],I$6)</f>
        <v>1</v>
      </c>
      <c r="J77" s="107">
        <f>SUMIFS(MainData[Quantity],MainData[EventID],LaborCost[[#This Row],[EventID]],MainData[Product],J$6)</f>
        <v>1</v>
      </c>
      <c r="K77" s="107">
        <f>SUMIFS(MainData[Quantity],MainData[EventID],LaborCost[[#This Row],[EventID]],MainData[Product],K$6)</f>
        <v>1</v>
      </c>
      <c r="L77" s="107">
        <f>SUMIFS(MainData[Quantity],MainData[EventID],LaborCost[[#This Row],[EventID]],MainData[Product],L$6)</f>
        <v>0</v>
      </c>
      <c r="M77" s="107">
        <f>SUMIFS(MainData[Quantity],MainData[EventID],LaborCost[[#This Row],[EventID]],MainData[Product],M$6)</f>
        <v>0</v>
      </c>
      <c r="N77" s="134">
        <f>SUMIFS(MainData[Quantity],MainData[EventID],LaborCost[[#This Row],[EventID]],MainData[Product],N$6)</f>
        <v>0</v>
      </c>
      <c r="O77" s="135">
        <f>SUMIFS(MainData[ExtendedPrice],MainData[EventID],LaborCost[[#This Row],[EventID]],MainData[Billable?],"Y",MainData[Category],"Labor")</f>
        <v>100</v>
      </c>
      <c r="P77" s="113"/>
    </row>
    <row r="78" spans="2:16" x14ac:dyDescent="0.25">
      <c r="B78" s="114">
        <v>34</v>
      </c>
      <c r="C78" s="154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55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33">
        <f>MAX(SUMIFS(MainData[Item],MainData[EventID],LaborCost[[#This Row],[EventID]],MainData[Product],H$6),SUMIFS(MainData[Item],MainData[EventID],LaborCost[[#This Row],[EventID]],MainData[Product],"GTD"))</f>
        <v>840</v>
      </c>
      <c r="I78" s="139">
        <f>SUMIFS(MainData[Item],MainData[EventID],LaborCost[[#This Row],[EventID]],MainData[Product],I$6)</f>
        <v>3</v>
      </c>
      <c r="J78" s="107">
        <f>SUMIFS(MainData[Quantity],MainData[EventID],LaborCost[[#This Row],[EventID]],MainData[Product],J$6)</f>
        <v>9</v>
      </c>
      <c r="K78" s="107">
        <f>SUMIFS(MainData[Quantity],MainData[EventID],LaborCost[[#This Row],[EventID]],MainData[Product],K$6)</f>
        <v>3</v>
      </c>
      <c r="L78" s="107">
        <f>SUMIFS(MainData[Quantity],MainData[EventID],LaborCost[[#This Row],[EventID]],MainData[Product],L$6)</f>
        <v>0</v>
      </c>
      <c r="M78" s="107">
        <f>SUMIFS(MainData[Quantity],MainData[EventID],LaborCost[[#This Row],[EventID]],MainData[Product],M$6)</f>
        <v>0</v>
      </c>
      <c r="N78" s="134">
        <f>SUMIFS(MainData[Quantity],MainData[EventID],LaborCost[[#This Row],[EventID]],MainData[Product],N$6)</f>
        <v>0</v>
      </c>
      <c r="O78" s="135">
        <f>SUMIFS(MainData[ExtendedPrice],MainData[EventID],LaborCost[[#This Row],[EventID]],MainData[Billable?],"Y",MainData[Category],"Labor")</f>
        <v>900</v>
      </c>
      <c r="P78" s="113"/>
    </row>
    <row r="79" spans="2:16" x14ac:dyDescent="0.25">
      <c r="B79" s="114">
        <v>85</v>
      </c>
      <c r="C79" s="154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55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33">
        <f>MAX(SUMIFS(MainData[Item],MainData[EventID],LaborCost[[#This Row],[EventID]],MainData[Product],H$6),SUMIFS(MainData[Item],MainData[EventID],LaborCost[[#This Row],[EventID]],MainData[Product],"GTD"))</f>
        <v>135</v>
      </c>
      <c r="I79" s="139">
        <f>SUMIFS(MainData[Item],MainData[EventID],LaborCost[[#This Row],[EventID]],MainData[Product],I$6)</f>
        <v>2.5</v>
      </c>
      <c r="J79" s="107">
        <f>SUMIFS(MainData[Quantity],MainData[EventID],LaborCost[[#This Row],[EventID]],MainData[Product],J$6)</f>
        <v>2</v>
      </c>
      <c r="K79" s="107">
        <f>SUMIFS(MainData[Quantity],MainData[EventID],LaborCost[[#This Row],[EventID]],MainData[Product],K$6)</f>
        <v>1</v>
      </c>
      <c r="L79" s="107">
        <f>SUMIFS(MainData[Quantity],MainData[EventID],LaborCost[[#This Row],[EventID]],MainData[Product],L$6)</f>
        <v>0</v>
      </c>
      <c r="M79" s="107">
        <f>SUMIFS(MainData[Quantity],MainData[EventID],LaborCost[[#This Row],[EventID]],MainData[Product],M$6)</f>
        <v>0</v>
      </c>
      <c r="N79" s="134">
        <f>SUMIFS(MainData[Quantity],MainData[EventID],LaborCost[[#This Row],[EventID]],MainData[Product],N$6)</f>
        <v>0</v>
      </c>
      <c r="O79" s="135">
        <f>SUMIFS(MainData[ExtendedPrice],MainData[EventID],LaborCost[[#This Row],[EventID]],MainData[Billable?],"Y",MainData[Category],"Labor")</f>
        <v>200</v>
      </c>
      <c r="P79" s="113"/>
    </row>
    <row r="80" spans="2:16" x14ac:dyDescent="0.25">
      <c r="B80" s="114">
        <v>43</v>
      </c>
      <c r="C80" s="154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55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33">
        <f>MAX(SUMIFS(MainData[Item],MainData[EventID],LaborCost[[#This Row],[EventID]],MainData[Product],H$6),SUMIFS(MainData[Item],MainData[EventID],LaborCost[[#This Row],[EventID]],MainData[Product],"GTD"))</f>
        <v>40</v>
      </c>
      <c r="I80" s="139">
        <f>SUMIFS(MainData[Item],MainData[EventID],LaborCost[[#This Row],[EventID]],MainData[Product],I$6)</f>
        <v>1</v>
      </c>
      <c r="J80" s="107">
        <f>SUMIFS(MainData[Quantity],MainData[EventID],LaborCost[[#This Row],[EventID]],MainData[Product],J$6)</f>
        <v>1</v>
      </c>
      <c r="K80" s="107">
        <f>SUMIFS(MainData[Quantity],MainData[EventID],LaborCost[[#This Row],[EventID]],MainData[Product],K$6)</f>
        <v>1</v>
      </c>
      <c r="L80" s="107">
        <f>SUMIFS(MainData[Quantity],MainData[EventID],LaborCost[[#This Row],[EventID]],MainData[Product],L$6)</f>
        <v>0</v>
      </c>
      <c r="M80" s="107">
        <f>SUMIFS(MainData[Quantity],MainData[EventID],LaborCost[[#This Row],[EventID]],MainData[Product],M$6)</f>
        <v>0</v>
      </c>
      <c r="N80" s="134">
        <f>SUMIFS(MainData[Quantity],MainData[EventID],LaborCost[[#This Row],[EventID]],MainData[Product],N$6)</f>
        <v>0</v>
      </c>
      <c r="O80" s="135">
        <f>SUMIFS(MainData[ExtendedPrice],MainData[EventID],LaborCost[[#This Row],[EventID]],MainData[Billable?],"Y",MainData[Category],"Labor")</f>
        <v>100</v>
      </c>
      <c r="P80" s="113"/>
    </row>
    <row r="81" spans="2:16" x14ac:dyDescent="0.25">
      <c r="B81" s="114">
        <v>44</v>
      </c>
      <c r="C81" s="154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55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33">
        <f>MAX(SUMIFS(MainData[Item],MainData[EventID],LaborCost[[#This Row],[EventID]],MainData[Product],H$6),SUMIFS(MainData[Item],MainData[EventID],LaborCost[[#This Row],[EventID]],MainData[Product],"GTD"))</f>
        <v>90</v>
      </c>
      <c r="I81" s="139">
        <f>SUMIFS(MainData[Item],MainData[EventID],LaborCost[[#This Row],[EventID]],MainData[Product],I$6)</f>
        <v>2.5</v>
      </c>
      <c r="J81" s="107">
        <f>SUMIFS(MainData[Quantity],MainData[EventID],LaborCost[[#This Row],[EventID]],MainData[Product],J$6)</f>
        <v>1</v>
      </c>
      <c r="K81" s="107">
        <f>SUMIFS(MainData[Quantity],MainData[EventID],LaborCost[[#This Row],[EventID]],MainData[Product],K$6)</f>
        <v>1</v>
      </c>
      <c r="L81" s="107">
        <f>SUMIFS(MainData[Quantity],MainData[EventID],LaborCost[[#This Row],[EventID]],MainData[Product],L$6)</f>
        <v>0</v>
      </c>
      <c r="M81" s="107">
        <f>SUMIFS(MainData[Quantity],MainData[EventID],LaborCost[[#This Row],[EventID]],MainData[Product],M$6)</f>
        <v>0</v>
      </c>
      <c r="N81" s="134">
        <f>SUMIFS(MainData[Quantity],MainData[EventID],LaborCost[[#This Row],[EventID]],MainData[Product],N$6)</f>
        <v>0</v>
      </c>
      <c r="O81" s="135">
        <f>SUMIFS(MainData[ExtendedPrice],MainData[EventID],LaborCost[[#This Row],[EventID]],MainData[Billable?],"Y",MainData[Category],"Labor")</f>
        <v>100</v>
      </c>
      <c r="P81" s="113"/>
    </row>
    <row r="82" spans="2:16" x14ac:dyDescent="0.25">
      <c r="B82" s="114">
        <v>30</v>
      </c>
      <c r="C82" s="154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55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33">
        <f>MAX(SUMIFS(MainData[Item],MainData[EventID],LaborCost[[#This Row],[EventID]],MainData[Product],H$6),SUMIFS(MainData[Item],MainData[EventID],LaborCost[[#This Row],[EventID]],MainData[Product],"GTD"))</f>
        <v>800</v>
      </c>
      <c r="I82" s="139">
        <f>SUMIFS(MainData[Item],MainData[EventID],LaborCost[[#This Row],[EventID]],MainData[Product],I$6)</f>
        <v>4</v>
      </c>
      <c r="J82" s="107">
        <f>SUMIFS(MainData[Quantity],MainData[EventID],LaborCost[[#This Row],[EventID]],MainData[Product],J$6)</f>
        <v>9</v>
      </c>
      <c r="K82" s="107">
        <f>SUMIFS(MainData[Quantity],MainData[EventID],LaborCost[[#This Row],[EventID]],MainData[Product],K$6)</f>
        <v>4</v>
      </c>
      <c r="L82" s="107">
        <f>SUMIFS(MainData[Quantity],MainData[EventID],LaborCost[[#This Row],[EventID]],MainData[Product],L$6)</f>
        <v>0</v>
      </c>
      <c r="M82" s="107">
        <f>SUMIFS(MainData[Quantity],MainData[EventID],LaborCost[[#This Row],[EventID]],MainData[Product],M$6)</f>
        <v>0</v>
      </c>
      <c r="N82" s="134">
        <f>SUMIFS(MainData[Quantity],MainData[EventID],LaborCost[[#This Row],[EventID]],MainData[Product],N$6)</f>
        <v>0</v>
      </c>
      <c r="O82" s="135">
        <f>SUMIFS(MainData[ExtendedPrice],MainData[EventID],LaborCost[[#This Row],[EventID]],MainData[Billable?],"Y",MainData[Category],"Labor")</f>
        <v>900</v>
      </c>
      <c r="P82" s="113"/>
    </row>
    <row r="83" spans="2:16" x14ac:dyDescent="0.25">
      <c r="B83" s="114">
        <v>33</v>
      </c>
      <c r="C83" s="154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55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33">
        <f>MAX(SUMIFS(MainData[Item],MainData[EventID],LaborCost[[#This Row],[EventID]],MainData[Product],H$6),SUMIFS(MainData[Item],MainData[EventID],LaborCost[[#This Row],[EventID]],MainData[Product],"GTD"))</f>
        <v>90</v>
      </c>
      <c r="I83" s="139">
        <f>SUMIFS(MainData[Item],MainData[EventID],LaborCost[[#This Row],[EventID]],MainData[Product],I$6)</f>
        <v>3</v>
      </c>
      <c r="J83" s="107">
        <f>SUMIFS(MainData[Quantity],MainData[EventID],LaborCost[[#This Row],[EventID]],MainData[Product],J$6)</f>
        <v>1</v>
      </c>
      <c r="K83" s="107">
        <f>SUMIFS(MainData[Quantity],MainData[EventID],LaborCost[[#This Row],[EventID]],MainData[Product],K$6)</f>
        <v>1</v>
      </c>
      <c r="L83" s="107">
        <f>SUMIFS(MainData[Quantity],MainData[EventID],LaborCost[[#This Row],[EventID]],MainData[Product],L$6)</f>
        <v>0</v>
      </c>
      <c r="M83" s="107">
        <f>SUMIFS(MainData[Quantity],MainData[EventID],LaborCost[[#This Row],[EventID]],MainData[Product],M$6)</f>
        <v>0</v>
      </c>
      <c r="N83" s="134">
        <f>SUMIFS(MainData[Quantity],MainData[EventID],LaborCost[[#This Row],[EventID]],MainData[Product],N$6)</f>
        <v>0</v>
      </c>
      <c r="O83" s="135">
        <f>SUMIFS(MainData[ExtendedPrice],MainData[EventID],LaborCost[[#This Row],[EventID]],MainData[Billable?],"Y",MainData[Category],"Labor")</f>
        <v>100</v>
      </c>
      <c r="P83" s="113"/>
    </row>
    <row r="84" spans="2:16" x14ac:dyDescent="0.25">
      <c r="B84" s="114">
        <v>14</v>
      </c>
      <c r="C84" s="154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55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33">
        <f>MAX(SUMIFS(MainData[Item],MainData[EventID],LaborCost[[#This Row],[EventID]],MainData[Product],H$6),SUMIFS(MainData[Item],MainData[EventID],LaborCost[[#This Row],[EventID]],MainData[Product],"GTD"))</f>
        <v>60</v>
      </c>
      <c r="I84" s="139">
        <f>SUMIFS(MainData[Item],MainData[EventID],LaborCost[[#This Row],[EventID]],MainData[Product],I$6)</f>
        <v>2.5</v>
      </c>
      <c r="J84" s="107">
        <f>SUMIFS(MainData[Quantity],MainData[EventID],LaborCost[[#This Row],[EventID]],MainData[Product],J$6)</f>
        <v>1</v>
      </c>
      <c r="K84" s="107">
        <f>SUMIFS(MainData[Quantity],MainData[EventID],LaborCost[[#This Row],[EventID]],MainData[Product],K$6)</f>
        <v>1</v>
      </c>
      <c r="L84" s="107">
        <f>SUMIFS(MainData[Quantity],MainData[EventID],LaborCost[[#This Row],[EventID]],MainData[Product],L$6)</f>
        <v>0</v>
      </c>
      <c r="M84" s="107">
        <f>SUMIFS(MainData[Quantity],MainData[EventID],LaborCost[[#This Row],[EventID]],MainData[Product],M$6)</f>
        <v>0</v>
      </c>
      <c r="N84" s="134">
        <f>SUMIFS(MainData[Quantity],MainData[EventID],LaborCost[[#This Row],[EventID]],MainData[Product],N$6)</f>
        <v>0</v>
      </c>
      <c r="O84" s="135">
        <f>SUMIFS(MainData[ExtendedPrice],MainData[EventID],LaborCost[[#This Row],[EventID]],MainData[Billable?],"Y",MainData[Category],"Labor")</f>
        <v>100</v>
      </c>
      <c r="P84" s="113"/>
    </row>
    <row r="85" spans="2:16" x14ac:dyDescent="0.25">
      <c r="B85" s="114">
        <v>91</v>
      </c>
      <c r="C85" s="154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55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33">
        <f>MAX(SUMIFS(MainData[Item],MainData[EventID],LaborCost[[#This Row],[EventID]],MainData[Product],H$6),SUMIFS(MainData[Item],MainData[EventID],LaborCost[[#This Row],[EventID]],MainData[Product],"GTD"))</f>
        <v>21</v>
      </c>
      <c r="I85" s="139">
        <f>SUMIFS(MainData[Item],MainData[EventID],LaborCost[[#This Row],[EventID]],MainData[Product],I$6)</f>
        <v>1</v>
      </c>
      <c r="J85" s="107">
        <f>SUMIFS(MainData[Quantity],MainData[EventID],LaborCost[[#This Row],[EventID]],MainData[Product],J$6)</f>
        <v>1</v>
      </c>
      <c r="K85" s="107">
        <f>SUMIFS(MainData[Quantity],MainData[EventID],LaborCost[[#This Row],[EventID]],MainData[Product],K$6)</f>
        <v>1</v>
      </c>
      <c r="L85" s="107">
        <f>SUMIFS(MainData[Quantity],MainData[EventID],LaborCost[[#This Row],[EventID]],MainData[Product],L$6)</f>
        <v>0</v>
      </c>
      <c r="M85" s="107">
        <f>SUMIFS(MainData[Quantity],MainData[EventID],LaborCost[[#This Row],[EventID]],MainData[Product],M$6)</f>
        <v>0</v>
      </c>
      <c r="N85" s="134">
        <f>SUMIFS(MainData[Quantity],MainData[EventID],LaborCost[[#This Row],[EventID]],MainData[Product],N$6)</f>
        <v>0</v>
      </c>
      <c r="O85" s="135">
        <f>SUMIFS(MainData[ExtendedPrice],MainData[EventID],LaborCost[[#This Row],[EventID]],MainData[Billable?],"Y",MainData[Category],"Labor")</f>
        <v>0</v>
      </c>
      <c r="P85" s="113"/>
    </row>
    <row r="86" spans="2:16" x14ac:dyDescent="0.25">
      <c r="B86" s="114">
        <v>100</v>
      </c>
      <c r="C86" s="154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55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33">
        <f>MAX(SUMIFS(MainData[Item],MainData[EventID],LaborCost[[#This Row],[EventID]],MainData[Product],H$6),SUMIFS(MainData[Item],MainData[EventID],LaborCost[[#This Row],[EventID]],MainData[Product],"GTD"))</f>
        <v>45</v>
      </c>
      <c r="I86" s="139">
        <f>SUMIFS(MainData[Item],MainData[EventID],LaborCost[[#This Row],[EventID]],MainData[Product],I$6)</f>
        <v>3.5</v>
      </c>
      <c r="J86" s="107">
        <f>SUMIFS(MainData[Quantity],MainData[EventID],LaborCost[[#This Row],[EventID]],MainData[Product],J$6)</f>
        <v>1</v>
      </c>
      <c r="K86" s="107">
        <f>SUMIFS(MainData[Quantity],MainData[EventID],LaborCost[[#This Row],[EventID]],MainData[Product],K$6)</f>
        <v>1</v>
      </c>
      <c r="L86" s="107">
        <f>SUMIFS(MainData[Quantity],MainData[EventID],LaborCost[[#This Row],[EventID]],MainData[Product],L$6)</f>
        <v>0</v>
      </c>
      <c r="M86" s="107">
        <f>SUMIFS(MainData[Quantity],MainData[EventID],LaborCost[[#This Row],[EventID]],MainData[Product],M$6)</f>
        <v>0</v>
      </c>
      <c r="N86" s="134">
        <f>SUMIFS(MainData[Quantity],MainData[EventID],LaborCost[[#This Row],[EventID]],MainData[Product],N$6)</f>
        <v>0</v>
      </c>
      <c r="O86" s="135">
        <f>SUMIFS(MainData[ExtendedPrice],MainData[EventID],LaborCost[[#This Row],[EventID]],MainData[Billable?],"Y",MainData[Category],"Labor")</f>
        <v>100</v>
      </c>
      <c r="P86" s="113"/>
    </row>
    <row r="87" spans="2:16" x14ac:dyDescent="0.25">
      <c r="B87" s="114">
        <v>55</v>
      </c>
      <c r="C87" s="154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55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33">
        <f>MAX(SUMIFS(MainData[Item],MainData[EventID],LaborCost[[#This Row],[EventID]],MainData[Product],H$6),SUMIFS(MainData[Item],MainData[EventID],LaborCost[[#This Row],[EventID]],MainData[Product],"GTD"))</f>
        <v>18</v>
      </c>
      <c r="I87" s="139">
        <f>SUMIFS(MainData[Item],MainData[EventID],LaborCost[[#This Row],[EventID]],MainData[Product],I$6)</f>
        <v>1</v>
      </c>
      <c r="J87" s="107">
        <f>SUMIFS(MainData[Quantity],MainData[EventID],LaborCost[[#This Row],[EventID]],MainData[Product],J$6)</f>
        <v>0</v>
      </c>
      <c r="K87" s="107">
        <f>SUMIFS(MainData[Quantity],MainData[EventID],LaborCost[[#This Row],[EventID]],MainData[Product],K$6)</f>
        <v>0</v>
      </c>
      <c r="L87" s="107">
        <f>SUMIFS(MainData[Quantity],MainData[EventID],LaborCost[[#This Row],[EventID]],MainData[Product],L$6)</f>
        <v>0</v>
      </c>
      <c r="M87" s="107">
        <f>SUMIFS(MainData[Quantity],MainData[EventID],LaborCost[[#This Row],[EventID]],MainData[Product],M$6)</f>
        <v>1</v>
      </c>
      <c r="N87" s="134">
        <f>SUMIFS(MainData[Quantity],MainData[EventID],LaborCost[[#This Row],[EventID]],MainData[Product],N$6)</f>
        <v>0</v>
      </c>
      <c r="O87" s="135">
        <f>SUMIFS(MainData[ExtendedPrice],MainData[EventID],LaborCost[[#This Row],[EventID]],MainData[Billable?],"Y",MainData[Category],"Labor")</f>
        <v>0</v>
      </c>
      <c r="P87" s="113" t="s">
        <v>6</v>
      </c>
    </row>
    <row r="88" spans="2:16" x14ac:dyDescent="0.25">
      <c r="B88" s="114">
        <v>27</v>
      </c>
      <c r="C88" s="154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55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33">
        <f>MAX(SUMIFS(MainData[Item],MainData[EventID],LaborCost[[#This Row],[EventID]],MainData[Product],H$6),SUMIFS(MainData[Item],MainData[EventID],LaborCost[[#This Row],[EventID]],MainData[Product],"GTD"))</f>
        <v>1105</v>
      </c>
      <c r="I88" s="139">
        <f>SUMIFS(MainData[Item],MainData[EventID],LaborCost[[#This Row],[EventID]],MainData[Product],I$6)</f>
        <v>2.5</v>
      </c>
      <c r="J88" s="107">
        <f>SUMIFS(MainData[Quantity],MainData[EventID],LaborCost[[#This Row],[EventID]],MainData[Product],J$6)</f>
        <v>12</v>
      </c>
      <c r="K88" s="107">
        <f>SUMIFS(MainData[Quantity],MainData[EventID],LaborCost[[#This Row],[EventID]],MainData[Product],K$6)</f>
        <v>5</v>
      </c>
      <c r="L88" s="107">
        <f>SUMIFS(MainData[Quantity],MainData[EventID],LaborCost[[#This Row],[EventID]],MainData[Product],L$6)</f>
        <v>0</v>
      </c>
      <c r="M88" s="107">
        <f>SUMIFS(MainData[Quantity],MainData[EventID],LaborCost[[#This Row],[EventID]],MainData[Product],M$6)</f>
        <v>0</v>
      </c>
      <c r="N88" s="134">
        <f>SUMIFS(MainData[Quantity],MainData[EventID],LaborCost[[#This Row],[EventID]],MainData[Product],N$6)</f>
        <v>0</v>
      </c>
      <c r="O88" s="135">
        <f>SUMIFS(MainData[ExtendedPrice],MainData[EventID],LaborCost[[#This Row],[EventID]],MainData[Billable?],"Y",MainData[Category],"Labor")</f>
        <v>1200</v>
      </c>
      <c r="P88" s="113"/>
    </row>
    <row r="89" spans="2:16" x14ac:dyDescent="0.25">
      <c r="B89" s="114">
        <v>28</v>
      </c>
      <c r="C89" s="154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55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33">
        <f>MAX(SUMIFS(MainData[Item],MainData[EventID],LaborCost[[#This Row],[EventID]],MainData[Product],H$6),SUMIFS(MainData[Item],MainData[EventID],LaborCost[[#This Row],[EventID]],MainData[Product],"GTD"))</f>
        <v>500</v>
      </c>
      <c r="I89" s="139">
        <f>SUMIFS(MainData[Item],MainData[EventID],LaborCost[[#This Row],[EventID]],MainData[Product],I$6)</f>
        <v>1</v>
      </c>
      <c r="J89" s="107">
        <f>SUMIFS(MainData[Quantity],MainData[EventID],LaborCost[[#This Row],[EventID]],MainData[Product],J$6)</f>
        <v>6</v>
      </c>
      <c r="K89" s="107">
        <f>SUMIFS(MainData[Quantity],MainData[EventID],LaborCost[[#This Row],[EventID]],MainData[Product],K$6)</f>
        <v>3</v>
      </c>
      <c r="L89" s="107">
        <f>SUMIFS(MainData[Quantity],MainData[EventID],LaborCost[[#This Row],[EventID]],MainData[Product],L$6)</f>
        <v>0</v>
      </c>
      <c r="M89" s="107">
        <f>SUMIFS(MainData[Quantity],MainData[EventID],LaborCost[[#This Row],[EventID]],MainData[Product],M$6)</f>
        <v>0</v>
      </c>
      <c r="N89" s="134">
        <f>SUMIFS(MainData[Quantity],MainData[EventID],LaborCost[[#This Row],[EventID]],MainData[Product],N$6)</f>
        <v>0</v>
      </c>
      <c r="O89" s="135">
        <f>SUMIFS(MainData[ExtendedPrice],MainData[EventID],LaborCost[[#This Row],[EventID]],MainData[Billable?],"Y",MainData[Category],"Labor")</f>
        <v>600</v>
      </c>
      <c r="P89" s="113"/>
    </row>
    <row r="90" spans="2:16" x14ac:dyDescent="0.25">
      <c r="B90" s="114">
        <v>47</v>
      </c>
      <c r="C90" s="154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55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33">
        <f>MAX(SUMIFS(MainData[Item],MainData[EventID],LaborCost[[#This Row],[EventID]],MainData[Product],H$6),SUMIFS(MainData[Item],MainData[EventID],LaborCost[[#This Row],[EventID]],MainData[Product],"GTD"))</f>
        <v>45</v>
      </c>
      <c r="I90" s="139">
        <f>SUMIFS(MainData[Item],MainData[EventID],LaborCost[[#This Row],[EventID]],MainData[Product],I$6)</f>
        <v>2</v>
      </c>
      <c r="J90" s="107">
        <f>SUMIFS(MainData[Quantity],MainData[EventID],LaborCost[[#This Row],[EventID]],MainData[Product],J$6)</f>
        <v>1</v>
      </c>
      <c r="K90" s="107">
        <f>SUMIFS(MainData[Quantity],MainData[EventID],LaborCost[[#This Row],[EventID]],MainData[Product],K$6)</f>
        <v>1</v>
      </c>
      <c r="L90" s="107">
        <f>SUMIFS(MainData[Quantity],MainData[EventID],LaborCost[[#This Row],[EventID]],MainData[Product],L$6)</f>
        <v>0</v>
      </c>
      <c r="M90" s="107">
        <f>SUMIFS(MainData[Quantity],MainData[EventID],LaborCost[[#This Row],[EventID]],MainData[Product],M$6)</f>
        <v>0</v>
      </c>
      <c r="N90" s="134">
        <f>SUMIFS(MainData[Quantity],MainData[EventID],LaborCost[[#This Row],[EventID]],MainData[Product],N$6)</f>
        <v>0</v>
      </c>
      <c r="O90" s="135">
        <f>SUMIFS(MainData[ExtendedPrice],MainData[EventID],LaborCost[[#This Row],[EventID]],MainData[Billable?],"Y",MainData[Category],"Labor")</f>
        <v>0</v>
      </c>
      <c r="P90" s="113"/>
    </row>
    <row r="91" spans="2:16" x14ac:dyDescent="0.25">
      <c r="B91" s="114">
        <v>26</v>
      </c>
      <c r="C91" s="154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55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33">
        <f>MAX(SUMIFS(MainData[Item],MainData[EventID],LaborCost[[#This Row],[EventID]],MainData[Product],H$6),SUMIFS(MainData[Item],MainData[EventID],LaborCost[[#This Row],[EventID]],MainData[Product],"GTD"))</f>
        <v>47</v>
      </c>
      <c r="I91" s="139">
        <f>SUMIFS(MainData[Item],MainData[EventID],LaborCost[[#This Row],[EventID]],MainData[Product],I$6)</f>
        <v>2</v>
      </c>
      <c r="J91" s="107">
        <f>SUMIFS(MainData[Quantity],MainData[EventID],LaborCost[[#This Row],[EventID]],MainData[Product],J$6)</f>
        <v>1</v>
      </c>
      <c r="K91" s="107">
        <f>SUMIFS(MainData[Quantity],MainData[EventID],LaborCost[[#This Row],[EventID]],MainData[Product],K$6)</f>
        <v>1</v>
      </c>
      <c r="L91" s="107">
        <f>SUMIFS(MainData[Quantity],MainData[EventID],LaborCost[[#This Row],[EventID]],MainData[Product],L$6)</f>
        <v>0</v>
      </c>
      <c r="M91" s="107">
        <f>SUMIFS(MainData[Quantity],MainData[EventID],LaborCost[[#This Row],[EventID]],MainData[Product],M$6)</f>
        <v>0</v>
      </c>
      <c r="N91" s="134">
        <f>SUMIFS(MainData[Quantity],MainData[EventID],LaborCost[[#This Row],[EventID]],MainData[Product],N$6)</f>
        <v>0</v>
      </c>
      <c r="O91" s="135">
        <f>SUMIFS(MainData[ExtendedPrice],MainData[EventID],LaborCost[[#This Row],[EventID]],MainData[Billable?],"Y",MainData[Category],"Labor")</f>
        <v>100</v>
      </c>
      <c r="P91" s="113"/>
    </row>
    <row r="92" spans="2:16" x14ac:dyDescent="0.25">
      <c r="B92" s="114">
        <v>51</v>
      </c>
      <c r="C92" s="154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55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33">
        <f>MAX(SUMIFS(MainData[Item],MainData[EventID],LaborCost[[#This Row],[EventID]],MainData[Product],H$6),SUMIFS(MainData[Item],MainData[EventID],LaborCost[[#This Row],[EventID]],MainData[Product],"GTD"))</f>
        <v>350</v>
      </c>
      <c r="I92" s="139">
        <f>SUMIFS(MainData[Item],MainData[EventID],LaborCost[[#This Row],[EventID]],MainData[Product],I$6)</f>
        <v>6</v>
      </c>
      <c r="J92" s="107">
        <f>SUMIFS(MainData[Quantity],MainData[EventID],LaborCost[[#This Row],[EventID]],MainData[Product],J$6)</f>
        <v>1</v>
      </c>
      <c r="K92" s="107">
        <f>SUMIFS(MainData[Quantity],MainData[EventID],LaborCost[[#This Row],[EventID]],MainData[Product],K$6)</f>
        <v>1</v>
      </c>
      <c r="L92" s="107">
        <f>SUMIFS(MainData[Quantity],MainData[EventID],LaborCost[[#This Row],[EventID]],MainData[Product],L$6)</f>
        <v>0</v>
      </c>
      <c r="M92" s="107">
        <f>SUMIFS(MainData[Quantity],MainData[EventID],LaborCost[[#This Row],[EventID]],MainData[Product],M$6)</f>
        <v>0</v>
      </c>
      <c r="N92" s="134">
        <f>SUMIFS(MainData[Quantity],MainData[EventID],LaborCost[[#This Row],[EventID]],MainData[Product],N$6)</f>
        <v>0</v>
      </c>
      <c r="O92" s="135">
        <f>SUMIFS(MainData[ExtendedPrice],MainData[EventID],LaborCost[[#This Row],[EventID]],MainData[Billable?],"Y",MainData[Category],"Labor")</f>
        <v>100</v>
      </c>
      <c r="P92" s="113"/>
    </row>
    <row r="93" spans="2:16" x14ac:dyDescent="0.25">
      <c r="B93" s="114">
        <v>58</v>
      </c>
      <c r="C93" s="154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55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33">
        <f>MAX(SUMIFS(MainData[Item],MainData[EventID],LaborCost[[#This Row],[EventID]],MainData[Product],H$6),SUMIFS(MainData[Item],MainData[EventID],LaborCost[[#This Row],[EventID]],MainData[Product],"GTD"))</f>
        <v>700</v>
      </c>
      <c r="I93" s="139">
        <f>SUMIFS(MainData[Item],MainData[EventID],LaborCost[[#This Row],[EventID]],MainData[Product],I$6)</f>
        <v>6</v>
      </c>
      <c r="J93" s="107">
        <f>SUMIFS(MainData[Quantity],MainData[EventID],LaborCost[[#This Row],[EventID]],MainData[Product],J$6)</f>
        <v>3</v>
      </c>
      <c r="K93" s="107">
        <f>SUMIFS(MainData[Quantity],MainData[EventID],LaborCost[[#This Row],[EventID]],MainData[Product],K$6)</f>
        <v>2</v>
      </c>
      <c r="L93" s="107">
        <f>SUMIFS(MainData[Quantity],MainData[EventID],LaborCost[[#This Row],[EventID]],MainData[Product],L$6)</f>
        <v>0</v>
      </c>
      <c r="M93" s="107">
        <f>SUMIFS(MainData[Quantity],MainData[EventID],LaborCost[[#This Row],[EventID]],MainData[Product],M$6)</f>
        <v>0</v>
      </c>
      <c r="N93" s="134">
        <f>SUMIFS(MainData[Quantity],MainData[EventID],LaborCost[[#This Row],[EventID]],MainData[Product],N$6)</f>
        <v>0</v>
      </c>
      <c r="O93" s="135">
        <f>SUMIFS(MainData[ExtendedPrice],MainData[EventID],LaborCost[[#This Row],[EventID]],MainData[Billable?],"Y",MainData[Category],"Labor")</f>
        <v>300</v>
      </c>
      <c r="P93" s="113"/>
    </row>
    <row r="94" spans="2:16" x14ac:dyDescent="0.25">
      <c r="B94" s="114">
        <v>56</v>
      </c>
      <c r="C94" s="154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55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33">
        <f>MAX(SUMIFS(MainData[Item],MainData[EventID],LaborCost[[#This Row],[EventID]],MainData[Product],H$6),SUMIFS(MainData[Item],MainData[EventID],LaborCost[[#This Row],[EventID]],MainData[Product],"GTD"))</f>
        <v>400</v>
      </c>
      <c r="I94" s="139">
        <f>SUMIFS(MainData[Item],MainData[EventID],LaborCost[[#This Row],[EventID]],MainData[Product],I$6)</f>
        <v>2</v>
      </c>
      <c r="J94" s="107">
        <f>SUMIFS(MainData[Quantity],MainData[EventID],LaborCost[[#This Row],[EventID]],MainData[Product],J$6)</f>
        <v>2</v>
      </c>
      <c r="K94" s="107">
        <f>SUMIFS(MainData[Quantity],MainData[EventID],LaborCost[[#This Row],[EventID]],MainData[Product],K$6)</f>
        <v>1</v>
      </c>
      <c r="L94" s="107">
        <f>SUMIFS(MainData[Quantity],MainData[EventID],LaborCost[[#This Row],[EventID]],MainData[Product],L$6)</f>
        <v>0</v>
      </c>
      <c r="M94" s="107">
        <f>SUMIFS(MainData[Quantity],MainData[EventID],LaborCost[[#This Row],[EventID]],MainData[Product],M$6)</f>
        <v>0</v>
      </c>
      <c r="N94" s="134">
        <f>SUMIFS(MainData[Quantity],MainData[EventID],LaborCost[[#This Row],[EventID]],MainData[Product],N$6)</f>
        <v>0</v>
      </c>
      <c r="O94" s="135">
        <f>SUMIFS(MainData[ExtendedPrice],MainData[EventID],LaborCost[[#This Row],[EventID]],MainData[Billable?],"Y",MainData[Category],"Labor")</f>
        <v>200</v>
      </c>
      <c r="P94" s="113"/>
    </row>
    <row r="95" spans="2:16" x14ac:dyDescent="0.25">
      <c r="B95" s="114">
        <v>57</v>
      </c>
      <c r="C95" s="154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55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33">
        <f>MAX(SUMIFS(MainData[Item],MainData[EventID],LaborCost[[#This Row],[EventID]],MainData[Product],H$6),SUMIFS(MainData[Item],MainData[EventID],LaborCost[[#This Row],[EventID]],MainData[Product],"GTD"))</f>
        <v>900</v>
      </c>
      <c r="I95" s="139">
        <f>SUMIFS(MainData[Item],MainData[EventID],LaborCost[[#This Row],[EventID]],MainData[Product],I$6)</f>
        <v>6</v>
      </c>
      <c r="J95" s="107">
        <f>SUMIFS(MainData[Quantity],MainData[EventID],LaborCost[[#This Row],[EventID]],MainData[Product],J$6)</f>
        <v>4</v>
      </c>
      <c r="K95" s="107">
        <f>SUMIFS(MainData[Quantity],MainData[EventID],LaborCost[[#This Row],[EventID]],MainData[Product],K$6)</f>
        <v>2</v>
      </c>
      <c r="L95" s="107">
        <f>SUMIFS(MainData[Quantity],MainData[EventID],LaborCost[[#This Row],[EventID]],MainData[Product],L$6)</f>
        <v>0</v>
      </c>
      <c r="M95" s="107">
        <f>SUMIFS(MainData[Quantity],MainData[EventID],LaborCost[[#This Row],[EventID]],MainData[Product],M$6)</f>
        <v>0</v>
      </c>
      <c r="N95" s="134">
        <f>SUMIFS(MainData[Quantity],MainData[EventID],LaborCost[[#This Row],[EventID]],MainData[Product],N$6)</f>
        <v>0</v>
      </c>
      <c r="O95" s="135">
        <f>SUMIFS(MainData[ExtendedPrice],MainData[EventID],LaborCost[[#This Row],[EventID]],MainData[Billable?],"Y",MainData[Category],"Labor")</f>
        <v>400</v>
      </c>
      <c r="P95" s="113"/>
    </row>
    <row r="96" spans="2:16" x14ac:dyDescent="0.25">
      <c r="B96" s="114">
        <v>50</v>
      </c>
      <c r="C96" s="154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55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33">
        <f>MAX(SUMIFS(MainData[Item],MainData[EventID],LaborCost[[#This Row],[EventID]],MainData[Product],H$6),SUMIFS(MainData[Item],MainData[EventID],LaborCost[[#This Row],[EventID]],MainData[Product],"GTD"))</f>
        <v>900</v>
      </c>
      <c r="I96" s="139">
        <f>SUMIFS(MainData[Item],MainData[EventID],LaborCost[[#This Row],[EventID]],MainData[Product],I$6)</f>
        <v>6</v>
      </c>
      <c r="J96" s="107">
        <f>SUMIFS(MainData[Quantity],MainData[EventID],LaborCost[[#This Row],[EventID]],MainData[Product],J$6)</f>
        <v>4</v>
      </c>
      <c r="K96" s="107">
        <f>SUMIFS(MainData[Quantity],MainData[EventID],LaborCost[[#This Row],[EventID]],MainData[Product],K$6)</f>
        <v>2</v>
      </c>
      <c r="L96" s="107">
        <f>SUMIFS(MainData[Quantity],MainData[EventID],LaborCost[[#This Row],[EventID]],MainData[Product],L$6)</f>
        <v>0</v>
      </c>
      <c r="M96" s="107">
        <f>SUMIFS(MainData[Quantity],MainData[EventID],LaborCost[[#This Row],[EventID]],MainData[Product],M$6)</f>
        <v>0</v>
      </c>
      <c r="N96" s="134">
        <f>SUMIFS(MainData[Quantity],MainData[EventID],LaborCost[[#This Row],[EventID]],MainData[Product],N$6)</f>
        <v>0</v>
      </c>
      <c r="O96" s="135">
        <f>SUMIFS(MainData[ExtendedPrice],MainData[EventID],LaborCost[[#This Row],[EventID]],MainData[Billable?],"Y",MainData[Category],"Labor")</f>
        <v>400</v>
      </c>
      <c r="P96" s="113"/>
    </row>
    <row r="97" spans="2:16" x14ac:dyDescent="0.25">
      <c r="B97" s="114">
        <v>54</v>
      </c>
      <c r="C97" s="154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55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33">
        <f>MAX(SUMIFS(MainData[Item],MainData[EventID],LaborCost[[#This Row],[EventID]],MainData[Product],H$6),SUMIFS(MainData[Item],MainData[EventID],LaborCost[[#This Row],[EventID]],MainData[Product],"GTD"))</f>
        <v>350</v>
      </c>
      <c r="I97" s="139">
        <f>SUMIFS(MainData[Item],MainData[EventID],LaborCost[[#This Row],[EventID]],MainData[Product],I$6)</f>
        <v>3</v>
      </c>
      <c r="J97" s="107">
        <f>SUMIFS(MainData[Quantity],MainData[EventID],LaborCost[[#This Row],[EventID]],MainData[Product],J$6)</f>
        <v>2</v>
      </c>
      <c r="K97" s="107">
        <f>SUMIFS(MainData[Quantity],MainData[EventID],LaborCost[[#This Row],[EventID]],MainData[Product],K$6)</f>
        <v>1</v>
      </c>
      <c r="L97" s="107">
        <f>SUMIFS(MainData[Quantity],MainData[EventID],LaborCost[[#This Row],[EventID]],MainData[Product],L$6)</f>
        <v>0</v>
      </c>
      <c r="M97" s="107">
        <f>SUMIFS(MainData[Quantity],MainData[EventID],LaborCost[[#This Row],[EventID]],MainData[Product],M$6)</f>
        <v>0</v>
      </c>
      <c r="N97" s="134">
        <f>SUMIFS(MainData[Quantity],MainData[EventID],LaborCost[[#This Row],[EventID]],MainData[Product],N$6)</f>
        <v>0</v>
      </c>
      <c r="O97" s="135">
        <f>SUMIFS(MainData[ExtendedPrice],MainData[EventID],LaborCost[[#This Row],[EventID]],MainData[Billable?],"Y",MainData[Category],"Labor")</f>
        <v>200</v>
      </c>
      <c r="P97" s="113"/>
    </row>
    <row r="98" spans="2:16" x14ac:dyDescent="0.25">
      <c r="B98" s="114">
        <v>101</v>
      </c>
      <c r="C98" s="154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55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33">
        <f>MAX(SUMIFS(MainData[Item],MainData[EventID],LaborCost[[#This Row],[EventID]],MainData[Product],H$6),SUMIFS(MainData[Item],MainData[EventID],LaborCost[[#This Row],[EventID]],MainData[Product],"GTD"))</f>
        <v>60</v>
      </c>
      <c r="I98" s="139">
        <f>SUMIFS(MainData[Item],MainData[EventID],LaborCost[[#This Row],[EventID]],MainData[Product],I$6)</f>
        <v>2</v>
      </c>
      <c r="J98" s="107">
        <f>SUMIFS(MainData[Quantity],MainData[EventID],LaborCost[[#This Row],[EventID]],MainData[Product],J$6)</f>
        <v>1</v>
      </c>
      <c r="K98" s="107">
        <f>SUMIFS(MainData[Quantity],MainData[EventID],LaborCost[[#This Row],[EventID]],MainData[Product],K$6)</f>
        <v>1</v>
      </c>
      <c r="L98" s="107">
        <f>SUMIFS(MainData[Quantity],MainData[EventID],LaborCost[[#This Row],[EventID]],MainData[Product],L$6)</f>
        <v>0</v>
      </c>
      <c r="M98" s="107">
        <f>SUMIFS(MainData[Quantity],MainData[EventID],LaborCost[[#This Row],[EventID]],MainData[Product],M$6)</f>
        <v>0</v>
      </c>
      <c r="N98" s="134">
        <f>SUMIFS(MainData[Quantity],MainData[EventID],LaborCost[[#This Row],[EventID]],MainData[Product],N$6)</f>
        <v>0</v>
      </c>
      <c r="O98" s="135">
        <f>SUMIFS(MainData[ExtendedPrice],MainData[EventID],LaborCost[[#This Row],[EventID]],MainData[Billable?],"Y",MainData[Category],"Labor")</f>
        <v>100</v>
      </c>
      <c r="P98" s="113"/>
    </row>
    <row r="99" spans="2:16" x14ac:dyDescent="0.25">
      <c r="B99" s="114">
        <v>37</v>
      </c>
      <c r="C99" s="154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55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33">
        <f>MAX(SUMIFS(MainData[Item],MainData[EventID],LaborCost[[#This Row],[EventID]],MainData[Product],H$6),SUMIFS(MainData[Item],MainData[EventID],LaborCost[[#This Row],[EventID]],MainData[Product],"GTD"))</f>
        <v>45</v>
      </c>
      <c r="I99" s="139">
        <f>SUMIFS(MainData[Item],MainData[EventID],LaborCost[[#This Row],[EventID]],MainData[Product],I$6)</f>
        <v>1.5</v>
      </c>
      <c r="J99" s="107">
        <f>SUMIFS(MainData[Quantity],MainData[EventID],LaborCost[[#This Row],[EventID]],MainData[Product],J$6)</f>
        <v>1</v>
      </c>
      <c r="K99" s="107">
        <f>SUMIFS(MainData[Quantity],MainData[EventID],LaborCost[[#This Row],[EventID]],MainData[Product],K$6)</f>
        <v>1</v>
      </c>
      <c r="L99" s="107">
        <f>SUMIFS(MainData[Quantity],MainData[EventID],LaborCost[[#This Row],[EventID]],MainData[Product],L$6)</f>
        <v>0</v>
      </c>
      <c r="M99" s="107">
        <f>SUMIFS(MainData[Quantity],MainData[EventID],LaborCost[[#This Row],[EventID]],MainData[Product],M$6)</f>
        <v>0</v>
      </c>
      <c r="N99" s="134">
        <f>SUMIFS(MainData[Quantity],MainData[EventID],LaborCost[[#This Row],[EventID]],MainData[Product],N$6)</f>
        <v>0</v>
      </c>
      <c r="O99" s="135">
        <f>SUMIFS(MainData[ExtendedPrice],MainData[EventID],LaborCost[[#This Row],[EventID]],MainData[Billable?],"Y",MainData[Category],"Labor")</f>
        <v>100</v>
      </c>
      <c r="P99" s="113"/>
    </row>
    <row r="100" spans="2:16" x14ac:dyDescent="0.25">
      <c r="B100" s="114">
        <v>52</v>
      </c>
      <c r="C100" s="154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55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33">
        <f>MAX(SUMIFS(MainData[Item],MainData[EventID],LaborCost[[#This Row],[EventID]],MainData[Product],H$6),SUMIFS(MainData[Item],MainData[EventID],LaborCost[[#This Row],[EventID]],MainData[Product],"GTD"))</f>
        <v>400</v>
      </c>
      <c r="I100" s="139">
        <f>SUMIFS(MainData[Item],MainData[EventID],LaborCost[[#This Row],[EventID]],MainData[Product],I$6)</f>
        <v>6</v>
      </c>
      <c r="J100" s="107">
        <f>SUMIFS(MainData[Quantity],MainData[EventID],LaborCost[[#This Row],[EventID]],MainData[Product],J$6)</f>
        <v>2</v>
      </c>
      <c r="K100" s="107">
        <f>SUMIFS(MainData[Quantity],MainData[EventID],LaborCost[[#This Row],[EventID]],MainData[Product],K$6)</f>
        <v>1</v>
      </c>
      <c r="L100" s="107">
        <f>SUMIFS(MainData[Quantity],MainData[EventID],LaborCost[[#This Row],[EventID]],MainData[Product],L$6)</f>
        <v>0</v>
      </c>
      <c r="M100" s="107">
        <f>SUMIFS(MainData[Quantity],MainData[EventID],LaborCost[[#This Row],[EventID]],MainData[Product],M$6)</f>
        <v>0</v>
      </c>
      <c r="N100" s="134">
        <f>SUMIFS(MainData[Quantity],MainData[EventID],LaborCost[[#This Row],[EventID]],MainData[Product],N$6)</f>
        <v>0</v>
      </c>
      <c r="O100" s="135">
        <f>SUMIFS(MainData[ExtendedPrice],MainData[EventID],LaborCost[[#This Row],[EventID]],MainData[Billable?],"Y",MainData[Category],"Labor")</f>
        <v>200</v>
      </c>
      <c r="P100" s="113"/>
    </row>
    <row r="101" spans="2:16" x14ac:dyDescent="0.25">
      <c r="B101" s="114">
        <v>53</v>
      </c>
      <c r="C101" s="154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55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33">
        <f>MAX(SUMIFS(MainData[Item],MainData[EventID],LaborCost[[#This Row],[EventID]],MainData[Product],H$6),SUMIFS(MainData[Item],MainData[EventID],LaborCost[[#This Row],[EventID]],MainData[Product],"GTD"))</f>
        <v>1200</v>
      </c>
      <c r="I101" s="139">
        <f>SUMIFS(MainData[Item],MainData[EventID],LaborCost[[#This Row],[EventID]],MainData[Product],I$6)</f>
        <v>4</v>
      </c>
      <c r="J101" s="107">
        <f>SUMIFS(MainData[Quantity],MainData[EventID],LaborCost[[#This Row],[EventID]],MainData[Product],J$6)</f>
        <v>1</v>
      </c>
      <c r="K101" s="107">
        <f>SUMIFS(MainData[Quantity],MainData[EventID],LaborCost[[#This Row],[EventID]],MainData[Product],K$6)</f>
        <v>1</v>
      </c>
      <c r="L101" s="107">
        <f>SUMIFS(MainData[Quantity],MainData[EventID],LaborCost[[#This Row],[EventID]],MainData[Product],L$6)</f>
        <v>0</v>
      </c>
      <c r="M101" s="107">
        <f>SUMIFS(MainData[Quantity],MainData[EventID],LaborCost[[#This Row],[EventID]],MainData[Product],M$6)</f>
        <v>0</v>
      </c>
      <c r="N101" s="134">
        <f>SUMIFS(MainData[Quantity],MainData[EventID],LaborCost[[#This Row],[EventID]],MainData[Product],N$6)</f>
        <v>0</v>
      </c>
      <c r="O101" s="135">
        <f>SUMIFS(MainData[ExtendedPrice],MainData[EventID],LaborCost[[#This Row],[EventID]],MainData[Billable?],"Y",MainData[Category],"Labor")</f>
        <v>100</v>
      </c>
      <c r="P101" s="113"/>
    </row>
    <row r="102" spans="2:16" x14ac:dyDescent="0.25">
      <c r="B102" s="114">
        <v>35</v>
      </c>
      <c r="C102" s="154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55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33">
        <f>MAX(SUMIFS(MainData[Item],MainData[EventID],LaborCost[[#This Row],[EventID]],MainData[Product],H$6),SUMIFS(MainData[Item],MainData[EventID],LaborCost[[#This Row],[EventID]],MainData[Product],"GTD"))</f>
        <v>35</v>
      </c>
      <c r="I102" s="139">
        <f>SUMIFS(MainData[Item],MainData[EventID],LaborCost[[#This Row],[EventID]],MainData[Product],I$6)</f>
        <v>2</v>
      </c>
      <c r="J102" s="107">
        <f>SUMIFS(MainData[Quantity],MainData[EventID],LaborCost[[#This Row],[EventID]],MainData[Product],J$6)</f>
        <v>1</v>
      </c>
      <c r="K102" s="107">
        <f>SUMIFS(MainData[Quantity],MainData[EventID],LaborCost[[#This Row],[EventID]],MainData[Product],K$6)</f>
        <v>1</v>
      </c>
      <c r="L102" s="107">
        <f>SUMIFS(MainData[Quantity],MainData[EventID],LaborCost[[#This Row],[EventID]],MainData[Product],L$6)</f>
        <v>0</v>
      </c>
      <c r="M102" s="107">
        <f>SUMIFS(MainData[Quantity],MainData[EventID],LaborCost[[#This Row],[EventID]],MainData[Product],M$6)</f>
        <v>0</v>
      </c>
      <c r="N102" s="134">
        <f>SUMIFS(MainData[Quantity],MainData[EventID],LaborCost[[#This Row],[EventID]],MainData[Product],N$6)</f>
        <v>0</v>
      </c>
      <c r="O102" s="135">
        <f>SUMIFS(MainData[ExtendedPrice],MainData[EventID],LaborCost[[#This Row],[EventID]],MainData[Billable?],"Y",MainData[Category],"Labor")</f>
        <v>100</v>
      </c>
      <c r="P102" s="113"/>
    </row>
    <row r="103" spans="2:16" x14ac:dyDescent="0.25">
      <c r="B103" s="114">
        <v>38</v>
      </c>
      <c r="C103" s="154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55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33">
        <f>MAX(SUMIFS(MainData[Item],MainData[EventID],LaborCost[[#This Row],[EventID]],MainData[Product],H$6),SUMIFS(MainData[Item],MainData[EventID],LaborCost[[#This Row],[EventID]],MainData[Product],"GTD"))</f>
        <v>55</v>
      </c>
      <c r="I103" s="139">
        <f>SUMIFS(MainData[Item],MainData[EventID],LaborCost[[#This Row],[EventID]],MainData[Product],I$6)</f>
        <v>2</v>
      </c>
      <c r="J103" s="107">
        <f>SUMIFS(MainData[Quantity],MainData[EventID],LaborCost[[#This Row],[EventID]],MainData[Product],J$6)</f>
        <v>1</v>
      </c>
      <c r="K103" s="107">
        <f>SUMIFS(MainData[Quantity],MainData[EventID],LaborCost[[#This Row],[EventID]],MainData[Product],K$6)</f>
        <v>1</v>
      </c>
      <c r="L103" s="107">
        <f>SUMIFS(MainData[Quantity],MainData[EventID],LaborCost[[#This Row],[EventID]],MainData[Product],L$6)</f>
        <v>0</v>
      </c>
      <c r="M103" s="107">
        <f>SUMIFS(MainData[Quantity],MainData[EventID],LaborCost[[#This Row],[EventID]],MainData[Product],M$6)</f>
        <v>0</v>
      </c>
      <c r="N103" s="134">
        <f>SUMIFS(MainData[Quantity],MainData[EventID],LaborCost[[#This Row],[EventID]],MainData[Product],N$6)</f>
        <v>0</v>
      </c>
      <c r="O103" s="135">
        <f>SUMIFS(MainData[ExtendedPrice],MainData[EventID],LaborCost[[#This Row],[EventID]],MainData[Billable?],"Y",MainData[Category],"Labor")</f>
        <v>100</v>
      </c>
      <c r="P103" s="113"/>
    </row>
    <row r="104" spans="2:16" x14ac:dyDescent="0.25">
      <c r="B104" s="114">
        <v>39</v>
      </c>
      <c r="C104" s="154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55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33">
        <f>MAX(SUMIFS(MainData[Item],MainData[EventID],LaborCost[[#This Row],[EventID]],MainData[Product],H$6),SUMIFS(MainData[Item],MainData[EventID],LaborCost[[#This Row],[EventID]],MainData[Product],"GTD"))</f>
        <v>20</v>
      </c>
      <c r="I104" s="139">
        <f>SUMIFS(MainData[Item],MainData[EventID],LaborCost[[#This Row],[EventID]],MainData[Product],I$6)</f>
        <v>2</v>
      </c>
      <c r="J104" s="107">
        <f>SUMIFS(MainData[Quantity],MainData[EventID],LaborCost[[#This Row],[EventID]],MainData[Product],J$6)</f>
        <v>1</v>
      </c>
      <c r="K104" s="107">
        <f>SUMIFS(MainData[Quantity],MainData[EventID],LaborCost[[#This Row],[EventID]],MainData[Product],K$6)</f>
        <v>1</v>
      </c>
      <c r="L104" s="107">
        <f>SUMIFS(MainData[Quantity],MainData[EventID],LaborCost[[#This Row],[EventID]],MainData[Product],L$6)</f>
        <v>0</v>
      </c>
      <c r="M104" s="107">
        <f>SUMIFS(MainData[Quantity],MainData[EventID],LaborCost[[#This Row],[EventID]],MainData[Product],M$6)</f>
        <v>0</v>
      </c>
      <c r="N104" s="134">
        <f>SUMIFS(MainData[Quantity],MainData[EventID],LaborCost[[#This Row],[EventID]],MainData[Product],N$6)</f>
        <v>0</v>
      </c>
      <c r="O104" s="135">
        <f>SUMIFS(MainData[ExtendedPrice],MainData[EventID],LaborCost[[#This Row],[EventID]],MainData[Billable?],"Y",MainData[Category],"Labor")</f>
        <v>100</v>
      </c>
      <c r="P104" s="113"/>
    </row>
    <row r="105" spans="2:16" x14ac:dyDescent="0.25">
      <c r="B105" s="114">
        <v>36</v>
      </c>
      <c r="C105" s="154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55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33">
        <f>MAX(SUMIFS(MainData[Item],MainData[EventID],LaborCost[[#This Row],[EventID]],MainData[Product],H$6),SUMIFS(MainData[Item],MainData[EventID],LaborCost[[#This Row],[EventID]],MainData[Product],"GTD"))</f>
        <v>45</v>
      </c>
      <c r="I105" s="139">
        <f>SUMIFS(MainData[Item],MainData[EventID],LaborCost[[#This Row],[EventID]],MainData[Product],I$6)</f>
        <v>2</v>
      </c>
      <c r="J105" s="107">
        <f>SUMIFS(MainData[Quantity],MainData[EventID],LaborCost[[#This Row],[EventID]],MainData[Product],J$6)</f>
        <v>1</v>
      </c>
      <c r="K105" s="107">
        <f>SUMIFS(MainData[Quantity],MainData[EventID],LaborCost[[#This Row],[EventID]],MainData[Product],K$6)</f>
        <v>1</v>
      </c>
      <c r="L105" s="107">
        <f>SUMIFS(MainData[Quantity],MainData[EventID],LaborCost[[#This Row],[EventID]],MainData[Product],L$6)</f>
        <v>0</v>
      </c>
      <c r="M105" s="107">
        <f>SUMIFS(MainData[Quantity],MainData[EventID],LaborCost[[#This Row],[EventID]],MainData[Product],M$6)</f>
        <v>0</v>
      </c>
      <c r="N105" s="134">
        <f>SUMIFS(MainData[Quantity],MainData[EventID],LaborCost[[#This Row],[EventID]],MainData[Product],N$6)</f>
        <v>0</v>
      </c>
      <c r="O105" s="135">
        <f>SUMIFS(MainData[ExtendedPrice],MainData[EventID],LaborCost[[#This Row],[EventID]],MainData[Billable?],"Y",MainData[Category],"Labor")</f>
        <v>100</v>
      </c>
      <c r="P105" s="113"/>
    </row>
    <row r="106" spans="2:16" x14ac:dyDescent="0.25">
      <c r="B106" s="114">
        <v>40</v>
      </c>
      <c r="C106" s="154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55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33">
        <f>MAX(SUMIFS(MainData[Item],MainData[EventID],LaborCost[[#This Row],[EventID]],MainData[Product],H$6),SUMIFS(MainData[Item],MainData[EventID],LaborCost[[#This Row],[EventID]],MainData[Product],"GTD"))</f>
        <v>40</v>
      </c>
      <c r="I106" s="139">
        <f>SUMIFS(MainData[Item],MainData[EventID],LaborCost[[#This Row],[EventID]],MainData[Product],I$6)</f>
        <v>2</v>
      </c>
      <c r="J106" s="107">
        <f>SUMIFS(MainData[Quantity],MainData[EventID],LaborCost[[#This Row],[EventID]],MainData[Product],J$6)</f>
        <v>1</v>
      </c>
      <c r="K106" s="107">
        <f>SUMIFS(MainData[Quantity],MainData[EventID],LaborCost[[#This Row],[EventID]],MainData[Product],K$6)</f>
        <v>1</v>
      </c>
      <c r="L106" s="107">
        <f>SUMIFS(MainData[Quantity],MainData[EventID],LaborCost[[#This Row],[EventID]],MainData[Product],L$6)</f>
        <v>0</v>
      </c>
      <c r="M106" s="107">
        <f>SUMIFS(MainData[Quantity],MainData[EventID],LaborCost[[#This Row],[EventID]],MainData[Product],M$6)</f>
        <v>0</v>
      </c>
      <c r="N106" s="134">
        <f>SUMIFS(MainData[Quantity],MainData[EventID],LaborCost[[#This Row],[EventID]],MainData[Product],N$6)</f>
        <v>0</v>
      </c>
      <c r="O106" s="135">
        <f>SUMIFS(MainData[ExtendedPrice],MainData[EventID],LaborCost[[#This Row],[EventID]],MainData[Billable?],"Y",MainData[Category],"Labor")</f>
        <v>100</v>
      </c>
      <c r="P106" s="113"/>
    </row>
    <row r="107" spans="2:16" x14ac:dyDescent="0.25">
      <c r="B107" s="114">
        <v>41</v>
      </c>
      <c r="C107" s="154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55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33">
        <f>MAX(SUMIFS(MainData[Item],MainData[EventID],LaborCost[[#This Row],[EventID]],MainData[Product],H$6),SUMIFS(MainData[Item],MainData[EventID],LaborCost[[#This Row],[EventID]],MainData[Product],"GTD"))</f>
        <v>40</v>
      </c>
      <c r="I107" s="139">
        <f>SUMIFS(MainData[Item],MainData[EventID],LaborCost[[#This Row],[EventID]],MainData[Product],I$6)</f>
        <v>2</v>
      </c>
      <c r="J107" s="107">
        <f>SUMIFS(MainData[Quantity],MainData[EventID],LaborCost[[#This Row],[EventID]],MainData[Product],J$6)</f>
        <v>1</v>
      </c>
      <c r="K107" s="107">
        <f>SUMIFS(MainData[Quantity],MainData[EventID],LaborCost[[#This Row],[EventID]],MainData[Product],K$6)</f>
        <v>1</v>
      </c>
      <c r="L107" s="107">
        <f>SUMIFS(MainData[Quantity],MainData[EventID],LaborCost[[#This Row],[EventID]],MainData[Product],L$6)</f>
        <v>0</v>
      </c>
      <c r="M107" s="107">
        <f>SUMIFS(MainData[Quantity],MainData[EventID],LaborCost[[#This Row],[EventID]],MainData[Product],M$6)</f>
        <v>0</v>
      </c>
      <c r="N107" s="134">
        <f>SUMIFS(MainData[Quantity],MainData[EventID],LaborCost[[#This Row],[EventID]],MainData[Product],N$6)</f>
        <v>0</v>
      </c>
      <c r="O107" s="135">
        <f>SUMIFS(MainData[ExtendedPrice],MainData[EventID],LaborCost[[#This Row],[EventID]],MainData[Billable?],"Y",MainData[Category],"Labor")</f>
        <v>100</v>
      </c>
      <c r="P107" s="113"/>
    </row>
    <row r="108" spans="2:16" x14ac:dyDescent="0.25">
      <c r="B108" s="114">
        <v>90</v>
      </c>
      <c r="C108" s="154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55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33">
        <f>MAX(SUMIFS(MainData[Item],MainData[EventID],LaborCost[[#This Row],[EventID]],MainData[Product],H$6),SUMIFS(MainData[Item],MainData[EventID],LaborCost[[#This Row],[EventID]],MainData[Product],"GTD"))</f>
        <v>6</v>
      </c>
      <c r="I108" s="139">
        <f>SUMIFS(MainData[Item],MainData[EventID],LaborCost[[#This Row],[EventID]],MainData[Product],I$6)</f>
        <v>1</v>
      </c>
      <c r="J108" s="107">
        <f>SUMIFS(MainData[Quantity],MainData[EventID],LaborCost[[#This Row],[EventID]],MainData[Product],J$6)</f>
        <v>0</v>
      </c>
      <c r="K108" s="107">
        <f>SUMIFS(MainData[Quantity],MainData[EventID],LaborCost[[#This Row],[EventID]],MainData[Product],K$6)</f>
        <v>0</v>
      </c>
      <c r="L108" s="107">
        <f>SUMIFS(MainData[Quantity],MainData[EventID],LaborCost[[#This Row],[EventID]],MainData[Product],L$6)</f>
        <v>0</v>
      </c>
      <c r="M108" s="107">
        <f>SUMIFS(MainData[Quantity],MainData[EventID],LaborCost[[#This Row],[EventID]],MainData[Product],M$6)</f>
        <v>1</v>
      </c>
      <c r="N108" s="134">
        <f>SUMIFS(MainData[Quantity],MainData[EventID],LaborCost[[#This Row],[EventID]],MainData[Product],N$6)</f>
        <v>0</v>
      </c>
      <c r="O108" s="135">
        <f>SUMIFS(MainData[ExtendedPrice],MainData[EventID],LaborCost[[#This Row],[EventID]],MainData[Billable?],"Y",MainData[Category],"Labor")</f>
        <v>0</v>
      </c>
      <c r="P108" s="113" t="s">
        <v>6</v>
      </c>
    </row>
    <row r="109" spans="2:16" x14ac:dyDescent="0.25">
      <c r="B109" s="114">
        <v>92</v>
      </c>
      <c r="C109" s="154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55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33">
        <f>MAX(SUMIFS(MainData[Item],MainData[EventID],LaborCost[[#This Row],[EventID]],MainData[Product],H$6),SUMIFS(MainData[Item],MainData[EventID],LaborCost[[#This Row],[EventID]],MainData[Product],"GTD"))</f>
        <v>465</v>
      </c>
      <c r="I109" s="139">
        <f>SUMIFS(MainData[Item],MainData[EventID],LaborCost[[#This Row],[EventID]],MainData[Product],I$6)</f>
        <v>3.5</v>
      </c>
      <c r="J109" s="107">
        <f>SUMIFS(MainData[Quantity],MainData[EventID],LaborCost[[#This Row],[EventID]],MainData[Product],J$6)</f>
        <v>5</v>
      </c>
      <c r="K109" s="107">
        <f>SUMIFS(MainData[Quantity],MainData[EventID],LaborCost[[#This Row],[EventID]],MainData[Product],K$6)</f>
        <v>2</v>
      </c>
      <c r="L109" s="107">
        <f>SUMIFS(MainData[Quantity],MainData[EventID],LaborCost[[#This Row],[EventID]],MainData[Product],L$6)</f>
        <v>0</v>
      </c>
      <c r="M109" s="107">
        <f>SUMIFS(MainData[Quantity],MainData[EventID],LaborCost[[#This Row],[EventID]],MainData[Product],M$6)</f>
        <v>0</v>
      </c>
      <c r="N109" s="134">
        <f>SUMIFS(MainData[Quantity],MainData[EventID],LaborCost[[#This Row],[EventID]],MainData[Product],N$6)</f>
        <v>0</v>
      </c>
      <c r="O109" s="135">
        <f>SUMIFS(MainData[ExtendedPrice],MainData[EventID],LaborCost[[#This Row],[EventID]],MainData[Billable?],"Y",MainData[Category],"Labor")</f>
        <v>500</v>
      </c>
      <c r="P109" s="113"/>
    </row>
    <row r="110" spans="2:16" x14ac:dyDescent="0.25">
      <c r="B110" s="114">
        <v>9</v>
      </c>
      <c r="C110" s="154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55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33">
        <f>MAX(SUMIFS(MainData[Item],MainData[EventID],LaborCost[[#This Row],[EventID]],MainData[Product],H$6),SUMIFS(MainData[Item],MainData[EventID],LaborCost[[#This Row],[EventID]],MainData[Product],"GTD"))</f>
        <v>15</v>
      </c>
      <c r="I110" s="139">
        <f>SUMIFS(MainData[Item],MainData[EventID],LaborCost[[#This Row],[EventID]],MainData[Product],I$6)</f>
        <v>1</v>
      </c>
      <c r="J110" s="107">
        <f>SUMIFS(MainData[Quantity],MainData[EventID],LaborCost[[#This Row],[EventID]],MainData[Product],J$6)</f>
        <v>0</v>
      </c>
      <c r="K110" s="107">
        <f>SUMIFS(MainData[Quantity],MainData[EventID],LaborCost[[#This Row],[EventID]],MainData[Product],K$6)</f>
        <v>0</v>
      </c>
      <c r="L110" s="107">
        <f>SUMIFS(MainData[Quantity],MainData[EventID],LaborCost[[#This Row],[EventID]],MainData[Product],L$6)</f>
        <v>0</v>
      </c>
      <c r="M110" s="107">
        <f>SUMIFS(MainData[Quantity],MainData[EventID],LaborCost[[#This Row],[EventID]],MainData[Product],M$6)</f>
        <v>1</v>
      </c>
      <c r="N110" s="134">
        <f>SUMIFS(MainData[Quantity],MainData[EventID],LaborCost[[#This Row],[EventID]],MainData[Product],N$6)</f>
        <v>0</v>
      </c>
      <c r="O110" s="135">
        <f>SUMIFS(MainData[ExtendedPrice],MainData[EventID],LaborCost[[#This Row],[EventID]],MainData[Billable?],"Y",MainData[Category],"Labor")</f>
        <v>0</v>
      </c>
      <c r="P110" s="113" t="s">
        <v>6</v>
      </c>
    </row>
    <row r="111" spans="2:16" x14ac:dyDescent="0.25">
      <c r="B111" s="114">
        <v>96</v>
      </c>
      <c r="C111" s="154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55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33">
        <f>MAX(SUMIFS(MainData[Item],MainData[EventID],LaborCost[[#This Row],[EventID]],MainData[Product],H$6),SUMIFS(MainData[Item],MainData[EventID],LaborCost[[#This Row],[EventID]],MainData[Product],"GTD"))</f>
        <v>100</v>
      </c>
      <c r="I111" s="139">
        <f>SUMIFS(MainData[Item],MainData[EventID],LaborCost[[#This Row],[EventID]],MainData[Product],I$6)</f>
        <v>2</v>
      </c>
      <c r="J111" s="134">
        <f>SUMIFS(MainData[Quantity],MainData[EventID],LaborCost[[#This Row],[EventID]],MainData[Product],J$6)</f>
        <v>1</v>
      </c>
      <c r="K111" s="107">
        <f>SUMIFS(MainData[Quantity],MainData[EventID],LaborCost[[#This Row],[EventID]],MainData[Product],K$6)</f>
        <v>1</v>
      </c>
      <c r="L111" s="107">
        <f>SUMIFS(MainData[Quantity],MainData[EventID],LaborCost[[#This Row],[EventID]],MainData[Product],L$6)</f>
        <v>0</v>
      </c>
      <c r="M111" s="107">
        <f>SUMIFS(MainData[Quantity],MainData[EventID],LaborCost[[#This Row],[EventID]],MainData[Product],M$6)</f>
        <v>0</v>
      </c>
      <c r="N111" s="134">
        <f>SUMIFS(MainData[Quantity],MainData[EventID],LaborCost[[#This Row],[EventID]],MainData[Product],N$6)</f>
        <v>0</v>
      </c>
      <c r="O111" s="135">
        <f>SUMIFS(MainData[ExtendedPrice],MainData[EventID],LaborCost[[#This Row],[EventID]],MainData[Billable?],"Y",MainData[Category],"Labor")</f>
        <v>0</v>
      </c>
      <c r="P111" s="113" t="s">
        <v>507</v>
      </c>
    </row>
    <row r="112" spans="2:16" x14ac:dyDescent="0.25">
      <c r="B112" s="114">
        <v>97</v>
      </c>
      <c r="C112" s="154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55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33">
        <f>MAX(SUMIFS(MainData[Item],MainData[EventID],LaborCost[[#This Row],[EventID]],MainData[Product],H$6),SUMIFS(MainData[Item],MainData[EventID],LaborCost[[#This Row],[EventID]],MainData[Product],"GTD"))</f>
        <v>175</v>
      </c>
      <c r="I112" s="139">
        <f>SUMIFS(MainData[Item],MainData[EventID],LaborCost[[#This Row],[EventID]],MainData[Product],I$6)</f>
        <v>2.5</v>
      </c>
      <c r="J112" s="134">
        <f>SUMIFS(MainData[Quantity],MainData[EventID],LaborCost[[#This Row],[EventID]],MainData[Product],J$6)</f>
        <v>2</v>
      </c>
      <c r="K112" s="107">
        <f>SUMIFS(MainData[Quantity],MainData[EventID],LaborCost[[#This Row],[EventID]],MainData[Product],K$6)</f>
        <v>1</v>
      </c>
      <c r="L112" s="107">
        <f>SUMIFS(MainData[Quantity],MainData[EventID],LaborCost[[#This Row],[EventID]],MainData[Product],L$6)</f>
        <v>0</v>
      </c>
      <c r="M112" s="107">
        <f>SUMIFS(MainData[Quantity],MainData[EventID],LaborCost[[#This Row],[EventID]],MainData[Product],M$6)</f>
        <v>0</v>
      </c>
      <c r="N112" s="134">
        <f>SUMIFS(MainData[Quantity],MainData[EventID],LaborCost[[#This Row],[EventID]],MainData[Product],N$6)</f>
        <v>0</v>
      </c>
      <c r="O112" s="135">
        <f>SUMIFS(MainData[ExtendedPrice],MainData[EventID],LaborCost[[#This Row],[EventID]],MainData[Billable?],"Y",MainData[Category],"Labor")</f>
        <v>300</v>
      </c>
      <c r="P112" s="113"/>
    </row>
    <row r="113" spans="2:17" x14ac:dyDescent="0.25">
      <c r="B113" s="114">
        <v>95</v>
      </c>
      <c r="C113" s="154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55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33">
        <f>MAX(SUMIFS(MainData[Item],MainData[EventID],LaborCost[[#This Row],[EventID]],MainData[Product],H$6),SUMIFS(MainData[Item],MainData[EventID],LaborCost[[#This Row],[EventID]],MainData[Product],"GTD"))</f>
        <v>100</v>
      </c>
      <c r="I113" s="139">
        <f>SUMIFS(MainData[Item],MainData[EventID],LaborCost[[#This Row],[EventID]],MainData[Product],I$6)</f>
        <v>1.5</v>
      </c>
      <c r="J113" s="134">
        <f>SUMIFS(MainData[Quantity],MainData[EventID],LaborCost[[#This Row],[EventID]],MainData[Product],J$6)</f>
        <v>0</v>
      </c>
      <c r="K113" s="107">
        <f>SUMIFS(MainData[Quantity],MainData[EventID],LaborCost[[#This Row],[EventID]],MainData[Product],K$6)</f>
        <v>1</v>
      </c>
      <c r="L113" s="107">
        <f>SUMIFS(MainData[Quantity],MainData[EventID],LaborCost[[#This Row],[EventID]],MainData[Product],L$6)</f>
        <v>0</v>
      </c>
      <c r="M113" s="107">
        <f>SUMIFS(MainData[Quantity],MainData[EventID],LaborCost[[#This Row],[EventID]],MainData[Product],M$6)</f>
        <v>2</v>
      </c>
      <c r="N113" s="134">
        <f>SUMIFS(MainData[Quantity],MainData[EventID],LaborCost[[#This Row],[EventID]],MainData[Product],N$6)</f>
        <v>0</v>
      </c>
      <c r="O113" s="135">
        <f>SUMIFS(MainData[ExtendedPrice],MainData[EventID],LaborCost[[#This Row],[EventID]],MainData[Billable?],"Y",MainData[Category],"Labor")</f>
        <v>0</v>
      </c>
      <c r="P113" s="113" t="s">
        <v>66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37" r:id="rId4" name="ManualEditButton">
          <controlPr defaultSize="0" print="0" autoLine="0" r:id="rId5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4" name="ManualEdit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40" r:id="rId8" name="RefreshDataButton">
          <controlPr defaultSize="0" print="0" autoLine="0" r:id="rId9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8" name="RefreshData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543"/>
  <sheetViews>
    <sheetView showGridLines="0" workbookViewId="0">
      <pane ySplit="6" topLeftCell="A1511" activePane="bottomLeft" state="frozen"/>
      <selection pane="bottomLeft" activeCell="M1535" sqref="M1535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Revenue'!C1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16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16"/>
      <c r="W1" s="216"/>
    </row>
    <row r="2" spans="2:24" ht="15.75" x14ac:dyDescent="0.25">
      <c r="B2" s="1" t="s">
        <v>261</v>
      </c>
      <c r="C2" s="1"/>
      <c r="D2" s="1"/>
      <c r="Q2" s="10" t="str">
        <f>"To:  " &amp; TEXT(SUBTOTAL(104,MainData[Date]),"mmmm dd, yyyy")</f>
        <v>To:  February 28, 2022</v>
      </c>
      <c r="U2" s="216"/>
      <c r="V2" s="216"/>
      <c r="W2" s="216"/>
    </row>
    <row r="3" spans="2:24" x14ac:dyDescent="0.25">
      <c r="B3" s="199">
        <v>44887.394606481481</v>
      </c>
      <c r="C3" s="199"/>
      <c r="D3" s="199"/>
      <c r="E3" s="199"/>
      <c r="F3" s="199"/>
      <c r="H3" s="120"/>
      <c r="I3" s="43"/>
      <c r="J3" s="43"/>
      <c r="K3" s="43"/>
      <c r="L3" s="43"/>
      <c r="M3" s="43"/>
      <c r="N3" s="43"/>
      <c r="O3" s="43"/>
      <c r="Q3" s="79" t="str">
        <f>IF(SUBTOTAL(102,MainData[Date])&lt;&gt;COUNT(MainData[Date]),"(Filtered)","(Includes All Activity)")</f>
        <v>(Includes All Activity)</v>
      </c>
    </row>
    <row r="4" spans="2:24" x14ac:dyDescent="0.25">
      <c r="J4" s="171" t="s">
        <v>295</v>
      </c>
      <c r="K4" s="171" t="s">
        <v>295</v>
      </c>
      <c r="L4" s="171" t="s">
        <v>295</v>
      </c>
      <c r="M4" s="2"/>
      <c r="N4" s="171" t="s">
        <v>295</v>
      </c>
      <c r="U4" s="150"/>
    </row>
    <row r="5" spans="2:24" x14ac:dyDescent="0.25">
      <c r="C5" s="63"/>
      <c r="D5" s="63"/>
      <c r="E5" s="63"/>
      <c r="I5" s="170"/>
      <c r="J5" s="171" t="s">
        <v>295</v>
      </c>
      <c r="K5" s="171" t="s">
        <v>295</v>
      </c>
      <c r="L5" s="171" t="s">
        <v>295</v>
      </c>
      <c r="M5" s="173"/>
      <c r="N5" s="171" t="s">
        <v>295</v>
      </c>
      <c r="P5" s="132"/>
      <c r="Q5" s="159" t="str" cm="1">
        <f t="array" ref="Q5">"(" &amp; TEXT((ROWS(MainData[#All])+ROW(MainData[#Headers])-1)/ROWS(A:A),"0.000%") &amp; " of sheet capacity used)"</f>
        <v>(0.147% of sheet capacity used)</v>
      </c>
    </row>
    <row r="6" spans="2:24" x14ac:dyDescent="0.25">
      <c r="B6" t="s">
        <v>110</v>
      </c>
      <c r="C6" t="s">
        <v>113</v>
      </c>
      <c r="D6" t="s">
        <v>112</v>
      </c>
      <c r="E6" t="s">
        <v>0</v>
      </c>
      <c r="F6" t="s">
        <v>82</v>
      </c>
      <c r="G6" t="s">
        <v>81</v>
      </c>
      <c r="H6" s="2" t="s">
        <v>18</v>
      </c>
      <c r="I6" t="s">
        <v>155</v>
      </c>
      <c r="J6" s="171" t="s">
        <v>19</v>
      </c>
      <c r="K6" t="s">
        <v>104</v>
      </c>
      <c r="L6" t="s">
        <v>23</v>
      </c>
      <c r="M6" s="2" t="s">
        <v>154</v>
      </c>
      <c r="N6" t="s">
        <v>224</v>
      </c>
      <c r="O6" t="s">
        <v>145</v>
      </c>
      <c r="P6" t="s">
        <v>177</v>
      </c>
      <c r="Q6" s="2" t="s">
        <v>178</v>
      </c>
      <c r="V6" s="10"/>
    </row>
    <row r="7" spans="2:24" x14ac:dyDescent="0.25">
      <c r="B7" s="114" t="s">
        <v>223</v>
      </c>
      <c r="C7" s="114" t="s">
        <v>244</v>
      </c>
      <c r="D7" s="114" t="s">
        <v>223</v>
      </c>
      <c r="E7" s="154" cm="1">
        <f t="array" ref="E7">IF(ISBLANK(MainData[[#This Row],[EventID]]),0,IFERROR(INDEX(MainData[],MATCH(MainData[[#This Row],[EventID]],IF(MainData[Product]="Date",MainData[EventID],0),0),12),0))</f>
        <v>44227.999988425923</v>
      </c>
      <c r="F7" s="155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55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57" t="s">
        <v>84</v>
      </c>
      <c r="J7" t="s">
        <v>187</v>
      </c>
      <c r="K7" s="2" t="s">
        <v>157</v>
      </c>
      <c r="L7" s="2" t="s">
        <v>0</v>
      </c>
      <c r="M7" s="164">
        <v>44227.999988425923</v>
      </c>
      <c r="N7" s="2" t="s">
        <v>272</v>
      </c>
      <c r="O7" s="109"/>
      <c r="P7" s="109"/>
      <c r="Q7" s="109"/>
      <c r="S7" s="18"/>
      <c r="U7" s="41"/>
      <c r="V7" s="41"/>
      <c r="W7" s="165"/>
      <c r="X7" s="41"/>
    </row>
    <row r="8" spans="2:24" x14ac:dyDescent="0.25">
      <c r="B8" s="114" t="s">
        <v>223</v>
      </c>
      <c r="C8" s="114" t="s">
        <v>244</v>
      </c>
      <c r="D8" s="114" t="s">
        <v>223</v>
      </c>
      <c r="E8" s="154" cm="1">
        <f t="array" ref="E8">IF(ISBLANK(MainData[[#This Row],[EventID]]),0,IFERROR(INDEX(MainData[],MATCH(MainData[[#This Row],[EventID]],IF(MainData[Product]="Date",MainData[EventID],0),0),12),0))</f>
        <v>44227.999988425923</v>
      </c>
      <c r="F8" s="155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55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57" t="s">
        <v>85</v>
      </c>
      <c r="J8" t="s">
        <v>20</v>
      </c>
      <c r="K8" s="2" t="s">
        <v>29</v>
      </c>
      <c r="L8" s="2" t="s">
        <v>35</v>
      </c>
      <c r="M8" s="2" t="s">
        <v>245</v>
      </c>
      <c r="N8" s="2" t="s">
        <v>272</v>
      </c>
      <c r="O8" s="109"/>
      <c r="P8" s="109">
        <v>5999.2000000000007</v>
      </c>
      <c r="Q8" s="109">
        <v>60007.119999999995</v>
      </c>
      <c r="V8" s="41"/>
    </row>
    <row r="9" spans="2:24" x14ac:dyDescent="0.25">
      <c r="B9" s="114" t="s">
        <v>223</v>
      </c>
      <c r="C9" s="114" t="s">
        <v>244</v>
      </c>
      <c r="D9" s="114" t="s">
        <v>223</v>
      </c>
      <c r="E9" s="154" cm="1">
        <f t="array" ref="E9">IF(ISBLANK(MainData[[#This Row],[EventID]]),0,IFERROR(INDEX(MainData[],MATCH(MainData[[#This Row],[EventID]],IF(MainData[Product]="Date",MainData[EventID],0),0),12),0))</f>
        <v>44227.999988425923</v>
      </c>
      <c r="F9" s="155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55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57" t="s">
        <v>85</v>
      </c>
      <c r="J9" t="s">
        <v>20</v>
      </c>
      <c r="K9" s="2" t="s">
        <v>29</v>
      </c>
      <c r="L9" s="2" t="s">
        <v>36</v>
      </c>
      <c r="M9" s="2" t="s">
        <v>246</v>
      </c>
      <c r="N9" s="2" t="s">
        <v>272</v>
      </c>
      <c r="O9" s="109"/>
      <c r="P9" s="109">
        <v>8000.8</v>
      </c>
      <c r="Q9" s="109">
        <v>80880.824000000008</v>
      </c>
      <c r="V9" s="41"/>
    </row>
    <row r="10" spans="2:24" x14ac:dyDescent="0.25">
      <c r="B10" s="114" t="s">
        <v>223</v>
      </c>
      <c r="C10" s="114" t="s">
        <v>244</v>
      </c>
      <c r="D10" s="114" t="s">
        <v>223</v>
      </c>
      <c r="E10" s="154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55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55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57" t="s">
        <v>85</v>
      </c>
      <c r="J10" t="s">
        <v>20</v>
      </c>
      <c r="K10" s="2" t="s">
        <v>29</v>
      </c>
      <c r="L10" s="2" t="s">
        <v>65</v>
      </c>
      <c r="M10" s="2" t="s">
        <v>248</v>
      </c>
      <c r="N10" s="2" t="s">
        <v>272</v>
      </c>
      <c r="O10" s="109"/>
      <c r="P10" s="109">
        <v>1596</v>
      </c>
      <c r="Q10" s="109">
        <v>7996.0640000000003</v>
      </c>
      <c r="V10" s="41"/>
    </row>
    <row r="11" spans="2:24" x14ac:dyDescent="0.25">
      <c r="B11" s="114" t="s">
        <v>223</v>
      </c>
      <c r="C11" s="114" t="s">
        <v>244</v>
      </c>
      <c r="D11" s="114" t="s">
        <v>223</v>
      </c>
      <c r="E11" s="154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55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55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57" t="s">
        <v>85</v>
      </c>
      <c r="J11" t="s">
        <v>20</v>
      </c>
      <c r="K11" s="2" t="s">
        <v>29</v>
      </c>
      <c r="L11" s="2" t="s">
        <v>25</v>
      </c>
      <c r="M11" s="2" t="s">
        <v>247</v>
      </c>
      <c r="N11" s="2" t="s">
        <v>272</v>
      </c>
      <c r="O11" s="109"/>
      <c r="P11" s="109">
        <v>7199.2000000000007</v>
      </c>
      <c r="Q11" s="109">
        <v>64996.240000000005</v>
      </c>
      <c r="V11" s="41"/>
    </row>
    <row r="12" spans="2:24" x14ac:dyDescent="0.25">
      <c r="B12" s="114" t="s">
        <v>223</v>
      </c>
      <c r="C12" s="114" t="s">
        <v>249</v>
      </c>
      <c r="D12" s="114" t="s">
        <v>223</v>
      </c>
      <c r="E12" s="154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55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55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57" t="s">
        <v>84</v>
      </c>
      <c r="J12" t="s">
        <v>187</v>
      </c>
      <c r="K12" s="2" t="s">
        <v>157</v>
      </c>
      <c r="L12" s="2" t="s">
        <v>0</v>
      </c>
      <c r="M12" s="164">
        <v>44255.999988425923</v>
      </c>
      <c r="N12" s="2" t="s">
        <v>272</v>
      </c>
      <c r="O12" s="109"/>
      <c r="P12" s="109"/>
      <c r="Q12" s="109"/>
      <c r="V12" s="41"/>
    </row>
    <row r="13" spans="2:24" x14ac:dyDescent="0.25">
      <c r="B13" s="114" t="s">
        <v>223</v>
      </c>
      <c r="C13" s="114" t="s">
        <v>249</v>
      </c>
      <c r="D13" s="114" t="s">
        <v>223</v>
      </c>
      <c r="E13" s="154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55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55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57" t="s">
        <v>85</v>
      </c>
      <c r="J13" t="s">
        <v>20</v>
      </c>
      <c r="K13" s="2" t="s">
        <v>29</v>
      </c>
      <c r="L13" s="2" t="s">
        <v>35</v>
      </c>
      <c r="M13" s="2" t="s">
        <v>245</v>
      </c>
      <c r="N13" s="2" t="s">
        <v>272</v>
      </c>
      <c r="O13" s="109"/>
      <c r="P13" s="109">
        <v>6080</v>
      </c>
      <c r="Q13" s="109">
        <v>52888.4</v>
      </c>
      <c r="V13" s="41"/>
    </row>
    <row r="14" spans="2:24" x14ac:dyDescent="0.25">
      <c r="B14" s="114" t="s">
        <v>223</v>
      </c>
      <c r="C14" s="114" t="s">
        <v>249</v>
      </c>
      <c r="D14" s="114" t="s">
        <v>223</v>
      </c>
      <c r="E14" s="154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55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55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57" t="s">
        <v>85</v>
      </c>
      <c r="J14" t="s">
        <v>20</v>
      </c>
      <c r="K14" s="2" t="s">
        <v>29</v>
      </c>
      <c r="L14" s="2" t="s">
        <v>36</v>
      </c>
      <c r="M14" s="2" t="s">
        <v>246</v>
      </c>
      <c r="N14" s="2" t="s">
        <v>272</v>
      </c>
      <c r="O14" s="109"/>
      <c r="P14" s="109">
        <v>8920.4</v>
      </c>
      <c r="Q14" s="109">
        <v>92007.592000000004</v>
      </c>
      <c r="V14" s="41"/>
    </row>
    <row r="15" spans="2:24" x14ac:dyDescent="0.25">
      <c r="B15" s="114" t="s">
        <v>223</v>
      </c>
      <c r="C15" s="114" t="s">
        <v>249</v>
      </c>
      <c r="D15" s="114" t="s">
        <v>223</v>
      </c>
      <c r="E15" s="154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55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55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57" t="s">
        <v>85</v>
      </c>
      <c r="J15" t="s">
        <v>20</v>
      </c>
      <c r="K15" s="2" t="s">
        <v>29</v>
      </c>
      <c r="L15" s="2" t="s">
        <v>65</v>
      </c>
      <c r="M15" s="2" t="s">
        <v>248</v>
      </c>
      <c r="N15" s="2" t="s">
        <v>272</v>
      </c>
      <c r="O15" s="109"/>
      <c r="P15" s="109">
        <v>1616.16</v>
      </c>
      <c r="Q15" s="109">
        <v>7111.2800000000007</v>
      </c>
      <c r="V15" s="41"/>
    </row>
    <row r="16" spans="2:24" x14ac:dyDescent="0.25">
      <c r="B16" s="114" t="s">
        <v>223</v>
      </c>
      <c r="C16" s="114" t="s">
        <v>249</v>
      </c>
      <c r="D16" s="114" t="s">
        <v>223</v>
      </c>
      <c r="E16" s="154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55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55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57" t="s">
        <v>85</v>
      </c>
      <c r="J16" t="s">
        <v>20</v>
      </c>
      <c r="K16" s="2" t="s">
        <v>29</v>
      </c>
      <c r="L16" s="2" t="s">
        <v>25</v>
      </c>
      <c r="M16" s="2" t="s">
        <v>247</v>
      </c>
      <c r="N16" s="2" t="s">
        <v>272</v>
      </c>
      <c r="O16" s="109"/>
      <c r="P16" s="109">
        <v>7201.2000000000007</v>
      </c>
      <c r="Q16" s="109">
        <v>57779.48000000001</v>
      </c>
      <c r="V16" s="41"/>
    </row>
    <row r="17" spans="2:22" x14ac:dyDescent="0.25">
      <c r="B17" s="114" t="s">
        <v>223</v>
      </c>
      <c r="C17" s="114" t="s">
        <v>250</v>
      </c>
      <c r="D17" s="114" t="s">
        <v>223</v>
      </c>
      <c r="E17" s="154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55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55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57" t="s">
        <v>84</v>
      </c>
      <c r="J17" t="s">
        <v>187</v>
      </c>
      <c r="K17" s="2" t="s">
        <v>157</v>
      </c>
      <c r="L17" s="2" t="s">
        <v>0</v>
      </c>
      <c r="M17" s="164">
        <v>44286.999988425923</v>
      </c>
      <c r="N17" s="2" t="s">
        <v>272</v>
      </c>
      <c r="O17" s="109"/>
      <c r="P17" s="109"/>
      <c r="Q17" s="109"/>
      <c r="V17" s="41"/>
    </row>
    <row r="18" spans="2:22" x14ac:dyDescent="0.25">
      <c r="B18" s="114" t="s">
        <v>223</v>
      </c>
      <c r="C18" s="114" t="s">
        <v>250</v>
      </c>
      <c r="D18" s="114" t="s">
        <v>223</v>
      </c>
      <c r="E18" s="154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55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55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57" t="s">
        <v>85</v>
      </c>
      <c r="J18" t="s">
        <v>20</v>
      </c>
      <c r="K18" s="2" t="s">
        <v>29</v>
      </c>
      <c r="L18" s="2" t="s">
        <v>35</v>
      </c>
      <c r="M18" s="2" t="s">
        <v>245</v>
      </c>
      <c r="N18" s="2" t="s">
        <v>272</v>
      </c>
      <c r="O18" s="109"/>
      <c r="P18" s="109">
        <v>6040.0800000000008</v>
      </c>
      <c r="Q18" s="109">
        <v>62847.56</v>
      </c>
      <c r="V18" s="41"/>
    </row>
    <row r="19" spans="2:22" x14ac:dyDescent="0.25">
      <c r="B19" s="114" t="s">
        <v>223</v>
      </c>
      <c r="C19" s="114" t="s">
        <v>250</v>
      </c>
      <c r="D19" s="114" t="s">
        <v>223</v>
      </c>
      <c r="E19" s="154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55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55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57" t="s">
        <v>85</v>
      </c>
      <c r="J19" t="s">
        <v>20</v>
      </c>
      <c r="K19" s="2" t="s">
        <v>29</v>
      </c>
      <c r="L19" s="2" t="s">
        <v>36</v>
      </c>
      <c r="M19" s="2" t="s">
        <v>246</v>
      </c>
      <c r="N19" s="2" t="s">
        <v>272</v>
      </c>
      <c r="O19" s="109"/>
      <c r="P19" s="109">
        <v>8080.0800000000008</v>
      </c>
      <c r="Q19" s="109">
        <v>76001.2</v>
      </c>
      <c r="V19" s="41"/>
    </row>
    <row r="20" spans="2:22" x14ac:dyDescent="0.25">
      <c r="B20" s="114" t="s">
        <v>223</v>
      </c>
      <c r="C20" s="114" t="s">
        <v>250</v>
      </c>
      <c r="D20" s="114" t="s">
        <v>223</v>
      </c>
      <c r="E20" s="154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55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55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57" t="s">
        <v>85</v>
      </c>
      <c r="J20" t="s">
        <v>20</v>
      </c>
      <c r="K20" s="2" t="s">
        <v>29</v>
      </c>
      <c r="L20" s="2" t="s">
        <v>65</v>
      </c>
      <c r="M20" s="2" t="s">
        <v>248</v>
      </c>
      <c r="N20" s="2" t="s">
        <v>272</v>
      </c>
      <c r="O20" s="109"/>
      <c r="P20" s="109">
        <v>1516.008</v>
      </c>
      <c r="Q20" s="109">
        <v>4772.3919999999998</v>
      </c>
      <c r="V20" s="41"/>
    </row>
    <row r="21" spans="2:22" x14ac:dyDescent="0.25">
      <c r="B21" s="114" t="s">
        <v>223</v>
      </c>
      <c r="C21" s="114" t="s">
        <v>250</v>
      </c>
      <c r="D21" s="114" t="s">
        <v>223</v>
      </c>
      <c r="E21" s="154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55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55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57" t="s">
        <v>85</v>
      </c>
      <c r="J21" t="s">
        <v>20</v>
      </c>
      <c r="K21" s="2" t="s">
        <v>29</v>
      </c>
      <c r="L21" s="2" t="s">
        <v>25</v>
      </c>
      <c r="M21" s="2" t="s">
        <v>247</v>
      </c>
      <c r="N21" s="2" t="s">
        <v>272</v>
      </c>
      <c r="O21" s="109"/>
      <c r="P21" s="109">
        <v>7196.1600000000008</v>
      </c>
      <c r="Q21" s="109">
        <v>64040.4</v>
      </c>
      <c r="V21" s="41"/>
    </row>
    <row r="22" spans="2:22" x14ac:dyDescent="0.25">
      <c r="B22" s="114" t="s">
        <v>223</v>
      </c>
      <c r="C22" s="114" t="s">
        <v>251</v>
      </c>
      <c r="D22" s="114" t="s">
        <v>223</v>
      </c>
      <c r="E22" s="154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55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55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57" t="s">
        <v>84</v>
      </c>
      <c r="J22" t="s">
        <v>187</v>
      </c>
      <c r="K22" s="2" t="s">
        <v>157</v>
      </c>
      <c r="L22" s="2" t="s">
        <v>0</v>
      </c>
      <c r="M22" s="164">
        <v>44316.999988425923</v>
      </c>
      <c r="N22" s="2" t="s">
        <v>272</v>
      </c>
      <c r="O22" s="109"/>
      <c r="P22" s="109"/>
      <c r="Q22" s="109"/>
      <c r="V22" s="41"/>
    </row>
    <row r="23" spans="2:22" x14ac:dyDescent="0.25">
      <c r="B23" s="114" t="s">
        <v>223</v>
      </c>
      <c r="C23" s="114" t="s">
        <v>251</v>
      </c>
      <c r="D23" s="114" t="s">
        <v>223</v>
      </c>
      <c r="E23" s="154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55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55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57" t="s">
        <v>85</v>
      </c>
      <c r="J23" t="s">
        <v>20</v>
      </c>
      <c r="K23" s="2" t="s">
        <v>29</v>
      </c>
      <c r="L23" s="2" t="s">
        <v>35</v>
      </c>
      <c r="M23" s="2" t="s">
        <v>245</v>
      </c>
      <c r="N23" s="2" t="s">
        <v>272</v>
      </c>
      <c r="O23" s="109"/>
      <c r="P23" s="109">
        <v>5608.0080000000007</v>
      </c>
      <c r="Q23" s="109">
        <v>55840.4</v>
      </c>
    </row>
    <row r="24" spans="2:22" x14ac:dyDescent="0.25">
      <c r="B24" s="114" t="s">
        <v>223</v>
      </c>
      <c r="C24" s="114" t="s">
        <v>251</v>
      </c>
      <c r="D24" s="114" t="s">
        <v>223</v>
      </c>
      <c r="E24" s="154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55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55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57" t="s">
        <v>85</v>
      </c>
      <c r="J24" t="s">
        <v>20</v>
      </c>
      <c r="K24" s="2" t="s">
        <v>29</v>
      </c>
      <c r="L24" s="2" t="s">
        <v>36</v>
      </c>
      <c r="M24" s="2" t="s">
        <v>246</v>
      </c>
      <c r="N24" s="2" t="s">
        <v>272</v>
      </c>
      <c r="O24" s="109"/>
      <c r="P24" s="109">
        <v>6848.0080000000007</v>
      </c>
      <c r="Q24" s="109">
        <v>68622.92</v>
      </c>
    </row>
    <row r="25" spans="2:22" x14ac:dyDescent="0.25">
      <c r="B25" s="114" t="s">
        <v>223</v>
      </c>
      <c r="C25" s="114" t="s">
        <v>251</v>
      </c>
      <c r="D25" s="114" t="s">
        <v>223</v>
      </c>
      <c r="E25" s="154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55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55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57" t="s">
        <v>85</v>
      </c>
      <c r="J25" t="s">
        <v>20</v>
      </c>
      <c r="K25" s="2" t="s">
        <v>29</v>
      </c>
      <c r="L25" s="2" t="s">
        <v>65</v>
      </c>
      <c r="M25" s="2" t="s">
        <v>248</v>
      </c>
      <c r="N25" s="2" t="s">
        <v>272</v>
      </c>
      <c r="O25" s="109"/>
      <c r="P25" s="109">
        <v>1236.008</v>
      </c>
      <c r="Q25" s="109">
        <v>7191.9120000000003</v>
      </c>
    </row>
    <row r="26" spans="2:22" x14ac:dyDescent="0.25">
      <c r="B26" s="114" t="s">
        <v>223</v>
      </c>
      <c r="C26" s="114" t="s">
        <v>251</v>
      </c>
      <c r="D26" s="114" t="s">
        <v>223</v>
      </c>
      <c r="E26" s="154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55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55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57" t="s">
        <v>85</v>
      </c>
      <c r="J26" t="s">
        <v>20</v>
      </c>
      <c r="K26" s="2" t="s">
        <v>29</v>
      </c>
      <c r="L26" s="2" t="s">
        <v>25</v>
      </c>
      <c r="M26" s="2" t="s">
        <v>247</v>
      </c>
      <c r="N26" s="2" t="s">
        <v>272</v>
      </c>
      <c r="O26" s="109"/>
      <c r="P26" s="109">
        <v>7104.0080000000007</v>
      </c>
      <c r="Q26" s="109">
        <v>57783.992000000006</v>
      </c>
    </row>
    <row r="27" spans="2:22" x14ac:dyDescent="0.25">
      <c r="B27" s="114" t="s">
        <v>223</v>
      </c>
      <c r="C27" s="114" t="s">
        <v>252</v>
      </c>
      <c r="D27" s="114" t="s">
        <v>223</v>
      </c>
      <c r="E27" s="154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55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55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57" t="s">
        <v>84</v>
      </c>
      <c r="J27" t="s">
        <v>187</v>
      </c>
      <c r="K27" s="2" t="s">
        <v>157</v>
      </c>
      <c r="L27" s="2" t="s">
        <v>0</v>
      </c>
      <c r="M27" s="164">
        <v>44347.999988425923</v>
      </c>
      <c r="N27" s="2" t="s">
        <v>272</v>
      </c>
      <c r="O27" s="109"/>
      <c r="P27" s="109"/>
      <c r="Q27" s="109"/>
    </row>
    <row r="28" spans="2:22" x14ac:dyDescent="0.25">
      <c r="B28" s="114" t="s">
        <v>223</v>
      </c>
      <c r="C28" s="114" t="s">
        <v>252</v>
      </c>
      <c r="D28" s="114" t="s">
        <v>223</v>
      </c>
      <c r="E28" s="154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55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55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57" t="s">
        <v>85</v>
      </c>
      <c r="J28" t="s">
        <v>20</v>
      </c>
      <c r="K28" s="2" t="s">
        <v>29</v>
      </c>
      <c r="L28" s="2" t="s">
        <v>35</v>
      </c>
      <c r="M28" s="2" t="s">
        <v>245</v>
      </c>
      <c r="N28" s="2" t="s">
        <v>272</v>
      </c>
      <c r="O28" s="109"/>
      <c r="P28" s="109">
        <v>6152.0160000000005</v>
      </c>
      <c r="Q28" s="109">
        <v>68446.224000000002</v>
      </c>
    </row>
    <row r="29" spans="2:22" x14ac:dyDescent="0.25">
      <c r="B29" s="114" t="s">
        <v>223</v>
      </c>
      <c r="C29" s="114" t="s">
        <v>252</v>
      </c>
      <c r="D29" s="114" t="s">
        <v>223</v>
      </c>
      <c r="E29" s="154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55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55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57" t="s">
        <v>85</v>
      </c>
      <c r="J29" t="s">
        <v>20</v>
      </c>
      <c r="K29" s="2" t="s">
        <v>29</v>
      </c>
      <c r="L29" s="2" t="s">
        <v>36</v>
      </c>
      <c r="M29" s="2" t="s">
        <v>246</v>
      </c>
      <c r="N29" s="2" t="s">
        <v>272</v>
      </c>
      <c r="O29" s="109"/>
      <c r="P29" s="109">
        <v>8401.616</v>
      </c>
      <c r="Q29" s="109">
        <v>92365.248000000007</v>
      </c>
    </row>
    <row r="30" spans="2:22" x14ac:dyDescent="0.25">
      <c r="B30" s="114" t="s">
        <v>223</v>
      </c>
      <c r="C30" s="114" t="s">
        <v>252</v>
      </c>
      <c r="D30" s="114" t="s">
        <v>223</v>
      </c>
      <c r="E30" s="154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55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55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57" t="s">
        <v>85</v>
      </c>
      <c r="J30" t="s">
        <v>20</v>
      </c>
      <c r="K30" s="2" t="s">
        <v>29</v>
      </c>
      <c r="L30" s="2" t="s">
        <v>65</v>
      </c>
      <c r="M30" s="2" t="s">
        <v>248</v>
      </c>
      <c r="N30" s="2" t="s">
        <v>272</v>
      </c>
      <c r="O30" s="109"/>
      <c r="P30" s="109">
        <v>1200.0160000000001</v>
      </c>
      <c r="Q30" s="109">
        <v>8808.92</v>
      </c>
    </row>
    <row r="31" spans="2:22" x14ac:dyDescent="0.25">
      <c r="B31" s="114" t="s">
        <v>223</v>
      </c>
      <c r="C31" s="114" t="s">
        <v>252</v>
      </c>
      <c r="D31" s="114" t="s">
        <v>223</v>
      </c>
      <c r="E31" s="154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55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55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57" t="s">
        <v>85</v>
      </c>
      <c r="J31" t="s">
        <v>20</v>
      </c>
      <c r="K31" s="2" t="s">
        <v>29</v>
      </c>
      <c r="L31" s="2" t="s">
        <v>25</v>
      </c>
      <c r="M31" s="2" t="s">
        <v>247</v>
      </c>
      <c r="N31" s="2" t="s">
        <v>272</v>
      </c>
      <c r="O31" s="109"/>
      <c r="P31" s="109">
        <v>7280.8160000000007</v>
      </c>
      <c r="Q31" s="109">
        <v>63300.200000000004</v>
      </c>
    </row>
    <row r="32" spans="2:22" x14ac:dyDescent="0.25">
      <c r="B32" s="114" t="s">
        <v>223</v>
      </c>
      <c r="C32" s="114" t="s">
        <v>253</v>
      </c>
      <c r="D32" s="114" t="s">
        <v>223</v>
      </c>
      <c r="E32" s="154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55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55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57" t="s">
        <v>84</v>
      </c>
      <c r="J32" t="s">
        <v>187</v>
      </c>
      <c r="K32" s="2" t="s">
        <v>157</v>
      </c>
      <c r="L32" s="2" t="s">
        <v>0</v>
      </c>
      <c r="M32" s="164">
        <v>44377.999988425923</v>
      </c>
      <c r="N32" s="2" t="s">
        <v>272</v>
      </c>
      <c r="O32" s="109"/>
      <c r="P32" s="109"/>
      <c r="Q32" s="109"/>
    </row>
    <row r="33" spans="2:17" x14ac:dyDescent="0.25">
      <c r="B33" s="114" t="s">
        <v>223</v>
      </c>
      <c r="C33" s="114" t="s">
        <v>253</v>
      </c>
      <c r="D33" s="114" t="s">
        <v>223</v>
      </c>
      <c r="E33" s="154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55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55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57" t="s">
        <v>85</v>
      </c>
      <c r="J33" t="s">
        <v>20</v>
      </c>
      <c r="K33" s="2" t="s">
        <v>29</v>
      </c>
      <c r="L33" s="2" t="s">
        <v>35</v>
      </c>
      <c r="M33" s="2" t="s">
        <v>245</v>
      </c>
      <c r="N33" s="2" t="s">
        <v>272</v>
      </c>
      <c r="O33" s="109"/>
      <c r="P33" s="109">
        <v>5960.0240000000003</v>
      </c>
      <c r="Q33" s="109">
        <v>52044.624000000003</v>
      </c>
    </row>
    <row r="34" spans="2:17" x14ac:dyDescent="0.25">
      <c r="B34" s="114" t="s">
        <v>223</v>
      </c>
      <c r="C34" s="114" t="s">
        <v>253</v>
      </c>
      <c r="D34" s="114" t="s">
        <v>223</v>
      </c>
      <c r="E34" s="154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55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55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57" t="s">
        <v>85</v>
      </c>
      <c r="J34" t="s">
        <v>20</v>
      </c>
      <c r="K34" s="2" t="s">
        <v>29</v>
      </c>
      <c r="L34" s="2" t="s">
        <v>36</v>
      </c>
      <c r="M34" s="2" t="s">
        <v>246</v>
      </c>
      <c r="N34" s="2" t="s">
        <v>272</v>
      </c>
      <c r="O34" s="109"/>
      <c r="P34" s="109">
        <v>7918.4240000000009</v>
      </c>
      <c r="Q34" s="109">
        <v>64449.856000000007</v>
      </c>
    </row>
    <row r="35" spans="2:17" x14ac:dyDescent="0.25">
      <c r="B35" s="114" t="s">
        <v>223</v>
      </c>
      <c r="C35" s="114" t="s">
        <v>253</v>
      </c>
      <c r="D35" s="114" t="s">
        <v>223</v>
      </c>
      <c r="E35" s="154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55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55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57" t="s">
        <v>85</v>
      </c>
      <c r="J35" t="s">
        <v>20</v>
      </c>
      <c r="K35" s="2" t="s">
        <v>29</v>
      </c>
      <c r="L35" s="2" t="s">
        <v>65</v>
      </c>
      <c r="M35" s="2" t="s">
        <v>248</v>
      </c>
      <c r="N35" s="2" t="s">
        <v>272</v>
      </c>
      <c r="O35" s="109"/>
      <c r="P35" s="109">
        <v>804.024</v>
      </c>
      <c r="Q35" s="109">
        <v>3678.384</v>
      </c>
    </row>
    <row r="36" spans="2:17" x14ac:dyDescent="0.25">
      <c r="B36" s="114" t="s">
        <v>223</v>
      </c>
      <c r="C36" s="114" t="s">
        <v>253</v>
      </c>
      <c r="D36" s="114" t="s">
        <v>223</v>
      </c>
      <c r="E36" s="154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55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55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57" t="s">
        <v>85</v>
      </c>
      <c r="J36" t="s">
        <v>20</v>
      </c>
      <c r="K36" s="2" t="s">
        <v>29</v>
      </c>
      <c r="L36" s="2" t="s">
        <v>25</v>
      </c>
      <c r="M36" s="2" t="s">
        <v>247</v>
      </c>
      <c r="N36" s="2" t="s">
        <v>272</v>
      </c>
      <c r="O36" s="109"/>
      <c r="P36" s="109">
        <v>7081.6240000000007</v>
      </c>
      <c r="Q36" s="109">
        <v>55482.112000000001</v>
      </c>
    </row>
    <row r="37" spans="2:17" x14ac:dyDescent="0.25">
      <c r="B37" s="114" t="s">
        <v>223</v>
      </c>
      <c r="C37" s="114" t="s">
        <v>254</v>
      </c>
      <c r="D37" s="114" t="s">
        <v>223</v>
      </c>
      <c r="E37" s="154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55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55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57" t="s">
        <v>84</v>
      </c>
      <c r="J37" t="s">
        <v>187</v>
      </c>
      <c r="K37" s="2" t="s">
        <v>157</v>
      </c>
      <c r="L37" s="2" t="s">
        <v>0</v>
      </c>
      <c r="M37" s="164">
        <v>44408.999988425923</v>
      </c>
      <c r="N37" s="2" t="s">
        <v>272</v>
      </c>
      <c r="O37" s="109"/>
      <c r="P37" s="109"/>
      <c r="Q37" s="109"/>
    </row>
    <row r="38" spans="2:17" x14ac:dyDescent="0.25">
      <c r="B38" s="114" t="s">
        <v>223</v>
      </c>
      <c r="C38" s="114" t="s">
        <v>254</v>
      </c>
      <c r="D38" s="114" t="s">
        <v>223</v>
      </c>
      <c r="E38" s="154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55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55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57" t="s">
        <v>85</v>
      </c>
      <c r="J38" t="s">
        <v>20</v>
      </c>
      <c r="K38" s="2" t="s">
        <v>29</v>
      </c>
      <c r="L38" s="2" t="s">
        <v>35</v>
      </c>
      <c r="M38" s="2" t="s">
        <v>245</v>
      </c>
      <c r="N38" s="2" t="s">
        <v>272</v>
      </c>
      <c r="O38" s="109"/>
      <c r="P38" s="109">
        <v>5918.4320000000007</v>
      </c>
      <c r="Q38" s="109">
        <v>48201.712</v>
      </c>
    </row>
    <row r="39" spans="2:17" x14ac:dyDescent="0.25">
      <c r="B39" s="114" t="s">
        <v>223</v>
      </c>
      <c r="C39" s="114" t="s">
        <v>254</v>
      </c>
      <c r="D39" s="114" t="s">
        <v>223</v>
      </c>
      <c r="E39" s="154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55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55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57" t="s">
        <v>85</v>
      </c>
      <c r="J39" t="s">
        <v>20</v>
      </c>
      <c r="K39" s="2" t="s">
        <v>29</v>
      </c>
      <c r="L39" s="2" t="s">
        <v>36</v>
      </c>
      <c r="M39" s="2" t="s">
        <v>246</v>
      </c>
      <c r="N39" s="2" t="s">
        <v>272</v>
      </c>
      <c r="O39" s="109"/>
      <c r="P39" s="109">
        <v>7660.8320000000012</v>
      </c>
      <c r="Q39" s="109">
        <v>40551.296000000002</v>
      </c>
    </row>
    <row r="40" spans="2:17" x14ac:dyDescent="0.25">
      <c r="B40" s="114" t="s">
        <v>223</v>
      </c>
      <c r="C40" s="114" t="s">
        <v>254</v>
      </c>
      <c r="D40" s="114" t="s">
        <v>223</v>
      </c>
      <c r="E40" s="154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55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55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57" t="s">
        <v>85</v>
      </c>
      <c r="J40" t="s">
        <v>20</v>
      </c>
      <c r="K40" s="2" t="s">
        <v>29</v>
      </c>
      <c r="L40" s="2" t="s">
        <v>65</v>
      </c>
      <c r="M40" s="2" t="s">
        <v>248</v>
      </c>
      <c r="N40" s="2" t="s">
        <v>272</v>
      </c>
      <c r="O40" s="109"/>
      <c r="P40" s="109">
        <v>476.03199999999998</v>
      </c>
      <c r="Q40" s="109">
        <v>4092.096</v>
      </c>
    </row>
    <row r="41" spans="2:17" x14ac:dyDescent="0.25">
      <c r="B41" s="114" t="s">
        <v>223</v>
      </c>
      <c r="C41" s="114" t="s">
        <v>254</v>
      </c>
      <c r="D41" s="114" t="s">
        <v>223</v>
      </c>
      <c r="E41" s="154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55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55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57" t="s">
        <v>85</v>
      </c>
      <c r="J41" t="s">
        <v>20</v>
      </c>
      <c r="K41" s="2" t="s">
        <v>29</v>
      </c>
      <c r="L41" s="2" t="s">
        <v>25</v>
      </c>
      <c r="M41" s="2" t="s">
        <v>247</v>
      </c>
      <c r="N41" s="2" t="s">
        <v>272</v>
      </c>
      <c r="O41" s="109"/>
      <c r="P41" s="109">
        <v>6855.2320000000009</v>
      </c>
      <c r="Q41" s="109">
        <v>48472.36</v>
      </c>
    </row>
    <row r="42" spans="2:17" x14ac:dyDescent="0.25">
      <c r="B42" s="114" t="s">
        <v>223</v>
      </c>
      <c r="C42" s="114" t="s">
        <v>255</v>
      </c>
      <c r="D42" s="114" t="s">
        <v>223</v>
      </c>
      <c r="E42" s="154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55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55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57" t="s">
        <v>84</v>
      </c>
      <c r="J42" t="s">
        <v>187</v>
      </c>
      <c r="K42" s="2" t="s">
        <v>157</v>
      </c>
      <c r="L42" s="2" t="s">
        <v>0</v>
      </c>
      <c r="M42" s="164">
        <v>44439.999988425923</v>
      </c>
      <c r="N42" s="2" t="s">
        <v>272</v>
      </c>
      <c r="O42" s="109"/>
      <c r="P42" s="109"/>
      <c r="Q42" s="109"/>
    </row>
    <row r="43" spans="2:17" x14ac:dyDescent="0.25">
      <c r="B43" s="114" t="s">
        <v>223</v>
      </c>
      <c r="C43" s="114" t="s">
        <v>255</v>
      </c>
      <c r="D43" s="114" t="s">
        <v>223</v>
      </c>
      <c r="E43" s="154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55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55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57" t="s">
        <v>85</v>
      </c>
      <c r="J43" t="s">
        <v>20</v>
      </c>
      <c r="K43" s="2" t="s">
        <v>29</v>
      </c>
      <c r="L43" s="2" t="s">
        <v>35</v>
      </c>
      <c r="M43" s="2" t="s">
        <v>245</v>
      </c>
      <c r="N43" s="2" t="s">
        <v>272</v>
      </c>
      <c r="O43" s="109"/>
      <c r="P43" s="109">
        <v>5863.2400000000007</v>
      </c>
      <c r="Q43" s="109">
        <v>54996.495999999999</v>
      </c>
    </row>
    <row r="44" spans="2:17" x14ac:dyDescent="0.25">
      <c r="B44" s="114" t="s">
        <v>223</v>
      </c>
      <c r="C44" s="114" t="s">
        <v>255</v>
      </c>
      <c r="D44" s="114" t="s">
        <v>223</v>
      </c>
      <c r="E44" s="154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55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55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57" t="s">
        <v>85</v>
      </c>
      <c r="J44" t="s">
        <v>20</v>
      </c>
      <c r="K44" s="2" t="s">
        <v>29</v>
      </c>
      <c r="L44" s="2" t="s">
        <v>36</v>
      </c>
      <c r="M44" s="2" t="s">
        <v>246</v>
      </c>
      <c r="N44" s="2" t="s">
        <v>272</v>
      </c>
      <c r="O44" s="109"/>
      <c r="P44" s="109">
        <v>6295.2400000000007</v>
      </c>
      <c r="Q44" s="109">
        <v>63835.48000000001</v>
      </c>
    </row>
    <row r="45" spans="2:17" x14ac:dyDescent="0.25">
      <c r="B45" s="114" t="s">
        <v>223</v>
      </c>
      <c r="C45" s="114" t="s">
        <v>255</v>
      </c>
      <c r="D45" s="114" t="s">
        <v>223</v>
      </c>
      <c r="E45" s="154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55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55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57" t="s">
        <v>85</v>
      </c>
      <c r="J45" t="s">
        <v>20</v>
      </c>
      <c r="K45" s="2" t="s">
        <v>29</v>
      </c>
      <c r="L45" s="2" t="s">
        <v>65</v>
      </c>
      <c r="M45" s="2" t="s">
        <v>248</v>
      </c>
      <c r="N45" s="2" t="s">
        <v>272</v>
      </c>
      <c r="O45" s="109"/>
      <c r="P45" s="109">
        <v>471.24</v>
      </c>
      <c r="Q45" s="109">
        <v>4357.0559999999996</v>
      </c>
    </row>
    <row r="46" spans="2:17" x14ac:dyDescent="0.25">
      <c r="B46" s="114" t="s">
        <v>223</v>
      </c>
      <c r="C46" s="114" t="s">
        <v>255</v>
      </c>
      <c r="D46" s="114" t="s">
        <v>223</v>
      </c>
      <c r="E46" s="154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55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55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57" t="s">
        <v>85</v>
      </c>
      <c r="J46" t="s">
        <v>20</v>
      </c>
      <c r="K46" s="2" t="s">
        <v>29</v>
      </c>
      <c r="L46" s="2" t="s">
        <v>25</v>
      </c>
      <c r="M46" s="2" t="s">
        <v>247</v>
      </c>
      <c r="N46" s="2" t="s">
        <v>272</v>
      </c>
      <c r="O46" s="109"/>
      <c r="P46" s="109">
        <v>6527.2400000000007</v>
      </c>
      <c r="Q46" s="109">
        <v>65652.400000000009</v>
      </c>
    </row>
    <row r="47" spans="2:17" x14ac:dyDescent="0.25">
      <c r="B47" s="114" t="s">
        <v>223</v>
      </c>
      <c r="C47" s="114" t="s">
        <v>256</v>
      </c>
      <c r="D47" s="114" t="s">
        <v>223</v>
      </c>
      <c r="E47" s="154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55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55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57" t="s">
        <v>84</v>
      </c>
      <c r="J47" t="s">
        <v>187</v>
      </c>
      <c r="K47" s="2" t="s">
        <v>157</v>
      </c>
      <c r="L47" s="2" t="s">
        <v>0</v>
      </c>
      <c r="M47" s="164">
        <v>44469.999988425923</v>
      </c>
      <c r="N47" s="2" t="s">
        <v>272</v>
      </c>
      <c r="O47" s="109"/>
      <c r="P47" s="109"/>
      <c r="Q47" s="109"/>
    </row>
    <row r="48" spans="2:17" x14ac:dyDescent="0.25">
      <c r="B48" s="114" t="s">
        <v>223</v>
      </c>
      <c r="C48" s="114" t="s">
        <v>256</v>
      </c>
      <c r="D48" s="114" t="s">
        <v>223</v>
      </c>
      <c r="E48" s="154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55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55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57" t="s">
        <v>85</v>
      </c>
      <c r="J48" t="s">
        <v>20</v>
      </c>
      <c r="K48" s="2" t="s">
        <v>29</v>
      </c>
      <c r="L48" s="2" t="s">
        <v>35</v>
      </c>
      <c r="M48" s="2" t="s">
        <v>245</v>
      </c>
      <c r="N48" s="2" t="s">
        <v>272</v>
      </c>
      <c r="O48" s="109"/>
      <c r="P48" s="109">
        <v>6140.8480000000009</v>
      </c>
      <c r="Q48" s="109">
        <v>59184.76</v>
      </c>
    </row>
    <row r="49" spans="2:17" x14ac:dyDescent="0.25">
      <c r="B49" s="114" t="s">
        <v>223</v>
      </c>
      <c r="C49" s="114" t="s">
        <v>256</v>
      </c>
      <c r="D49" s="114" t="s">
        <v>223</v>
      </c>
      <c r="E49" s="154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55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55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57" t="s">
        <v>85</v>
      </c>
      <c r="J49" t="s">
        <v>20</v>
      </c>
      <c r="K49" s="2" t="s">
        <v>29</v>
      </c>
      <c r="L49" s="2" t="s">
        <v>36</v>
      </c>
      <c r="M49" s="2" t="s">
        <v>246</v>
      </c>
      <c r="N49" s="2" t="s">
        <v>272</v>
      </c>
      <c r="O49" s="109"/>
      <c r="P49" s="109">
        <v>8091.2479999999996</v>
      </c>
      <c r="Q49" s="109">
        <v>76516.759999999995</v>
      </c>
    </row>
    <row r="50" spans="2:17" x14ac:dyDescent="0.25">
      <c r="B50" s="114" t="s">
        <v>223</v>
      </c>
      <c r="C50" s="114" t="s">
        <v>256</v>
      </c>
      <c r="D50" s="114" t="s">
        <v>223</v>
      </c>
      <c r="E50" s="154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55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55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57" t="s">
        <v>85</v>
      </c>
      <c r="J50" t="s">
        <v>20</v>
      </c>
      <c r="K50" s="2" t="s">
        <v>29</v>
      </c>
      <c r="L50" s="2" t="s">
        <v>65</v>
      </c>
      <c r="M50" s="2" t="s">
        <v>248</v>
      </c>
      <c r="N50" s="2" t="s">
        <v>272</v>
      </c>
      <c r="O50" s="109"/>
      <c r="P50" s="109">
        <v>599.24799999999993</v>
      </c>
      <c r="Q50" s="109">
        <v>5604.7839999999997</v>
      </c>
    </row>
    <row r="51" spans="2:17" x14ac:dyDescent="0.25">
      <c r="B51" s="114" t="s">
        <v>223</v>
      </c>
      <c r="C51" s="114" t="s">
        <v>256</v>
      </c>
      <c r="D51" s="114" t="s">
        <v>223</v>
      </c>
      <c r="E51" s="154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55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55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57" t="s">
        <v>85</v>
      </c>
      <c r="J51" t="s">
        <v>20</v>
      </c>
      <c r="K51" s="2" t="s">
        <v>29</v>
      </c>
      <c r="L51" s="2" t="s">
        <v>25</v>
      </c>
      <c r="M51" s="2" t="s">
        <v>247</v>
      </c>
      <c r="N51" s="2" t="s">
        <v>272</v>
      </c>
      <c r="O51" s="109"/>
      <c r="P51" s="109">
        <v>6854.4480000000003</v>
      </c>
      <c r="Q51" s="109">
        <v>57784.392000000007</v>
      </c>
    </row>
    <row r="52" spans="2:17" x14ac:dyDescent="0.25">
      <c r="B52" s="114" t="s">
        <v>223</v>
      </c>
      <c r="C52" s="114" t="s">
        <v>257</v>
      </c>
      <c r="D52" s="114" t="s">
        <v>223</v>
      </c>
      <c r="E52" s="154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55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55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57" t="s">
        <v>84</v>
      </c>
      <c r="J52" t="s">
        <v>187</v>
      </c>
      <c r="K52" s="2" t="s">
        <v>157</v>
      </c>
      <c r="L52" s="2" t="s">
        <v>0</v>
      </c>
      <c r="M52" s="164">
        <v>44500.999988425923</v>
      </c>
      <c r="N52" s="2" t="s">
        <v>272</v>
      </c>
      <c r="O52" s="109"/>
      <c r="P52" s="109"/>
      <c r="Q52" s="109"/>
    </row>
    <row r="53" spans="2:17" x14ac:dyDescent="0.25">
      <c r="B53" s="114" t="s">
        <v>223</v>
      </c>
      <c r="C53" s="114" t="s">
        <v>257</v>
      </c>
      <c r="D53" s="114" t="s">
        <v>223</v>
      </c>
      <c r="E53" s="154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55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55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57" t="s">
        <v>85</v>
      </c>
      <c r="J53" t="s">
        <v>20</v>
      </c>
      <c r="K53" s="2" t="s">
        <v>29</v>
      </c>
      <c r="L53" s="2" t="s">
        <v>35</v>
      </c>
      <c r="M53" s="2" t="s">
        <v>245</v>
      </c>
      <c r="N53" s="2" t="s">
        <v>272</v>
      </c>
      <c r="O53" s="109"/>
      <c r="P53" s="109">
        <v>5863.2560000000003</v>
      </c>
      <c r="Q53" s="109">
        <v>59556.784</v>
      </c>
    </row>
    <row r="54" spans="2:17" x14ac:dyDescent="0.25">
      <c r="B54" s="114" t="s">
        <v>223</v>
      </c>
      <c r="C54" s="114" t="s">
        <v>257</v>
      </c>
      <c r="D54" s="114" t="s">
        <v>223</v>
      </c>
      <c r="E54" s="154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55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55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57" t="s">
        <v>85</v>
      </c>
      <c r="J54" t="s">
        <v>20</v>
      </c>
      <c r="K54" s="2" t="s">
        <v>29</v>
      </c>
      <c r="L54" s="2" t="s">
        <v>36</v>
      </c>
      <c r="M54" s="2" t="s">
        <v>246</v>
      </c>
      <c r="N54" s="2" t="s">
        <v>272</v>
      </c>
      <c r="O54" s="109"/>
      <c r="P54" s="109">
        <v>7572.0560000000005</v>
      </c>
      <c r="Q54" s="109">
        <v>71984.48000000001</v>
      </c>
    </row>
    <row r="55" spans="2:17" x14ac:dyDescent="0.25">
      <c r="B55" s="114" t="s">
        <v>223</v>
      </c>
      <c r="C55" s="114" t="s">
        <v>257</v>
      </c>
      <c r="D55" s="114" t="s">
        <v>223</v>
      </c>
      <c r="E55" s="154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55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55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57" t="s">
        <v>85</v>
      </c>
      <c r="J55" t="s">
        <v>20</v>
      </c>
      <c r="K55" s="2" t="s">
        <v>29</v>
      </c>
      <c r="L55" s="2" t="s">
        <v>65</v>
      </c>
      <c r="M55" s="2" t="s">
        <v>248</v>
      </c>
      <c r="N55" s="2" t="s">
        <v>272</v>
      </c>
      <c r="O55" s="109"/>
      <c r="P55" s="109">
        <v>480.05600000000004</v>
      </c>
      <c r="Q55" s="109">
        <v>7080.5119999999997</v>
      </c>
    </row>
    <row r="56" spans="2:17" x14ac:dyDescent="0.25">
      <c r="B56" s="114" t="s">
        <v>223</v>
      </c>
      <c r="C56" s="114" t="s">
        <v>257</v>
      </c>
      <c r="D56" s="114" t="s">
        <v>223</v>
      </c>
      <c r="E56" s="154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55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55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57" t="s">
        <v>85</v>
      </c>
      <c r="J56" t="s">
        <v>20</v>
      </c>
      <c r="K56" s="2" t="s">
        <v>29</v>
      </c>
      <c r="L56" s="2" t="s">
        <v>25</v>
      </c>
      <c r="M56" s="2" t="s">
        <v>247</v>
      </c>
      <c r="N56" s="2" t="s">
        <v>272</v>
      </c>
      <c r="O56" s="109"/>
      <c r="P56" s="109">
        <v>7033.6559999999999</v>
      </c>
      <c r="Q56" s="109">
        <v>68447.831999999995</v>
      </c>
    </row>
    <row r="57" spans="2:17" x14ac:dyDescent="0.25">
      <c r="B57" s="114" t="s">
        <v>223</v>
      </c>
      <c r="C57" s="114" t="s">
        <v>258</v>
      </c>
      <c r="D57" s="114" t="s">
        <v>223</v>
      </c>
      <c r="E57" s="154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55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55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57" t="s">
        <v>84</v>
      </c>
      <c r="J57" t="s">
        <v>187</v>
      </c>
      <c r="K57" s="2" t="s">
        <v>157</v>
      </c>
      <c r="L57" s="2" t="s">
        <v>0</v>
      </c>
      <c r="M57" s="164">
        <v>44530.999988425923</v>
      </c>
      <c r="N57" s="2" t="s">
        <v>272</v>
      </c>
      <c r="O57" s="109"/>
      <c r="P57" s="109"/>
      <c r="Q57" s="109"/>
    </row>
    <row r="58" spans="2:17" x14ac:dyDescent="0.25">
      <c r="B58" s="114" t="s">
        <v>223</v>
      </c>
      <c r="C58" s="114" t="s">
        <v>258</v>
      </c>
      <c r="D58" s="114" t="s">
        <v>223</v>
      </c>
      <c r="E58" s="154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55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55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57" t="s">
        <v>85</v>
      </c>
      <c r="J58" t="s">
        <v>20</v>
      </c>
      <c r="K58" s="2" t="s">
        <v>29</v>
      </c>
      <c r="L58" s="2" t="s">
        <v>35</v>
      </c>
      <c r="M58" s="2" t="s">
        <v>245</v>
      </c>
      <c r="N58" s="2" t="s">
        <v>272</v>
      </c>
      <c r="O58" s="109"/>
      <c r="P58" s="109">
        <v>6018.4639999999999</v>
      </c>
      <c r="Q58" s="109">
        <v>56007.600000000006</v>
      </c>
    </row>
    <row r="59" spans="2:17" x14ac:dyDescent="0.25">
      <c r="B59" s="114" t="s">
        <v>223</v>
      </c>
      <c r="C59" s="114" t="s">
        <v>258</v>
      </c>
      <c r="D59" s="114" t="s">
        <v>223</v>
      </c>
      <c r="E59" s="154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55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55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57" t="s">
        <v>85</v>
      </c>
      <c r="J59" t="s">
        <v>20</v>
      </c>
      <c r="K59" s="2" t="s">
        <v>29</v>
      </c>
      <c r="L59" s="2" t="s">
        <v>36</v>
      </c>
      <c r="M59" s="2" t="s">
        <v>246</v>
      </c>
      <c r="N59" s="2" t="s">
        <v>272</v>
      </c>
      <c r="O59" s="109"/>
      <c r="P59" s="109">
        <v>8103.2640000000001</v>
      </c>
      <c r="Q59" s="109">
        <v>56448.624000000003</v>
      </c>
    </row>
    <row r="60" spans="2:17" x14ac:dyDescent="0.25">
      <c r="B60" s="114" t="s">
        <v>223</v>
      </c>
      <c r="C60" s="114" t="s">
        <v>258</v>
      </c>
      <c r="D60" s="114" t="s">
        <v>223</v>
      </c>
      <c r="E60" s="154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55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55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57" t="s">
        <v>85</v>
      </c>
      <c r="J60" t="s">
        <v>20</v>
      </c>
      <c r="K60" s="2" t="s">
        <v>29</v>
      </c>
      <c r="L60" s="2" t="s">
        <v>65</v>
      </c>
      <c r="M60" s="2" t="s">
        <v>248</v>
      </c>
      <c r="N60" s="2" t="s">
        <v>272</v>
      </c>
      <c r="O60" s="109"/>
      <c r="P60" s="109">
        <v>520.06400000000008</v>
      </c>
      <c r="Q60" s="109">
        <v>4454.92</v>
      </c>
    </row>
    <row r="61" spans="2:17" x14ac:dyDescent="0.25">
      <c r="B61" s="114" t="s">
        <v>223</v>
      </c>
      <c r="C61" s="114" t="s">
        <v>258</v>
      </c>
      <c r="D61" s="114" t="s">
        <v>223</v>
      </c>
      <c r="E61" s="154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55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55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57" t="s">
        <v>85</v>
      </c>
      <c r="J61" t="s">
        <v>20</v>
      </c>
      <c r="K61" s="2" t="s">
        <v>29</v>
      </c>
      <c r="L61" s="2" t="s">
        <v>25</v>
      </c>
      <c r="M61" s="2" t="s">
        <v>247</v>
      </c>
      <c r="N61" s="2" t="s">
        <v>272</v>
      </c>
      <c r="O61" s="109"/>
      <c r="P61" s="109">
        <v>7379.2640000000001</v>
      </c>
      <c r="Q61" s="109">
        <v>57992.392000000007</v>
      </c>
    </row>
    <row r="62" spans="2:17" x14ac:dyDescent="0.25">
      <c r="B62" s="114" t="s">
        <v>223</v>
      </c>
      <c r="C62" s="114" t="s">
        <v>259</v>
      </c>
      <c r="D62" s="114" t="s">
        <v>223</v>
      </c>
      <c r="E62" s="154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55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55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57" t="s">
        <v>84</v>
      </c>
      <c r="J62" t="s">
        <v>187</v>
      </c>
      <c r="K62" s="2" t="s">
        <v>157</v>
      </c>
      <c r="L62" s="2" t="s">
        <v>0</v>
      </c>
      <c r="M62" s="164">
        <v>44561.999988425923</v>
      </c>
      <c r="N62" s="2" t="s">
        <v>272</v>
      </c>
      <c r="O62" s="109"/>
      <c r="P62" s="109"/>
      <c r="Q62" s="109"/>
    </row>
    <row r="63" spans="2:17" x14ac:dyDescent="0.25">
      <c r="B63" s="114" t="s">
        <v>223</v>
      </c>
      <c r="C63" s="114" t="s">
        <v>259</v>
      </c>
      <c r="D63" s="114" t="s">
        <v>223</v>
      </c>
      <c r="E63" s="154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55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55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57" t="s">
        <v>85</v>
      </c>
      <c r="J63" t="s">
        <v>20</v>
      </c>
      <c r="K63" s="2" t="s">
        <v>29</v>
      </c>
      <c r="L63" s="2" t="s">
        <v>35</v>
      </c>
      <c r="M63" s="2" t="s">
        <v>245</v>
      </c>
      <c r="N63" s="2" t="s">
        <v>272</v>
      </c>
      <c r="O63" s="109"/>
      <c r="P63" s="109">
        <v>6103.2720000000008</v>
      </c>
      <c r="Q63" s="109">
        <v>56176.36</v>
      </c>
    </row>
    <row r="64" spans="2:17" x14ac:dyDescent="0.25">
      <c r="B64" s="114" t="s">
        <v>223</v>
      </c>
      <c r="C64" s="114" t="s">
        <v>259</v>
      </c>
      <c r="D64" s="114" t="s">
        <v>223</v>
      </c>
      <c r="E64" s="154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55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55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57" t="s">
        <v>85</v>
      </c>
      <c r="J64" t="s">
        <v>20</v>
      </c>
      <c r="K64" s="2" t="s">
        <v>29</v>
      </c>
      <c r="L64" s="2" t="s">
        <v>36</v>
      </c>
      <c r="M64" s="2" t="s">
        <v>246</v>
      </c>
      <c r="N64" s="2" t="s">
        <v>272</v>
      </c>
      <c r="O64" s="109"/>
      <c r="P64" s="109">
        <v>8069.6720000000005</v>
      </c>
      <c r="Q64" s="109">
        <v>56176.695999999996</v>
      </c>
    </row>
    <row r="65" spans="2:17" x14ac:dyDescent="0.25">
      <c r="B65" s="114" t="s">
        <v>223</v>
      </c>
      <c r="C65" s="114" t="s">
        <v>259</v>
      </c>
      <c r="D65" s="114" t="s">
        <v>223</v>
      </c>
      <c r="E65" s="154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55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55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57" t="s">
        <v>85</v>
      </c>
      <c r="J65" t="s">
        <v>20</v>
      </c>
      <c r="K65" s="2" t="s">
        <v>29</v>
      </c>
      <c r="L65" s="2" t="s">
        <v>65</v>
      </c>
      <c r="M65" s="2" t="s">
        <v>248</v>
      </c>
      <c r="N65" s="2" t="s">
        <v>272</v>
      </c>
      <c r="O65" s="109"/>
      <c r="P65" s="109">
        <v>640.07200000000012</v>
      </c>
      <c r="Q65" s="109">
        <v>3196.48</v>
      </c>
    </row>
    <row r="66" spans="2:17" x14ac:dyDescent="0.25">
      <c r="B66" s="114" t="s">
        <v>223</v>
      </c>
      <c r="C66" s="114" t="s">
        <v>259</v>
      </c>
      <c r="D66" s="114" t="s">
        <v>223</v>
      </c>
      <c r="E66" s="154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55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55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57" t="s">
        <v>85</v>
      </c>
      <c r="J66" t="s">
        <v>20</v>
      </c>
      <c r="K66" s="2" t="s">
        <v>29</v>
      </c>
      <c r="L66" s="2" t="s">
        <v>25</v>
      </c>
      <c r="M66" s="2" t="s">
        <v>247</v>
      </c>
      <c r="N66" s="2" t="s">
        <v>272</v>
      </c>
      <c r="O66" s="109"/>
      <c r="P66" s="109">
        <v>7209.6720000000005</v>
      </c>
      <c r="Q66" s="109">
        <v>59652.280000000006</v>
      </c>
    </row>
    <row r="67" spans="2:17" x14ac:dyDescent="0.25">
      <c r="B67" s="114">
        <v>31</v>
      </c>
      <c r="C67" s="114">
        <v>86</v>
      </c>
      <c r="D67" s="114">
        <v>1</v>
      </c>
      <c r="E67" s="154" cm="1">
        <f t="array" ref="E67">IF(ISBLANK(MainData[[#This Row],[EventID]]),0,IFERROR(INDEX(MainData[],MATCH(MainData[[#This Row],[EventID]],IF(MainData[Product]="Date",MainData[EventID],0),0),12),0))</f>
        <v>44566</v>
      </c>
      <c r="F67" s="155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55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57" t="s">
        <v>84</v>
      </c>
      <c r="J67" t="s">
        <v>187</v>
      </c>
      <c r="K67" s="2" t="s">
        <v>157</v>
      </c>
      <c r="L67" s="2" t="s">
        <v>81</v>
      </c>
      <c r="M67" s="2">
        <v>1</v>
      </c>
      <c r="N67" s="2"/>
      <c r="O67" s="109"/>
      <c r="P67" s="109"/>
      <c r="Q67" s="109"/>
    </row>
    <row r="68" spans="2:17" x14ac:dyDescent="0.25">
      <c r="B68" s="114">
        <v>31</v>
      </c>
      <c r="C68" s="114">
        <v>86</v>
      </c>
      <c r="D68" s="114">
        <v>1</v>
      </c>
      <c r="E68" s="154" cm="1">
        <f t="array" ref="E68">IF(ISBLANK(MainData[[#This Row],[EventID]]),0,IFERROR(INDEX(MainData[],MATCH(MainData[[#This Row],[EventID]],IF(MainData[Product]="Date",MainData[EventID],0),0),12),0))</f>
        <v>44566</v>
      </c>
      <c r="F68" s="155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55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57" t="s">
        <v>84</v>
      </c>
      <c r="J68" t="s">
        <v>187</v>
      </c>
      <c r="K68" s="2" t="s">
        <v>157</v>
      </c>
      <c r="L68" s="2" t="s">
        <v>164</v>
      </c>
      <c r="M68" s="2" t="s">
        <v>433</v>
      </c>
      <c r="N68" s="2"/>
      <c r="O68" s="109"/>
      <c r="P68" s="109"/>
      <c r="Q68" s="109"/>
    </row>
    <row r="69" spans="2:17" x14ac:dyDescent="0.25">
      <c r="B69" s="114">
        <v>31</v>
      </c>
      <c r="C69" s="114">
        <v>86</v>
      </c>
      <c r="D69" s="114">
        <v>1</v>
      </c>
      <c r="E69" s="154" cm="1">
        <f t="array" ref="E69">IF(ISBLANK(MainData[[#This Row],[EventID]]),0,IFERROR(INDEX(MainData[],MATCH(MainData[[#This Row],[EventID]],IF(MainData[Product]="Date",MainData[EventID],0),0),12),0))</f>
        <v>44566</v>
      </c>
      <c r="F69" s="155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55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57" t="s">
        <v>84</v>
      </c>
      <c r="J69" t="s">
        <v>187</v>
      </c>
      <c r="K69" s="2" t="s">
        <v>157</v>
      </c>
      <c r="L69" s="2" t="s">
        <v>0</v>
      </c>
      <c r="M69" s="158">
        <v>44566</v>
      </c>
      <c r="N69" s="2"/>
      <c r="O69" s="109"/>
      <c r="P69" s="109"/>
      <c r="Q69" s="109"/>
    </row>
    <row r="70" spans="2:17" x14ac:dyDescent="0.25">
      <c r="B70" s="114">
        <v>31</v>
      </c>
      <c r="C70" s="114">
        <v>86</v>
      </c>
      <c r="D70" s="114">
        <v>1</v>
      </c>
      <c r="E70" s="154" cm="1">
        <f t="array" ref="E70">IF(ISBLANK(MainData[[#This Row],[EventID]]),0,IFERROR(INDEX(MainData[],MATCH(MainData[[#This Row],[EventID]],IF(MainData[Product]="Date",MainData[EventID],0),0),12),0))</f>
        <v>44566</v>
      </c>
      <c r="F70" s="155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55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57" t="s">
        <v>84</v>
      </c>
      <c r="J70" t="s">
        <v>187</v>
      </c>
      <c r="K70" s="2" t="s">
        <v>157</v>
      </c>
      <c r="L70" s="2" t="s">
        <v>82</v>
      </c>
      <c r="M70" s="2">
        <v>414547</v>
      </c>
      <c r="N70" s="2"/>
      <c r="O70" s="109"/>
      <c r="P70" s="109"/>
      <c r="Q70" s="109"/>
    </row>
    <row r="71" spans="2:17" x14ac:dyDescent="0.25">
      <c r="B71" s="114">
        <v>31</v>
      </c>
      <c r="C71" s="114">
        <v>86</v>
      </c>
      <c r="D71" s="114">
        <v>1</v>
      </c>
      <c r="E71" s="154" cm="1">
        <f t="array" ref="E71">IF(ISBLANK(MainData[[#This Row],[EventID]]),0,IFERROR(INDEX(MainData[],MATCH(MainData[[#This Row],[EventID]],IF(MainData[Product]="Date",MainData[EventID],0),0),12),0))</f>
        <v>44566</v>
      </c>
      <c r="F71" s="155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55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57" t="s">
        <v>84</v>
      </c>
      <c r="J71" t="s">
        <v>187</v>
      </c>
      <c r="K71" s="2" t="s">
        <v>157</v>
      </c>
      <c r="L71" s="2" t="s">
        <v>175</v>
      </c>
      <c r="M71" s="2" t="s">
        <v>457</v>
      </c>
      <c r="N71" s="2"/>
      <c r="O71" s="109"/>
      <c r="P71" s="109"/>
      <c r="Q71" s="109"/>
    </row>
    <row r="72" spans="2:17" x14ac:dyDescent="0.25">
      <c r="B72" s="114">
        <v>31</v>
      </c>
      <c r="C72" s="114">
        <v>86</v>
      </c>
      <c r="D72" s="114">
        <v>1</v>
      </c>
      <c r="E72" s="154" cm="1">
        <f t="array" ref="E72">IF(ISBLANK(MainData[[#This Row],[EventID]]),0,IFERROR(INDEX(MainData[],MATCH(MainData[[#This Row],[EventID]],IF(MainData[Product]="Date",MainData[EventID],0),0),12),0))</f>
        <v>44566</v>
      </c>
      <c r="F72" s="155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55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57" t="s">
        <v>84</v>
      </c>
      <c r="J72" t="s">
        <v>187</v>
      </c>
      <c r="K72" s="2" t="s">
        <v>157</v>
      </c>
      <c r="L72" s="2" t="s">
        <v>20</v>
      </c>
      <c r="M72" s="2" t="s">
        <v>344</v>
      </c>
      <c r="N72" s="2"/>
      <c r="O72" s="109"/>
      <c r="P72" s="109"/>
      <c r="Q72" s="109"/>
    </row>
    <row r="73" spans="2:17" x14ac:dyDescent="0.25">
      <c r="B73" s="114">
        <v>31</v>
      </c>
      <c r="C73" s="114">
        <v>86</v>
      </c>
      <c r="D73" s="114">
        <v>1</v>
      </c>
      <c r="E73" s="154" cm="1">
        <f t="array" ref="E73">IF(ISBLANK(MainData[[#This Row],[EventID]]),0,IFERROR(INDEX(MainData[],MATCH(MainData[[#This Row],[EventID]],IF(MainData[Product]="Date",MainData[EventID],0),0),12),0))</f>
        <v>44566</v>
      </c>
      <c r="F73" s="155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55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157" t="s">
        <v>84</v>
      </c>
      <c r="J73" t="s">
        <v>187</v>
      </c>
      <c r="K73" s="2" t="s">
        <v>157</v>
      </c>
      <c r="L73" s="2" t="s">
        <v>138</v>
      </c>
      <c r="M73" s="2">
        <v>45</v>
      </c>
      <c r="N73" s="2"/>
      <c r="O73" s="109"/>
      <c r="P73" s="109"/>
      <c r="Q73" s="109"/>
    </row>
    <row r="74" spans="2:17" x14ac:dyDescent="0.25">
      <c r="B74" s="114">
        <v>31</v>
      </c>
      <c r="C74" s="114">
        <v>86</v>
      </c>
      <c r="D74" s="114">
        <v>1</v>
      </c>
      <c r="E74" s="154" cm="1">
        <f t="array" ref="E74">IF(ISBLANK(MainData[[#This Row],[EventID]]),0,IFERROR(INDEX(MainData[],MATCH(MainData[[#This Row],[EventID]],IF(MainData[Product]="Date",MainData[EventID],0),0),12),0))</f>
        <v>44566</v>
      </c>
      <c r="F74" s="155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55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157" t="s">
        <v>84</v>
      </c>
      <c r="J74" t="s">
        <v>187</v>
      </c>
      <c r="K74" s="2" t="s">
        <v>157</v>
      </c>
      <c r="L74" s="2" t="s">
        <v>86</v>
      </c>
      <c r="M74" s="2">
        <v>2.5</v>
      </c>
      <c r="N74" s="2"/>
      <c r="O74" s="109"/>
      <c r="P74" s="109"/>
      <c r="Q74" s="109"/>
    </row>
    <row r="75" spans="2:17" x14ac:dyDescent="0.25">
      <c r="B75" s="114">
        <v>31</v>
      </c>
      <c r="C75" s="114">
        <v>86</v>
      </c>
      <c r="D75" s="114">
        <v>1</v>
      </c>
      <c r="E75" s="154" cm="1">
        <f t="array" ref="E75">IF(ISBLANK(MainData[[#This Row],[EventID]]),0,IFERROR(INDEX(MainData[],MATCH(MainData[[#This Row],[EventID]],IF(MainData[Product]="Date",MainData[EventID],0),0),12),0))</f>
        <v>44566</v>
      </c>
      <c r="F75" s="155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55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157" t="s">
        <v>84</v>
      </c>
      <c r="J75" t="s">
        <v>187</v>
      </c>
      <c r="K75" s="2" t="s">
        <v>157</v>
      </c>
      <c r="L75" s="2" t="s">
        <v>118</v>
      </c>
      <c r="M75" s="2" t="s">
        <v>462</v>
      </c>
      <c r="N75" s="2"/>
      <c r="O75" s="109"/>
      <c r="P75" s="109"/>
      <c r="Q75" s="109"/>
    </row>
    <row r="76" spans="2:17" x14ac:dyDescent="0.25">
      <c r="B76" s="114">
        <v>31</v>
      </c>
      <c r="C76" s="114">
        <v>86</v>
      </c>
      <c r="D76" s="114">
        <v>1</v>
      </c>
      <c r="E76" s="154" cm="1">
        <f t="array" ref="E76">IF(ISBLANK(MainData[[#This Row],[EventID]]),0,IFERROR(INDEX(MainData[],MATCH(MainData[[#This Row],[EventID]],IF(MainData[Product]="Date",MainData[EventID],0),0),12),0))</f>
        <v>44566</v>
      </c>
      <c r="F76" s="155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55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157" t="s">
        <v>84</v>
      </c>
      <c r="J76" t="s">
        <v>187</v>
      </c>
      <c r="K76" s="2" t="s">
        <v>157</v>
      </c>
      <c r="L76" s="2" t="s">
        <v>165</v>
      </c>
      <c r="M76" s="2" t="s">
        <v>412</v>
      </c>
      <c r="N76" s="2"/>
      <c r="O76" s="109"/>
      <c r="P76" s="109"/>
      <c r="Q76" s="109"/>
    </row>
    <row r="77" spans="2:17" x14ac:dyDescent="0.25">
      <c r="B77" s="114">
        <v>31</v>
      </c>
      <c r="C77" s="114">
        <v>86</v>
      </c>
      <c r="D77" s="114">
        <v>1</v>
      </c>
      <c r="E77" s="154" cm="1">
        <f t="array" ref="E77">IF(ISBLANK(MainData[[#This Row],[EventID]]),0,IFERROR(INDEX(MainData[],MATCH(MainData[[#This Row],[EventID]],IF(MainData[Product]="Date",MainData[EventID],0),0),12),0))</f>
        <v>44566</v>
      </c>
      <c r="F77" s="155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55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20" t="s">
        <v>85</v>
      </c>
      <c r="J77" t="s">
        <v>20</v>
      </c>
      <c r="K77" s="2" t="s">
        <v>116</v>
      </c>
      <c r="L77" s="2" t="s">
        <v>88</v>
      </c>
      <c r="M77" s="2" t="s">
        <v>189</v>
      </c>
      <c r="N77" s="2" t="s">
        <v>233</v>
      </c>
      <c r="O77" s="109">
        <v>1</v>
      </c>
      <c r="P77" s="109"/>
      <c r="Q77" s="109"/>
    </row>
    <row r="78" spans="2:17" x14ac:dyDescent="0.25">
      <c r="B78" s="114">
        <v>31</v>
      </c>
      <c r="C78" s="114">
        <v>86</v>
      </c>
      <c r="D78" s="114">
        <v>1</v>
      </c>
      <c r="E78" s="154" cm="1">
        <f t="array" ref="E78">IF(ISBLANK(MainData[[#This Row],[EventID]]),0,IFERROR(INDEX(MainData[],MATCH(MainData[[#This Row],[EventID]],IF(MainData[Product]="Date",MainData[EventID],0),0),12),0))</f>
        <v>44566</v>
      </c>
      <c r="F78" s="155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55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20" t="s">
        <v>85</v>
      </c>
      <c r="J78" t="s">
        <v>20</v>
      </c>
      <c r="K78" s="2" t="s">
        <v>116</v>
      </c>
      <c r="L78" s="2" t="s">
        <v>87</v>
      </c>
      <c r="M78" s="2" t="s">
        <v>188</v>
      </c>
      <c r="N78" s="2" t="s">
        <v>233</v>
      </c>
      <c r="O78" s="109">
        <v>1</v>
      </c>
      <c r="P78" s="109"/>
      <c r="Q78" s="109">
        <v>100</v>
      </c>
    </row>
    <row r="79" spans="2:17" x14ac:dyDescent="0.25">
      <c r="B79" s="114">
        <v>31</v>
      </c>
      <c r="C79" s="114">
        <v>86</v>
      </c>
      <c r="D79" s="114">
        <v>1</v>
      </c>
      <c r="E79" s="154" cm="1">
        <f t="array" ref="E79">IF(ISBLANK(MainData[[#This Row],[EventID]]),0,IFERROR(INDEX(MainData[],MATCH(MainData[[#This Row],[EventID]],IF(MainData[Product]="Date",MainData[EventID],0),0),12),0))</f>
        <v>44566</v>
      </c>
      <c r="F79" s="155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55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57" t="s">
        <v>85</v>
      </c>
      <c r="J79" t="s">
        <v>20</v>
      </c>
      <c r="K79" s="2" t="s">
        <v>29</v>
      </c>
      <c r="L79" s="2" t="s">
        <v>35</v>
      </c>
      <c r="M79" s="2" t="s">
        <v>382</v>
      </c>
      <c r="N79" s="2" t="s">
        <v>234</v>
      </c>
      <c r="O79" s="109">
        <v>1</v>
      </c>
      <c r="P79" s="109">
        <v>43.91</v>
      </c>
      <c r="Q79" s="109">
        <v>475.64</v>
      </c>
    </row>
    <row r="80" spans="2:17" x14ac:dyDescent="0.25">
      <c r="B80" s="114">
        <v>31</v>
      </c>
      <c r="C80" s="114">
        <v>86</v>
      </c>
      <c r="D80" s="114">
        <v>1</v>
      </c>
      <c r="E80" s="154" cm="1">
        <f t="array" ref="E80">IF(ISBLANK(MainData[[#This Row],[EventID]]),0,IFERROR(INDEX(MainData[],MATCH(MainData[[#This Row],[EventID]],IF(MainData[Product]="Date",MainData[EventID],0),0),12),0))</f>
        <v>44566</v>
      </c>
      <c r="F80" s="155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0" s="155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20" t="s">
        <v>85</v>
      </c>
      <c r="J80" t="s">
        <v>20</v>
      </c>
      <c r="K80" s="2" t="s">
        <v>29</v>
      </c>
      <c r="L80" s="2" t="s">
        <v>65</v>
      </c>
      <c r="M80" s="2" t="s">
        <v>383</v>
      </c>
      <c r="N80" s="2" t="s">
        <v>234</v>
      </c>
      <c r="O80" s="109">
        <v>1</v>
      </c>
      <c r="P80" s="109">
        <v>10.97</v>
      </c>
      <c r="Q80" s="109">
        <v>118.91</v>
      </c>
    </row>
    <row r="81" spans="2:17" x14ac:dyDescent="0.25">
      <c r="B81" s="114">
        <v>31</v>
      </c>
      <c r="C81" s="114">
        <v>86</v>
      </c>
      <c r="D81" s="114">
        <v>1</v>
      </c>
      <c r="E81" s="154" cm="1">
        <f t="array" ref="E81">IF(ISBLANK(MainData[[#This Row],[EventID]]),0,IFERROR(INDEX(MainData[],MATCH(MainData[[#This Row],[EventID]],IF(MainData[Product]="Date",MainData[EventID],0),0),12),0))</f>
        <v>44566</v>
      </c>
      <c r="F81" s="155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1" s="155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157" t="s">
        <v>85</v>
      </c>
      <c r="J81" t="s">
        <v>20</v>
      </c>
      <c r="K81" s="2" t="s">
        <v>29</v>
      </c>
      <c r="L81" s="2" t="s">
        <v>25</v>
      </c>
      <c r="M81" s="2" t="s">
        <v>381</v>
      </c>
      <c r="N81" s="2" t="s">
        <v>234</v>
      </c>
      <c r="O81" s="109">
        <v>1</v>
      </c>
      <c r="P81" s="109">
        <v>54.88</v>
      </c>
      <c r="Q81" s="109">
        <v>594.54999999999995</v>
      </c>
    </row>
    <row r="82" spans="2:17" x14ac:dyDescent="0.25">
      <c r="B82" s="114">
        <v>31</v>
      </c>
      <c r="C82" s="114">
        <v>87</v>
      </c>
      <c r="D82" s="114">
        <v>2</v>
      </c>
      <c r="E82" s="154" cm="1">
        <f t="array" ref="E82">IF(ISBLANK(MainData[[#This Row],[EventID]]),0,IFERROR(INDEX(MainData[],MATCH(MainData[[#This Row],[EventID]],IF(MainData[Product]="Date",MainData[EventID],0),0),12),0))</f>
        <v>44567</v>
      </c>
      <c r="F82" s="155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55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157" t="s">
        <v>84</v>
      </c>
      <c r="J82" t="s">
        <v>187</v>
      </c>
      <c r="K82" s="2" t="s">
        <v>157</v>
      </c>
      <c r="L82" s="2" t="s">
        <v>81</v>
      </c>
      <c r="M82" s="2">
        <v>1</v>
      </c>
      <c r="N82" s="2"/>
      <c r="O82" s="109"/>
      <c r="P82" s="109"/>
      <c r="Q82" s="109"/>
    </row>
    <row r="83" spans="2:17" x14ac:dyDescent="0.25">
      <c r="B83" s="114">
        <v>31</v>
      </c>
      <c r="C83" s="114">
        <v>87</v>
      </c>
      <c r="D83" s="114">
        <v>2</v>
      </c>
      <c r="E83" s="154" cm="1">
        <f t="array" ref="E83">IF(ISBLANK(MainData[[#This Row],[EventID]]),0,IFERROR(INDEX(MainData[],MATCH(MainData[[#This Row],[EventID]],IF(MainData[Product]="Date",MainData[EventID],0),0),12),0))</f>
        <v>44567</v>
      </c>
      <c r="F83" s="155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55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57" t="s">
        <v>84</v>
      </c>
      <c r="J83" t="s">
        <v>187</v>
      </c>
      <c r="K83" s="2" t="s">
        <v>157</v>
      </c>
      <c r="L83" s="2" t="s">
        <v>0</v>
      </c>
      <c r="M83" s="158">
        <v>44567</v>
      </c>
      <c r="N83" s="2"/>
      <c r="O83" s="109"/>
      <c r="P83" s="109"/>
      <c r="Q83" s="109"/>
    </row>
    <row r="84" spans="2:17" x14ac:dyDescent="0.25">
      <c r="B84" s="114">
        <v>31</v>
      </c>
      <c r="C84" s="114">
        <v>87</v>
      </c>
      <c r="D84" s="114">
        <v>2</v>
      </c>
      <c r="E84" s="154" cm="1">
        <f t="array" ref="E84">IF(ISBLANK(MainData[[#This Row],[EventID]]),0,IFERROR(INDEX(MainData[],MATCH(MainData[[#This Row],[EventID]],IF(MainData[Product]="Date",MainData[EventID],0),0),12),0))</f>
        <v>44567</v>
      </c>
      <c r="F84" s="155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55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57" t="s">
        <v>84</v>
      </c>
      <c r="J84" t="s">
        <v>187</v>
      </c>
      <c r="K84" s="2" t="s">
        <v>157</v>
      </c>
      <c r="L84" s="2" t="s">
        <v>82</v>
      </c>
      <c r="M84" s="2">
        <v>764631</v>
      </c>
      <c r="N84" s="2"/>
      <c r="O84" s="109"/>
      <c r="P84" s="109"/>
      <c r="Q84" s="109"/>
    </row>
    <row r="85" spans="2:17" x14ac:dyDescent="0.25">
      <c r="B85" s="114">
        <v>31</v>
      </c>
      <c r="C85" s="114">
        <v>87</v>
      </c>
      <c r="D85" s="114">
        <v>2</v>
      </c>
      <c r="E85" s="154" cm="1">
        <f t="array" ref="E85">IF(ISBLANK(MainData[[#This Row],[EventID]]),0,IFERROR(INDEX(MainData[],MATCH(MainData[[#This Row],[EventID]],IF(MainData[Product]="Date",MainData[EventID],0),0),12),0))</f>
        <v>44567</v>
      </c>
      <c r="F85" s="155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55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157" t="s">
        <v>84</v>
      </c>
      <c r="J85" t="s">
        <v>187</v>
      </c>
      <c r="K85" s="2" t="s">
        <v>157</v>
      </c>
      <c r="L85" s="2" t="s">
        <v>175</v>
      </c>
      <c r="M85" s="2" t="s">
        <v>455</v>
      </c>
      <c r="N85" s="2"/>
      <c r="O85" s="109"/>
      <c r="P85" s="109"/>
      <c r="Q85" s="109"/>
    </row>
    <row r="86" spans="2:17" x14ac:dyDescent="0.25">
      <c r="B86" s="114">
        <v>31</v>
      </c>
      <c r="C86" s="114">
        <v>87</v>
      </c>
      <c r="D86" s="114">
        <v>2</v>
      </c>
      <c r="E86" s="154" cm="1">
        <f t="array" ref="E86">IF(ISBLANK(MainData[[#This Row],[EventID]]),0,IFERROR(INDEX(MainData[],MATCH(MainData[[#This Row],[EventID]],IF(MainData[Product]="Date",MainData[EventID],0),0),12),0))</f>
        <v>44567</v>
      </c>
      <c r="F86" s="155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55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157" t="s">
        <v>84</v>
      </c>
      <c r="J86" t="s">
        <v>187</v>
      </c>
      <c r="K86" s="2" t="s">
        <v>157</v>
      </c>
      <c r="L86" s="2" t="s">
        <v>138</v>
      </c>
      <c r="M86" s="2">
        <v>1500</v>
      </c>
      <c r="N86" s="2"/>
      <c r="O86" s="109"/>
      <c r="P86" s="109"/>
      <c r="Q86" s="109"/>
    </row>
    <row r="87" spans="2:17" x14ac:dyDescent="0.25">
      <c r="B87" s="114">
        <v>31</v>
      </c>
      <c r="C87" s="114">
        <v>87</v>
      </c>
      <c r="D87" s="114">
        <v>2</v>
      </c>
      <c r="E87" s="154" cm="1">
        <f t="array" ref="E87">IF(ISBLANK(MainData[[#This Row],[EventID]]),0,IFERROR(INDEX(MainData[],MATCH(MainData[[#This Row],[EventID]],IF(MainData[Product]="Date",MainData[EventID],0),0),12),0))</f>
        <v>44567</v>
      </c>
      <c r="F87" s="155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55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157" t="s">
        <v>84</v>
      </c>
      <c r="J87" t="s">
        <v>187</v>
      </c>
      <c r="K87" s="2" t="s">
        <v>157</v>
      </c>
      <c r="L87" s="2" t="s">
        <v>86</v>
      </c>
      <c r="M87" s="2">
        <v>3</v>
      </c>
      <c r="N87" s="2"/>
      <c r="O87" s="109"/>
      <c r="P87" s="109"/>
      <c r="Q87" s="109"/>
    </row>
    <row r="88" spans="2:17" x14ac:dyDescent="0.25">
      <c r="B88" s="114">
        <v>31</v>
      </c>
      <c r="C88" s="114">
        <v>87</v>
      </c>
      <c r="D88" s="114">
        <v>2</v>
      </c>
      <c r="E88" s="154" cm="1">
        <f t="array" ref="E88">IF(ISBLANK(MainData[[#This Row],[EventID]]),0,IFERROR(INDEX(MainData[],MATCH(MainData[[#This Row],[EventID]],IF(MainData[Product]="Date",MainData[EventID],0),0),12),0))</f>
        <v>44567</v>
      </c>
      <c r="F88" s="155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55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157" t="s">
        <v>84</v>
      </c>
      <c r="J88" t="s">
        <v>187</v>
      </c>
      <c r="K88" s="2" t="s">
        <v>157</v>
      </c>
      <c r="L88" s="2" t="s">
        <v>118</v>
      </c>
      <c r="M88" s="2" t="s">
        <v>463</v>
      </c>
      <c r="N88" s="2"/>
      <c r="O88" s="109"/>
      <c r="P88" s="109"/>
      <c r="Q88" s="109"/>
    </row>
    <row r="89" spans="2:17" x14ac:dyDescent="0.25">
      <c r="B89" s="114">
        <v>31</v>
      </c>
      <c r="C89" s="114">
        <v>87</v>
      </c>
      <c r="D89" s="114">
        <v>2</v>
      </c>
      <c r="E89" s="154" cm="1">
        <f t="array" ref="E89">IF(ISBLANK(MainData[[#This Row],[EventID]]),0,IFERROR(INDEX(MainData[],MATCH(MainData[[#This Row],[EventID]],IF(MainData[Product]="Date",MainData[EventID],0),0),12),0))</f>
        <v>44567</v>
      </c>
      <c r="F89" s="155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55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20" t="s">
        <v>85</v>
      </c>
      <c r="J89" t="s">
        <v>20</v>
      </c>
      <c r="K89" s="2" t="s">
        <v>116</v>
      </c>
      <c r="L89" s="2" t="s">
        <v>88</v>
      </c>
      <c r="M89" s="2" t="s">
        <v>189</v>
      </c>
      <c r="N89" s="2" t="s">
        <v>233</v>
      </c>
      <c r="O89" s="109">
        <v>5</v>
      </c>
      <c r="P89" s="109"/>
      <c r="Q89" s="109"/>
    </row>
    <row r="90" spans="2:17" x14ac:dyDescent="0.25">
      <c r="B90" s="114">
        <v>31</v>
      </c>
      <c r="C90" s="114">
        <v>87</v>
      </c>
      <c r="D90" s="114">
        <v>2</v>
      </c>
      <c r="E90" s="154" cm="1">
        <f t="array" ref="E90">IF(ISBLANK(MainData[[#This Row],[EventID]]),0,IFERROR(INDEX(MainData[],MATCH(MainData[[#This Row],[EventID]],IF(MainData[Product]="Date",MainData[EventID],0),0),12),0))</f>
        <v>44567</v>
      </c>
      <c r="F90" s="155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55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20" t="s">
        <v>85</v>
      </c>
      <c r="J90" t="s">
        <v>20</v>
      </c>
      <c r="K90" s="2" t="s">
        <v>116</v>
      </c>
      <c r="L90" s="2" t="s">
        <v>87</v>
      </c>
      <c r="M90" s="2" t="s">
        <v>188</v>
      </c>
      <c r="N90" s="2" t="s">
        <v>233</v>
      </c>
      <c r="O90" s="109">
        <v>16</v>
      </c>
      <c r="P90" s="109"/>
      <c r="Q90" s="109">
        <v>1600</v>
      </c>
    </row>
    <row r="91" spans="2:17" x14ac:dyDescent="0.25">
      <c r="B91" s="114">
        <v>31</v>
      </c>
      <c r="C91" s="114">
        <v>87</v>
      </c>
      <c r="D91" s="114">
        <v>2</v>
      </c>
      <c r="E91" s="154" cm="1">
        <f t="array" ref="E91">IF(ISBLANK(MainData[[#This Row],[EventID]]),0,IFERROR(INDEX(MainData[],MATCH(MainData[[#This Row],[EventID]],IF(MainData[Product]="Date",MainData[EventID],0),0),12),0))</f>
        <v>44567</v>
      </c>
      <c r="F91" s="155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1" s="155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1" s="157" t="s">
        <v>85</v>
      </c>
      <c r="J91" t="s">
        <v>20</v>
      </c>
      <c r="K91" s="2" t="s">
        <v>29</v>
      </c>
      <c r="L91" s="2" t="s">
        <v>35</v>
      </c>
      <c r="M91" s="2" t="s">
        <v>382</v>
      </c>
      <c r="N91" s="2" t="s">
        <v>234</v>
      </c>
      <c r="O91" s="109">
        <v>16</v>
      </c>
      <c r="P91" s="109">
        <v>1501</v>
      </c>
      <c r="Q91" s="109">
        <v>15550</v>
      </c>
    </row>
    <row r="92" spans="2:17" x14ac:dyDescent="0.25">
      <c r="B92" s="114">
        <v>31</v>
      </c>
      <c r="C92" s="114">
        <v>87</v>
      </c>
      <c r="D92" s="114">
        <v>2</v>
      </c>
      <c r="E92" s="154" cm="1">
        <f t="array" ref="E92">IF(ISBLANK(MainData[[#This Row],[EventID]]),0,IFERROR(INDEX(MainData[],MATCH(MainData[[#This Row],[EventID]],IF(MainData[Product]="Date",MainData[EventID],0),0),12),0))</f>
        <v>44567</v>
      </c>
      <c r="F92" s="155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2" s="155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2" s="157" t="s">
        <v>85</v>
      </c>
      <c r="J92" t="s">
        <v>20</v>
      </c>
      <c r="K92" s="2" t="s">
        <v>29</v>
      </c>
      <c r="L92" s="2" t="s">
        <v>36</v>
      </c>
      <c r="M92" s="2" t="s">
        <v>384</v>
      </c>
      <c r="N92" s="2" t="s">
        <v>234</v>
      </c>
      <c r="O92" s="109">
        <v>16</v>
      </c>
      <c r="P92" s="109">
        <v>1591.62</v>
      </c>
      <c r="Q92" s="109">
        <v>16427.189999999999</v>
      </c>
    </row>
    <row r="93" spans="2:17" x14ac:dyDescent="0.25">
      <c r="B93" s="114">
        <v>31</v>
      </c>
      <c r="C93" s="114">
        <v>87</v>
      </c>
      <c r="D93" s="114">
        <v>2</v>
      </c>
      <c r="E93" s="154" cm="1">
        <f t="array" ref="E93">IF(ISBLANK(MainData[[#This Row],[EventID]]),0,IFERROR(INDEX(MainData[],MATCH(MainData[[#This Row],[EventID]],IF(MainData[Product]="Date",MainData[EventID],0),0),12),0))</f>
        <v>44567</v>
      </c>
      <c r="F93" s="155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3" s="155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3" s="20" t="s">
        <v>85</v>
      </c>
      <c r="J93" t="s">
        <v>20</v>
      </c>
      <c r="K93" s="2" t="s">
        <v>29</v>
      </c>
      <c r="L93" s="2" t="s">
        <v>65</v>
      </c>
      <c r="M93" s="2" t="s">
        <v>383</v>
      </c>
      <c r="N93" s="2" t="s">
        <v>234</v>
      </c>
      <c r="O93" s="109">
        <v>16</v>
      </c>
      <c r="P93" s="109">
        <v>418.32</v>
      </c>
      <c r="Q93" s="109">
        <v>4259.25</v>
      </c>
    </row>
    <row r="94" spans="2:17" x14ac:dyDescent="0.25">
      <c r="B94" s="114">
        <v>31</v>
      </c>
      <c r="C94" s="114">
        <v>87</v>
      </c>
      <c r="D94" s="114">
        <v>2</v>
      </c>
      <c r="E94" s="154" cm="1">
        <f t="array" ref="E94">IF(ISBLANK(MainData[[#This Row],[EventID]]),0,IFERROR(INDEX(MainData[],MATCH(MainData[[#This Row],[EventID]],IF(MainData[Product]="Date",MainData[EventID],0),0),12),0))</f>
        <v>44567</v>
      </c>
      <c r="F94" s="155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4" s="155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4" s="157" t="s">
        <v>85</v>
      </c>
      <c r="J94" t="s">
        <v>20</v>
      </c>
      <c r="K94" s="2" t="s">
        <v>29</v>
      </c>
      <c r="L94" s="2" t="s">
        <v>25</v>
      </c>
      <c r="M94" s="2" t="s">
        <v>385</v>
      </c>
      <c r="N94" s="2" t="s">
        <v>234</v>
      </c>
      <c r="O94" s="109">
        <v>16</v>
      </c>
      <c r="P94" s="109">
        <v>1170.31</v>
      </c>
      <c r="Q94" s="109">
        <v>12078.8125</v>
      </c>
    </row>
    <row r="95" spans="2:17" x14ac:dyDescent="0.25">
      <c r="B95" s="114">
        <v>39</v>
      </c>
      <c r="C95" s="114">
        <v>98</v>
      </c>
      <c r="D95" s="114">
        <v>3</v>
      </c>
      <c r="E95" s="154" cm="1">
        <f t="array" ref="E95">IF(ISBLANK(MainData[[#This Row],[EventID]]),0,IFERROR(INDEX(MainData[],MATCH(MainData[[#This Row],[EventID]],IF(MainData[Product]="Date",MainData[EventID],0),0),12),0))</f>
        <v>44568</v>
      </c>
      <c r="F95" s="155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55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57" t="s">
        <v>84</v>
      </c>
      <c r="J95" t="s">
        <v>187</v>
      </c>
      <c r="K95" s="2" t="s">
        <v>157</v>
      </c>
      <c r="L95" s="2" t="s">
        <v>81</v>
      </c>
      <c r="M95" s="2">
        <v>1</v>
      </c>
      <c r="N95" s="2"/>
      <c r="O95" s="109"/>
      <c r="P95" s="109"/>
      <c r="Q95" s="109"/>
    </row>
    <row r="96" spans="2:17" x14ac:dyDescent="0.25">
      <c r="B96" s="114">
        <v>39</v>
      </c>
      <c r="C96" s="114">
        <v>98</v>
      </c>
      <c r="D96" s="114">
        <v>3</v>
      </c>
      <c r="E96" s="154" cm="1">
        <f t="array" ref="E96">IF(ISBLANK(MainData[[#This Row],[EventID]]),0,IFERROR(INDEX(MainData[],MATCH(MainData[[#This Row],[EventID]],IF(MainData[Product]="Date",MainData[EventID],0),0),12),0))</f>
        <v>44568</v>
      </c>
      <c r="F96" s="155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55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157" t="s">
        <v>84</v>
      </c>
      <c r="J96" t="s">
        <v>187</v>
      </c>
      <c r="K96" s="2" t="s">
        <v>157</v>
      </c>
      <c r="L96" s="2" t="s">
        <v>164</v>
      </c>
      <c r="M96" s="2" t="s">
        <v>439</v>
      </c>
      <c r="N96" s="2"/>
      <c r="O96" s="109"/>
      <c r="P96" s="109"/>
      <c r="Q96" s="109"/>
    </row>
    <row r="97" spans="2:17" x14ac:dyDescent="0.25">
      <c r="B97" s="114">
        <v>39</v>
      </c>
      <c r="C97" s="114">
        <v>98</v>
      </c>
      <c r="D97" s="114">
        <v>3</v>
      </c>
      <c r="E97" s="154" cm="1">
        <f t="array" ref="E97">IF(ISBLANK(MainData[[#This Row],[EventID]]),0,IFERROR(INDEX(MainData[],MATCH(MainData[[#This Row],[EventID]],IF(MainData[Product]="Date",MainData[EventID],0),0),12),0))</f>
        <v>44568</v>
      </c>
      <c r="F97" s="155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55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57" t="s">
        <v>84</v>
      </c>
      <c r="J97" t="s">
        <v>187</v>
      </c>
      <c r="K97" s="2" t="s">
        <v>157</v>
      </c>
      <c r="L97" s="2" t="s">
        <v>0</v>
      </c>
      <c r="M97" s="158">
        <v>44568</v>
      </c>
      <c r="N97" s="2"/>
      <c r="O97" s="109"/>
      <c r="P97" s="109"/>
      <c r="Q97" s="109"/>
    </row>
    <row r="98" spans="2:17" x14ac:dyDescent="0.25">
      <c r="B98" s="114">
        <v>39</v>
      </c>
      <c r="C98" s="114">
        <v>98</v>
      </c>
      <c r="D98" s="114">
        <v>3</v>
      </c>
      <c r="E98" s="154" cm="1">
        <f t="array" ref="E98">IF(ISBLANK(MainData[[#This Row],[EventID]]),0,IFERROR(INDEX(MainData[],MATCH(MainData[[#This Row],[EventID]],IF(MainData[Product]="Date",MainData[EventID],0),0),12),0))</f>
        <v>44568</v>
      </c>
      <c r="F98" s="155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55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57" t="s">
        <v>84</v>
      </c>
      <c r="J98" t="s">
        <v>187</v>
      </c>
      <c r="K98" s="2" t="s">
        <v>157</v>
      </c>
      <c r="L98" s="2" t="s">
        <v>82</v>
      </c>
      <c r="M98" s="2">
        <v>657987</v>
      </c>
      <c r="N98" s="2"/>
      <c r="O98" s="109"/>
      <c r="P98" s="109"/>
      <c r="Q98" s="109"/>
    </row>
    <row r="99" spans="2:17" x14ac:dyDescent="0.25">
      <c r="B99" s="114">
        <v>39</v>
      </c>
      <c r="C99" s="114">
        <v>98</v>
      </c>
      <c r="D99" s="114">
        <v>3</v>
      </c>
      <c r="E99" s="154" cm="1">
        <f t="array" ref="E99">IF(ISBLANK(MainData[[#This Row],[EventID]]),0,IFERROR(INDEX(MainData[],MATCH(MainData[[#This Row],[EventID]],IF(MainData[Product]="Date",MainData[EventID],0),0),12),0))</f>
        <v>44568</v>
      </c>
      <c r="F99" s="155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55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157" t="s">
        <v>84</v>
      </c>
      <c r="J99" t="s">
        <v>187</v>
      </c>
      <c r="K99" s="2" t="s">
        <v>157</v>
      </c>
      <c r="L99" s="2" t="s">
        <v>175</v>
      </c>
      <c r="M99" s="2" t="s">
        <v>457</v>
      </c>
      <c r="N99" s="2"/>
      <c r="O99" s="109"/>
      <c r="P99" s="109"/>
      <c r="Q99" s="109"/>
    </row>
    <row r="100" spans="2:17" x14ac:dyDescent="0.25">
      <c r="B100" s="114">
        <v>39</v>
      </c>
      <c r="C100" s="114">
        <v>98</v>
      </c>
      <c r="D100" s="114">
        <v>3</v>
      </c>
      <c r="E100" s="154" cm="1">
        <f t="array" ref="E100">IF(ISBLANK(MainData[[#This Row],[EventID]]),0,IFERROR(INDEX(MainData[],MATCH(MainData[[#This Row],[EventID]],IF(MainData[Product]="Date",MainData[EventID],0),0),12),0))</f>
        <v>44568</v>
      </c>
      <c r="F100" s="155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55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157" t="s">
        <v>84</v>
      </c>
      <c r="J100" t="s">
        <v>187</v>
      </c>
      <c r="K100" s="2" t="s">
        <v>157</v>
      </c>
      <c r="L100" s="2" t="s">
        <v>20</v>
      </c>
      <c r="M100" s="2" t="s">
        <v>377</v>
      </c>
      <c r="N100" s="2"/>
      <c r="O100" s="109"/>
      <c r="P100" s="109"/>
      <c r="Q100" s="109"/>
    </row>
    <row r="101" spans="2:17" x14ac:dyDescent="0.25">
      <c r="B101" s="114">
        <v>39</v>
      </c>
      <c r="C101" s="114">
        <v>98</v>
      </c>
      <c r="D101" s="114">
        <v>3</v>
      </c>
      <c r="E101" s="154" cm="1">
        <f t="array" ref="E101">IF(ISBLANK(MainData[[#This Row],[EventID]]),0,IFERROR(INDEX(MainData[],MATCH(MainData[[#This Row],[EventID]],IF(MainData[Product]="Date",MainData[EventID],0),0),12),0))</f>
        <v>44568</v>
      </c>
      <c r="F101" s="155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55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157" t="s">
        <v>84</v>
      </c>
      <c r="J101" t="s">
        <v>187</v>
      </c>
      <c r="K101" s="2" t="s">
        <v>157</v>
      </c>
      <c r="L101" s="2" t="s">
        <v>138</v>
      </c>
      <c r="M101" s="2">
        <v>330</v>
      </c>
      <c r="N101" s="2"/>
      <c r="O101" s="109"/>
      <c r="P101" s="109"/>
      <c r="Q101" s="109"/>
    </row>
    <row r="102" spans="2:17" x14ac:dyDescent="0.25">
      <c r="B102" s="114">
        <v>39</v>
      </c>
      <c r="C102" s="114">
        <v>98</v>
      </c>
      <c r="D102" s="114">
        <v>3</v>
      </c>
      <c r="E102" s="154" cm="1">
        <f t="array" ref="E102">IF(ISBLANK(MainData[[#This Row],[EventID]]),0,IFERROR(INDEX(MainData[],MATCH(MainData[[#This Row],[EventID]],IF(MainData[Product]="Date",MainData[EventID],0),0),12),0))</f>
        <v>44568</v>
      </c>
      <c r="F102" s="155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55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157" t="s">
        <v>84</v>
      </c>
      <c r="J102" t="s">
        <v>187</v>
      </c>
      <c r="K102" s="2" t="s">
        <v>157</v>
      </c>
      <c r="L102" s="2" t="s">
        <v>86</v>
      </c>
      <c r="M102" s="2">
        <v>4</v>
      </c>
      <c r="N102" s="2"/>
      <c r="O102" s="109"/>
      <c r="P102" s="109"/>
      <c r="Q102" s="109"/>
    </row>
    <row r="103" spans="2:17" x14ac:dyDescent="0.25">
      <c r="B103" s="114">
        <v>39</v>
      </c>
      <c r="C103" s="114">
        <v>98</v>
      </c>
      <c r="D103" s="114">
        <v>3</v>
      </c>
      <c r="E103" s="154" cm="1">
        <f t="array" ref="E103">IF(ISBLANK(MainData[[#This Row],[EventID]]),0,IFERROR(INDEX(MainData[],MATCH(MainData[[#This Row],[EventID]],IF(MainData[Product]="Date",MainData[EventID],0),0),12),0))</f>
        <v>44568</v>
      </c>
      <c r="F103" s="155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55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57" t="s">
        <v>84</v>
      </c>
      <c r="J103" t="s">
        <v>187</v>
      </c>
      <c r="K103" s="2" t="s">
        <v>157</v>
      </c>
      <c r="L103" s="2" t="s">
        <v>118</v>
      </c>
      <c r="M103" s="2" t="s">
        <v>471</v>
      </c>
      <c r="N103" s="2"/>
      <c r="O103" s="109"/>
      <c r="P103" s="109"/>
      <c r="Q103" s="109"/>
    </row>
    <row r="104" spans="2:17" x14ac:dyDescent="0.25">
      <c r="B104" s="114">
        <v>39</v>
      </c>
      <c r="C104" s="114">
        <v>98</v>
      </c>
      <c r="D104" s="114">
        <v>3</v>
      </c>
      <c r="E104" s="154" cm="1">
        <f t="array" ref="E104">IF(ISBLANK(MainData[[#This Row],[EventID]]),0,IFERROR(INDEX(MainData[],MATCH(MainData[[#This Row],[EventID]],IF(MainData[Product]="Date",MainData[EventID],0),0),12),0))</f>
        <v>44568</v>
      </c>
      <c r="F104" s="155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4" s="155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57" t="s">
        <v>84</v>
      </c>
      <c r="J104" t="s">
        <v>187</v>
      </c>
      <c r="K104" s="2" t="s">
        <v>157</v>
      </c>
      <c r="L104" s="2" t="s">
        <v>165</v>
      </c>
      <c r="M104" s="2" t="s">
        <v>412</v>
      </c>
      <c r="N104" s="2"/>
      <c r="O104" s="109"/>
      <c r="P104" s="109"/>
      <c r="Q104" s="109"/>
    </row>
    <row r="105" spans="2:17" x14ac:dyDescent="0.25">
      <c r="B105" s="114">
        <v>39</v>
      </c>
      <c r="C105" s="114">
        <v>98</v>
      </c>
      <c r="D105" s="114">
        <v>3</v>
      </c>
      <c r="E105" s="154" cm="1">
        <f t="array" ref="E105">IF(ISBLANK(MainData[[#This Row],[EventID]]),0,IFERROR(INDEX(MainData[],MATCH(MainData[[#This Row],[EventID]],IF(MainData[Product]="Date",MainData[EventID],0),0),12),0))</f>
        <v>44568</v>
      </c>
      <c r="F105" s="155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5" s="155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20" t="s">
        <v>85</v>
      </c>
      <c r="J105" t="s">
        <v>20</v>
      </c>
      <c r="K105" s="2" t="s">
        <v>116</v>
      </c>
      <c r="L105" s="2" t="s">
        <v>88</v>
      </c>
      <c r="M105" s="2" t="s">
        <v>189</v>
      </c>
      <c r="N105" s="2" t="s">
        <v>233</v>
      </c>
      <c r="O105" s="109">
        <v>2</v>
      </c>
      <c r="P105" s="109"/>
      <c r="Q105" s="109"/>
    </row>
    <row r="106" spans="2:17" x14ac:dyDescent="0.25">
      <c r="B106" s="114">
        <v>39</v>
      </c>
      <c r="C106" s="114">
        <v>98</v>
      </c>
      <c r="D106" s="114">
        <v>3</v>
      </c>
      <c r="E106" s="154" cm="1">
        <f t="array" ref="E106">IF(ISBLANK(MainData[[#This Row],[EventID]]),0,IFERROR(INDEX(MainData[],MATCH(MainData[[#This Row],[EventID]],IF(MainData[Product]="Date",MainData[EventID],0),0),12),0))</f>
        <v>44568</v>
      </c>
      <c r="F106" s="155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6" s="155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20" t="s">
        <v>85</v>
      </c>
      <c r="J106" t="s">
        <v>20</v>
      </c>
      <c r="K106" s="2" t="s">
        <v>116</v>
      </c>
      <c r="L106" s="2" t="s">
        <v>87</v>
      </c>
      <c r="M106" s="2" t="s">
        <v>188</v>
      </c>
      <c r="N106" s="2" t="s">
        <v>233</v>
      </c>
      <c r="O106" s="109">
        <v>4</v>
      </c>
      <c r="P106" s="109"/>
      <c r="Q106" s="109">
        <v>400</v>
      </c>
    </row>
    <row r="107" spans="2:17" x14ac:dyDescent="0.25">
      <c r="B107" s="114">
        <v>39</v>
      </c>
      <c r="C107" s="114">
        <v>98</v>
      </c>
      <c r="D107" s="114">
        <v>3</v>
      </c>
      <c r="E107" s="154" cm="1">
        <f t="array" ref="E107">IF(ISBLANK(MainData[[#This Row],[EventID]]),0,IFERROR(INDEX(MainData[],MATCH(MainData[[#This Row],[EventID]],IF(MainData[Product]="Date",MainData[EventID],0),0),12),0))</f>
        <v>44568</v>
      </c>
      <c r="F107" s="155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7" s="155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157" t="s">
        <v>85</v>
      </c>
      <c r="J107" t="s">
        <v>20</v>
      </c>
      <c r="K107" s="2" t="s">
        <v>29</v>
      </c>
      <c r="L107" s="2" t="s">
        <v>35</v>
      </c>
      <c r="M107" s="2" t="s">
        <v>382</v>
      </c>
      <c r="N107" s="2" t="s">
        <v>236</v>
      </c>
      <c r="O107" s="109">
        <v>4</v>
      </c>
      <c r="P107" s="109">
        <v>607.78</v>
      </c>
      <c r="Q107" s="109">
        <v>6715.5</v>
      </c>
    </row>
    <row r="108" spans="2:17" x14ac:dyDescent="0.25">
      <c r="B108" s="114">
        <v>39</v>
      </c>
      <c r="C108" s="114">
        <v>98</v>
      </c>
      <c r="D108" s="114">
        <v>3</v>
      </c>
      <c r="E108" s="154" cm="1">
        <f t="array" ref="E108">IF(ISBLANK(MainData[[#This Row],[EventID]]),0,IFERROR(INDEX(MainData[],MATCH(MainData[[#This Row],[EventID]],IF(MainData[Product]="Date",MainData[EventID],0),0),12),0))</f>
        <v>44568</v>
      </c>
      <c r="F108" s="155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8" s="155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20" t="s">
        <v>85</v>
      </c>
      <c r="J108" t="s">
        <v>20</v>
      </c>
      <c r="K108" s="2" t="s">
        <v>29</v>
      </c>
      <c r="L108" s="2" t="s">
        <v>65</v>
      </c>
      <c r="M108" s="2" t="s">
        <v>383</v>
      </c>
      <c r="N108" s="2" t="s">
        <v>236</v>
      </c>
      <c r="O108" s="109">
        <v>4</v>
      </c>
      <c r="P108" s="109">
        <v>110.49</v>
      </c>
      <c r="Q108" s="109">
        <v>1221</v>
      </c>
    </row>
    <row r="109" spans="2:17" x14ac:dyDescent="0.25">
      <c r="B109" s="114">
        <v>39</v>
      </c>
      <c r="C109" s="114">
        <v>98</v>
      </c>
      <c r="D109" s="114">
        <v>3</v>
      </c>
      <c r="E109" s="154" cm="1">
        <f t="array" ref="E109">IF(ISBLANK(MainData[[#This Row],[EventID]]),0,IFERROR(INDEX(MainData[],MATCH(MainData[[#This Row],[EventID]],IF(MainData[Product]="Date",MainData[EventID],0),0),12),0))</f>
        <v>44568</v>
      </c>
      <c r="F109" s="155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9" s="155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157" t="s">
        <v>85</v>
      </c>
      <c r="J109" t="s">
        <v>20</v>
      </c>
      <c r="K109" s="2" t="s">
        <v>29</v>
      </c>
      <c r="L109" s="2" t="s">
        <v>25</v>
      </c>
      <c r="M109" s="2" t="s">
        <v>388</v>
      </c>
      <c r="N109" s="2" t="s">
        <v>236</v>
      </c>
      <c r="O109" s="109">
        <v>4</v>
      </c>
      <c r="P109" s="109">
        <v>386.75</v>
      </c>
      <c r="Q109" s="109">
        <v>4273.5</v>
      </c>
    </row>
    <row r="110" spans="2:17" x14ac:dyDescent="0.25">
      <c r="B110" s="114">
        <v>39</v>
      </c>
      <c r="C110" s="114">
        <v>99</v>
      </c>
      <c r="D110" s="114">
        <v>4</v>
      </c>
      <c r="E110" s="154" cm="1">
        <f t="array" ref="E110">IF(ISBLANK(MainData[[#This Row],[EventID]]),0,IFERROR(INDEX(MainData[],MATCH(MainData[[#This Row],[EventID]],IF(MainData[Product]="Date",MainData[EventID],0),0),12),0))</f>
        <v>44568</v>
      </c>
      <c r="F110" s="155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55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157" t="s">
        <v>84</v>
      </c>
      <c r="J110" t="s">
        <v>187</v>
      </c>
      <c r="K110" s="2" t="s">
        <v>157</v>
      </c>
      <c r="L110" s="2" t="s">
        <v>81</v>
      </c>
      <c r="M110" s="2">
        <v>1</v>
      </c>
      <c r="N110" s="2"/>
      <c r="O110" s="109"/>
      <c r="P110" s="109"/>
      <c r="Q110" s="109"/>
    </row>
    <row r="111" spans="2:17" x14ac:dyDescent="0.25">
      <c r="B111" s="114">
        <v>39</v>
      </c>
      <c r="C111" s="114">
        <v>99</v>
      </c>
      <c r="D111" s="114">
        <v>4</v>
      </c>
      <c r="E111" s="154" cm="1">
        <f t="array" ref="E111">IF(ISBLANK(MainData[[#This Row],[EventID]]),0,IFERROR(INDEX(MainData[],MATCH(MainData[[#This Row],[EventID]],IF(MainData[Product]="Date",MainData[EventID],0),0),12),0))</f>
        <v>44568</v>
      </c>
      <c r="F111" s="155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55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157" t="s">
        <v>84</v>
      </c>
      <c r="J111" t="s">
        <v>187</v>
      </c>
      <c r="K111" s="2" t="s">
        <v>157</v>
      </c>
      <c r="L111" s="2" t="s">
        <v>0</v>
      </c>
      <c r="M111" s="158">
        <v>44568</v>
      </c>
      <c r="N111" s="2"/>
      <c r="O111" s="109"/>
      <c r="P111" s="109"/>
      <c r="Q111" s="109"/>
    </row>
    <row r="112" spans="2:17" x14ac:dyDescent="0.25">
      <c r="B112" s="114">
        <v>39</v>
      </c>
      <c r="C112" s="114">
        <v>99</v>
      </c>
      <c r="D112" s="114">
        <v>4</v>
      </c>
      <c r="E112" s="154" cm="1">
        <f t="array" ref="E112">IF(ISBLANK(MainData[[#This Row],[EventID]]),0,IFERROR(INDEX(MainData[],MATCH(MainData[[#This Row],[EventID]],IF(MainData[Product]="Date",MainData[EventID],0),0),12),0))</f>
        <v>44568</v>
      </c>
      <c r="F112" s="155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55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157" t="s">
        <v>84</v>
      </c>
      <c r="J112" t="s">
        <v>187</v>
      </c>
      <c r="K112" s="2" t="s">
        <v>157</v>
      </c>
      <c r="L112" s="2" t="s">
        <v>82</v>
      </c>
      <c r="M112" s="2">
        <v>658049</v>
      </c>
      <c r="N112" s="2"/>
      <c r="O112" s="109"/>
      <c r="P112" s="109"/>
      <c r="Q112" s="109"/>
    </row>
    <row r="113" spans="2:17" x14ac:dyDescent="0.25">
      <c r="B113" s="114">
        <v>39</v>
      </c>
      <c r="C113" s="114">
        <v>99</v>
      </c>
      <c r="D113" s="114">
        <v>4</v>
      </c>
      <c r="E113" s="154" cm="1">
        <f t="array" ref="E113">IF(ISBLANK(MainData[[#This Row],[EventID]]),0,IFERROR(INDEX(MainData[],MATCH(MainData[[#This Row],[EventID]],IF(MainData[Product]="Date",MainData[EventID],0),0),12),0))</f>
        <v>44568</v>
      </c>
      <c r="F113" s="155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55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157" t="s">
        <v>84</v>
      </c>
      <c r="J113" t="s">
        <v>187</v>
      </c>
      <c r="K113" s="2" t="s">
        <v>157</v>
      </c>
      <c r="L113" s="2" t="s">
        <v>175</v>
      </c>
      <c r="M113" s="2" t="s">
        <v>455</v>
      </c>
      <c r="N113" s="2"/>
      <c r="O113" s="109"/>
      <c r="P113" s="109"/>
      <c r="Q113" s="109"/>
    </row>
    <row r="114" spans="2:17" x14ac:dyDescent="0.25">
      <c r="B114" s="114">
        <v>39</v>
      </c>
      <c r="C114" s="114">
        <v>99</v>
      </c>
      <c r="D114" s="114">
        <v>4</v>
      </c>
      <c r="E114" s="154" cm="1">
        <f t="array" ref="E114">IF(ISBLANK(MainData[[#This Row],[EventID]]),0,IFERROR(INDEX(MainData[],MATCH(MainData[[#This Row],[EventID]],IF(MainData[Product]="Date",MainData[EventID],0),0),12),0))</f>
        <v>44568</v>
      </c>
      <c r="F114" s="155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55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157" t="s">
        <v>84</v>
      </c>
      <c r="J114" t="s">
        <v>187</v>
      </c>
      <c r="K114" s="2" t="s">
        <v>157</v>
      </c>
      <c r="L114" s="2" t="s">
        <v>138</v>
      </c>
      <c r="M114" s="2">
        <v>40</v>
      </c>
      <c r="N114" s="2"/>
      <c r="O114" s="109"/>
      <c r="P114" s="109"/>
      <c r="Q114" s="109"/>
    </row>
    <row r="115" spans="2:17" x14ac:dyDescent="0.25">
      <c r="B115" s="114">
        <v>39</v>
      </c>
      <c r="C115" s="114">
        <v>99</v>
      </c>
      <c r="D115" s="114">
        <v>4</v>
      </c>
      <c r="E115" s="154" cm="1">
        <f t="array" ref="E115">IF(ISBLANK(MainData[[#This Row],[EventID]]),0,IFERROR(INDEX(MainData[],MATCH(MainData[[#This Row],[EventID]],IF(MainData[Product]="Date",MainData[EventID],0),0),12),0))</f>
        <v>44568</v>
      </c>
      <c r="F115" s="155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5" s="155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5" s="157" t="s">
        <v>84</v>
      </c>
      <c r="J115" t="s">
        <v>187</v>
      </c>
      <c r="K115" s="2" t="s">
        <v>157</v>
      </c>
      <c r="L115" s="2" t="s">
        <v>86</v>
      </c>
      <c r="M115" s="2">
        <v>1.5</v>
      </c>
      <c r="N115" s="2"/>
      <c r="O115" s="109"/>
      <c r="P115" s="109"/>
      <c r="Q115" s="109"/>
    </row>
    <row r="116" spans="2:17" x14ac:dyDescent="0.25">
      <c r="B116" s="114">
        <v>39</v>
      </c>
      <c r="C116" s="114">
        <v>99</v>
      </c>
      <c r="D116" s="114">
        <v>4</v>
      </c>
      <c r="E116" s="154" cm="1">
        <f t="array" ref="E116">IF(ISBLANK(MainData[[#This Row],[EventID]]),0,IFERROR(INDEX(MainData[],MATCH(MainData[[#This Row],[EventID]],IF(MainData[Product]="Date",MainData[EventID],0),0),12),0))</f>
        <v>44568</v>
      </c>
      <c r="F116" s="155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6" s="155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6" s="157" t="s">
        <v>84</v>
      </c>
      <c r="J116" t="s">
        <v>187</v>
      </c>
      <c r="K116" s="2" t="s">
        <v>157</v>
      </c>
      <c r="L116" s="2" t="s">
        <v>118</v>
      </c>
      <c r="M116" s="2" t="s">
        <v>489</v>
      </c>
      <c r="N116" s="2"/>
      <c r="O116" s="109"/>
      <c r="P116" s="109"/>
      <c r="Q116" s="109"/>
    </row>
    <row r="117" spans="2:17" x14ac:dyDescent="0.25">
      <c r="B117" s="114">
        <v>39</v>
      </c>
      <c r="C117" s="114">
        <v>99</v>
      </c>
      <c r="D117" s="114">
        <v>4</v>
      </c>
      <c r="E117" s="154" cm="1">
        <f t="array" ref="E117">IF(ISBLANK(MainData[[#This Row],[EventID]]),0,IFERROR(INDEX(MainData[],MATCH(MainData[[#This Row],[EventID]],IF(MainData[Product]="Date",MainData[EventID],0),0),12),0))</f>
        <v>44568</v>
      </c>
      <c r="F117" s="155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7" s="155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7" s="20" t="s">
        <v>85</v>
      </c>
      <c r="J117" t="s">
        <v>21</v>
      </c>
      <c r="K117" s="2" t="s">
        <v>116</v>
      </c>
      <c r="L117" s="2" t="s">
        <v>88</v>
      </c>
      <c r="M117" s="2" t="s">
        <v>189</v>
      </c>
      <c r="N117" s="2" t="s">
        <v>233</v>
      </c>
      <c r="O117" s="109">
        <v>1</v>
      </c>
      <c r="P117" s="109"/>
      <c r="Q117" s="109"/>
    </row>
    <row r="118" spans="2:17" x14ac:dyDescent="0.25">
      <c r="B118" s="114">
        <v>39</v>
      </c>
      <c r="C118" s="114">
        <v>99</v>
      </c>
      <c r="D118" s="114">
        <v>4</v>
      </c>
      <c r="E118" s="154" cm="1">
        <f t="array" ref="E118">IF(ISBLANK(MainData[[#This Row],[EventID]]),0,IFERROR(INDEX(MainData[],MATCH(MainData[[#This Row],[EventID]],IF(MainData[Product]="Date",MainData[EventID],0),0),12),0))</f>
        <v>44568</v>
      </c>
      <c r="F118" s="155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8" s="155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8" s="20" t="s">
        <v>85</v>
      </c>
      <c r="J118" t="s">
        <v>21</v>
      </c>
      <c r="K118" s="2" t="s">
        <v>116</v>
      </c>
      <c r="L118" s="2" t="s">
        <v>87</v>
      </c>
      <c r="M118" s="2" t="s">
        <v>188</v>
      </c>
      <c r="N118" s="2" t="s">
        <v>233</v>
      </c>
      <c r="O118" s="109">
        <v>1</v>
      </c>
      <c r="P118" s="109"/>
      <c r="Q118" s="109"/>
    </row>
    <row r="119" spans="2:17" x14ac:dyDescent="0.25">
      <c r="B119" s="114">
        <v>39</v>
      </c>
      <c r="C119" s="114">
        <v>99</v>
      </c>
      <c r="D119" s="114">
        <v>4</v>
      </c>
      <c r="E119" s="154" cm="1">
        <f t="array" ref="E119">IF(ISBLANK(MainData[[#This Row],[EventID]]),0,IFERROR(INDEX(MainData[],MATCH(MainData[[#This Row],[EventID]],IF(MainData[Product]="Date",MainData[EventID],0),0),12),0))</f>
        <v>44568</v>
      </c>
      <c r="F119" s="155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9" s="155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9" s="157" t="s">
        <v>85</v>
      </c>
      <c r="J119" t="s">
        <v>21</v>
      </c>
      <c r="K119" s="2" t="s">
        <v>29</v>
      </c>
      <c r="L119" s="2" t="s">
        <v>35</v>
      </c>
      <c r="M119" s="2" t="s">
        <v>382</v>
      </c>
      <c r="N119" s="2" t="s">
        <v>234</v>
      </c>
      <c r="O119" s="109">
        <v>1</v>
      </c>
      <c r="P119" s="109">
        <v>16</v>
      </c>
      <c r="Q119" s="109">
        <v>150</v>
      </c>
    </row>
    <row r="120" spans="2:17" x14ac:dyDescent="0.25">
      <c r="B120" s="114">
        <v>39</v>
      </c>
      <c r="C120" s="114">
        <v>99</v>
      </c>
      <c r="D120" s="114">
        <v>4</v>
      </c>
      <c r="E120" s="154" cm="1">
        <f t="array" ref="E120">IF(ISBLANK(MainData[[#This Row],[EventID]]),0,IFERROR(INDEX(MainData[],MATCH(MainData[[#This Row],[EventID]],IF(MainData[Product]="Date",MainData[EventID],0),0),12),0))</f>
        <v>44568</v>
      </c>
      <c r="F120" s="155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0" s="155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0" s="157" t="s">
        <v>85</v>
      </c>
      <c r="J120" t="s">
        <v>21</v>
      </c>
      <c r="K120" s="2" t="s">
        <v>29</v>
      </c>
      <c r="L120" s="2" t="s">
        <v>36</v>
      </c>
      <c r="M120" s="2" t="s">
        <v>384</v>
      </c>
      <c r="N120" s="2" t="s">
        <v>234</v>
      </c>
      <c r="O120" s="109">
        <v>1</v>
      </c>
      <c r="P120" s="109">
        <v>30.2</v>
      </c>
      <c r="Q120" s="109">
        <v>350</v>
      </c>
    </row>
    <row r="121" spans="2:17" x14ac:dyDescent="0.25">
      <c r="B121" s="114">
        <v>39</v>
      </c>
      <c r="C121" s="114">
        <v>99</v>
      </c>
      <c r="D121" s="114">
        <v>4</v>
      </c>
      <c r="E121" s="154" cm="1">
        <f t="array" ref="E121">IF(ISBLANK(MainData[[#This Row],[EventID]]),0,IFERROR(INDEX(MainData[],MATCH(MainData[[#This Row],[EventID]],IF(MainData[Product]="Date",MainData[EventID],0),0),12),0))</f>
        <v>44568</v>
      </c>
      <c r="F121" s="155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1" s="155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1" s="20" t="s">
        <v>85</v>
      </c>
      <c r="J121" t="s">
        <v>21</v>
      </c>
      <c r="K121" s="2" t="s">
        <v>29</v>
      </c>
      <c r="L121" s="2" t="s">
        <v>65</v>
      </c>
      <c r="M121" s="2" t="s">
        <v>383</v>
      </c>
      <c r="N121" s="2" t="s">
        <v>234</v>
      </c>
      <c r="O121" s="109">
        <v>1</v>
      </c>
      <c r="P121" s="109">
        <v>6</v>
      </c>
      <c r="Q121" s="109">
        <v>29</v>
      </c>
    </row>
    <row r="122" spans="2:17" x14ac:dyDescent="0.25">
      <c r="B122" s="114">
        <v>39</v>
      </c>
      <c r="C122" s="114">
        <v>99</v>
      </c>
      <c r="D122" s="114">
        <v>4</v>
      </c>
      <c r="E122" s="154" cm="1">
        <f t="array" ref="E122">IF(ISBLANK(MainData[[#This Row],[EventID]]),0,IFERROR(INDEX(MainData[],MATCH(MainData[[#This Row],[EventID]],IF(MainData[Product]="Date",MainData[EventID],0),0),12),0))</f>
        <v>44568</v>
      </c>
      <c r="F122" s="155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2" s="155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2" s="157" t="s">
        <v>85</v>
      </c>
      <c r="J122" t="s">
        <v>21</v>
      </c>
      <c r="K122" s="2" t="s">
        <v>29</v>
      </c>
      <c r="L122" s="2" t="s">
        <v>25</v>
      </c>
      <c r="M122" s="2" t="s">
        <v>388</v>
      </c>
      <c r="N122" s="2" t="s">
        <v>234</v>
      </c>
      <c r="O122" s="109">
        <v>1</v>
      </c>
      <c r="P122" s="109">
        <v>15</v>
      </c>
      <c r="Q122" s="109">
        <v>175</v>
      </c>
    </row>
    <row r="123" spans="2:17" x14ac:dyDescent="0.25">
      <c r="B123" s="114">
        <v>10</v>
      </c>
      <c r="C123" s="114">
        <v>17</v>
      </c>
      <c r="D123" s="114">
        <v>5</v>
      </c>
      <c r="E123" s="154" cm="1">
        <f t="array" ref="E123">IF(ISBLANK(MainData[[#This Row],[EventID]]),0,IFERROR(INDEX(MainData[],MATCH(MainData[[#This Row],[EventID]],IF(MainData[Product]="Date",MainData[EventID],0),0),12),0))</f>
        <v>44571</v>
      </c>
      <c r="F123" s="155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3" s="155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220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3" s="157" t="s">
        <v>84</v>
      </c>
      <c r="J123" t="s">
        <v>187</v>
      </c>
      <c r="K123" s="2" t="s">
        <v>157</v>
      </c>
      <c r="L123" s="2" t="s">
        <v>150</v>
      </c>
      <c r="M123" s="2">
        <v>1</v>
      </c>
      <c r="N123" s="2"/>
      <c r="O123" s="109"/>
      <c r="P123" s="109"/>
      <c r="Q123" s="109"/>
    </row>
    <row r="124" spans="2:17" x14ac:dyDescent="0.25">
      <c r="B124" s="114">
        <v>10</v>
      </c>
      <c r="C124" s="114">
        <v>17</v>
      </c>
      <c r="D124" s="114">
        <v>5</v>
      </c>
      <c r="E124" s="154" cm="1">
        <f t="array" ref="E124">IF(ISBLANK(MainData[[#This Row],[EventID]]),0,IFERROR(INDEX(MainData[],MATCH(MainData[[#This Row],[EventID]],IF(MainData[Product]="Date",MainData[EventID],0),0),12),0))</f>
        <v>44571</v>
      </c>
      <c r="F124" s="155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4" s="155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4" s="157" t="s">
        <v>84</v>
      </c>
      <c r="J124" t="s">
        <v>187</v>
      </c>
      <c r="K124" s="2" t="s">
        <v>157</v>
      </c>
      <c r="L124" s="2" t="s">
        <v>81</v>
      </c>
      <c r="M124" s="2">
        <v>1</v>
      </c>
      <c r="N124" s="2"/>
      <c r="O124" s="109"/>
      <c r="P124" s="109"/>
      <c r="Q124" s="109"/>
    </row>
    <row r="125" spans="2:17" x14ac:dyDescent="0.25">
      <c r="B125" s="114">
        <v>10</v>
      </c>
      <c r="C125" s="114">
        <v>17</v>
      </c>
      <c r="D125" s="114">
        <v>5</v>
      </c>
      <c r="E125" s="154" cm="1">
        <f t="array" ref="E125">IF(ISBLANK(MainData[[#This Row],[EventID]]),0,IFERROR(INDEX(MainData[],MATCH(MainData[[#This Row],[EventID]],IF(MainData[Product]="Date",MainData[EventID],0),0),12),0))</f>
        <v>44571</v>
      </c>
      <c r="F125" s="155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5" s="155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5" s="157" t="s">
        <v>84</v>
      </c>
      <c r="J125" t="s">
        <v>187</v>
      </c>
      <c r="K125" s="2" t="s">
        <v>157</v>
      </c>
      <c r="L125" s="2" t="s">
        <v>0</v>
      </c>
      <c r="M125" s="158">
        <v>44571</v>
      </c>
      <c r="N125" s="2"/>
      <c r="O125" s="109"/>
      <c r="P125" s="109"/>
      <c r="Q125" s="109"/>
    </row>
    <row r="126" spans="2:17" x14ac:dyDescent="0.25">
      <c r="B126" s="114">
        <v>10</v>
      </c>
      <c r="C126" s="114">
        <v>17</v>
      </c>
      <c r="D126" s="114">
        <v>5</v>
      </c>
      <c r="E126" s="154" cm="1">
        <f t="array" ref="E126">IF(ISBLANK(MainData[[#This Row],[EventID]]),0,IFERROR(INDEX(MainData[],MATCH(MainData[[#This Row],[EventID]],IF(MainData[Product]="Date",MainData[EventID],0),0),12),0))</f>
        <v>44571</v>
      </c>
      <c r="F126" s="155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6" s="155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6" s="157" t="s">
        <v>84</v>
      </c>
      <c r="J126" t="s">
        <v>187</v>
      </c>
      <c r="K126" s="2" t="s">
        <v>157</v>
      </c>
      <c r="L126" s="2" t="s">
        <v>82</v>
      </c>
      <c r="M126" s="2">
        <v>516746</v>
      </c>
      <c r="N126" s="2"/>
      <c r="O126" s="109"/>
      <c r="P126" s="109"/>
      <c r="Q126" s="109"/>
    </row>
    <row r="127" spans="2:17" x14ac:dyDescent="0.25">
      <c r="B127" s="114">
        <v>10</v>
      </c>
      <c r="C127" s="114">
        <v>17</v>
      </c>
      <c r="D127" s="114">
        <v>5</v>
      </c>
      <c r="E127" s="154" cm="1">
        <f t="array" ref="E127">IF(ISBLANK(MainData[[#This Row],[EventID]]),0,IFERROR(INDEX(MainData[],MATCH(MainData[[#This Row],[EventID]],IF(MainData[Product]="Date",MainData[EventID],0),0),12),0))</f>
        <v>44571</v>
      </c>
      <c r="F127" s="155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7" s="155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7" s="157" t="s">
        <v>84</v>
      </c>
      <c r="J127" t="s">
        <v>187</v>
      </c>
      <c r="K127" s="2" t="s">
        <v>157</v>
      </c>
      <c r="L127" s="2" t="s">
        <v>175</v>
      </c>
      <c r="M127" s="2" t="s">
        <v>475</v>
      </c>
      <c r="N127" s="2"/>
      <c r="O127" s="109"/>
      <c r="P127" s="109"/>
      <c r="Q127" s="109"/>
    </row>
    <row r="128" spans="2:17" x14ac:dyDescent="0.25">
      <c r="B128" s="114">
        <v>10</v>
      </c>
      <c r="C128" s="114">
        <v>17</v>
      </c>
      <c r="D128" s="114">
        <v>5</v>
      </c>
      <c r="E128" s="154" cm="1">
        <f t="array" ref="E128">IF(ISBLANK(MainData[[#This Row],[EventID]]),0,IFERROR(INDEX(MainData[],MATCH(MainData[[#This Row],[EventID]],IF(MainData[Product]="Date",MainData[EventID],0),0),12),0))</f>
        <v>44571</v>
      </c>
      <c r="F128" s="155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8" s="155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8" s="157" t="s">
        <v>84</v>
      </c>
      <c r="J128" t="s">
        <v>187</v>
      </c>
      <c r="K128" s="2" t="s">
        <v>157</v>
      </c>
      <c r="L128" s="2" t="s">
        <v>138</v>
      </c>
      <c r="M128" s="2">
        <v>15</v>
      </c>
      <c r="N128" s="2"/>
      <c r="O128" s="109"/>
      <c r="P128" s="109"/>
      <c r="Q128" s="109"/>
    </row>
    <row r="129" spans="2:18" x14ac:dyDescent="0.25">
      <c r="B129" s="114">
        <v>10</v>
      </c>
      <c r="C129" s="114">
        <v>17</v>
      </c>
      <c r="D129" s="114">
        <v>5</v>
      </c>
      <c r="E129" s="154" cm="1">
        <f t="array" ref="E129">IF(ISBLANK(MainData[[#This Row],[EventID]]),0,IFERROR(INDEX(MainData[],MATCH(MainData[[#This Row],[EventID]],IF(MainData[Product]="Date",MainData[EventID],0),0),12),0))</f>
        <v>44571</v>
      </c>
      <c r="F129" s="155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9" s="155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9" s="157" t="s">
        <v>84</v>
      </c>
      <c r="J129" t="s">
        <v>187</v>
      </c>
      <c r="K129" s="2" t="s">
        <v>157</v>
      </c>
      <c r="L129" s="2" t="s">
        <v>86</v>
      </c>
      <c r="M129" s="2">
        <v>1</v>
      </c>
      <c r="N129" s="2"/>
      <c r="O129" s="109"/>
      <c r="P129" s="109"/>
      <c r="Q129" s="109"/>
    </row>
    <row r="130" spans="2:18" x14ac:dyDescent="0.25">
      <c r="B130" s="114">
        <v>10</v>
      </c>
      <c r="C130" s="114">
        <v>17</v>
      </c>
      <c r="D130" s="114">
        <v>5</v>
      </c>
      <c r="E130" s="154" cm="1">
        <f t="array" ref="E130">IF(ISBLANK(MainData[[#This Row],[EventID]]),0,IFERROR(INDEX(MainData[],MATCH(MainData[[#This Row],[EventID]],IF(MainData[Product]="Date",MainData[EventID],0),0),12),0))</f>
        <v>44571</v>
      </c>
      <c r="F130" s="155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0" s="155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0" s="157" t="s">
        <v>84</v>
      </c>
      <c r="J130" t="s">
        <v>187</v>
      </c>
      <c r="K130" s="2" t="s">
        <v>157</v>
      </c>
      <c r="L130" s="2" t="s">
        <v>118</v>
      </c>
      <c r="M130" s="2" t="s">
        <v>486</v>
      </c>
      <c r="N130" s="2"/>
      <c r="O130" s="109"/>
      <c r="P130" s="109"/>
      <c r="Q130" s="109"/>
      <c r="R130" s="3"/>
    </row>
    <row r="131" spans="2:18" x14ac:dyDescent="0.25">
      <c r="B131" s="114">
        <v>10</v>
      </c>
      <c r="C131" s="114">
        <v>17</v>
      </c>
      <c r="D131" s="114">
        <v>5</v>
      </c>
      <c r="E131" s="154" cm="1">
        <f t="array" ref="E131">IF(ISBLANK(MainData[[#This Row],[EventID]]),0,IFERROR(INDEX(MainData[],MATCH(MainData[[#This Row],[EventID]],IF(MainData[Product]="Date",MainData[EventID],0),0),12),0))</f>
        <v>44571</v>
      </c>
      <c r="F131" s="155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1" s="155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1" s="20" t="s">
        <v>85</v>
      </c>
      <c r="J131" t="s">
        <v>21</v>
      </c>
      <c r="K131" s="2" t="s">
        <v>116</v>
      </c>
      <c r="L131" s="2" t="s">
        <v>107</v>
      </c>
      <c r="M131" s="2" t="s">
        <v>190</v>
      </c>
      <c r="N131" s="2" t="s">
        <v>233</v>
      </c>
      <c r="O131" s="109">
        <v>1</v>
      </c>
      <c r="P131" s="109"/>
      <c r="Q131" s="109"/>
    </row>
    <row r="132" spans="2:18" x14ac:dyDescent="0.25">
      <c r="B132" s="114">
        <v>10</v>
      </c>
      <c r="C132" s="114">
        <v>17</v>
      </c>
      <c r="D132" s="114">
        <v>5</v>
      </c>
      <c r="E132" s="154" cm="1">
        <f t="array" ref="E132">IF(ISBLANK(MainData[[#This Row],[EventID]]),0,IFERROR(INDEX(MainData[],MATCH(MainData[[#This Row],[EventID]],IF(MainData[Product]="Date",MainData[EventID],0),0),12),0))</f>
        <v>44571</v>
      </c>
      <c r="F132" s="155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2" s="155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2" s="20" t="s">
        <v>85</v>
      </c>
      <c r="J132" t="s">
        <v>21</v>
      </c>
      <c r="K132" s="2" t="s">
        <v>29</v>
      </c>
      <c r="L132" s="2" t="s">
        <v>25</v>
      </c>
      <c r="M132" s="2" t="s">
        <v>6</v>
      </c>
      <c r="N132" s="2" t="s">
        <v>235</v>
      </c>
      <c r="O132" s="109">
        <v>1</v>
      </c>
      <c r="P132" s="109">
        <v>11.5</v>
      </c>
      <c r="Q132" s="109">
        <v>41</v>
      </c>
    </row>
    <row r="133" spans="2:18" x14ac:dyDescent="0.25">
      <c r="B133" s="114">
        <v>28</v>
      </c>
      <c r="C133" s="114">
        <v>81</v>
      </c>
      <c r="D133" s="114">
        <v>6</v>
      </c>
      <c r="E133" s="154" cm="1">
        <f t="array" ref="E133">IF(ISBLANK(MainData[[#This Row],[EventID]]),0,IFERROR(INDEX(MainData[],MATCH(MainData[[#This Row],[EventID]],IF(MainData[Product]="Date",MainData[EventID],0),0),12),0))</f>
        <v>44572</v>
      </c>
      <c r="F133" s="155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55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157" t="s">
        <v>84</v>
      </c>
      <c r="J133" t="s">
        <v>187</v>
      </c>
      <c r="K133" s="2" t="s">
        <v>157</v>
      </c>
      <c r="L133" s="2" t="s">
        <v>81</v>
      </c>
      <c r="M133" s="2">
        <v>1</v>
      </c>
      <c r="N133" s="2"/>
      <c r="O133" s="109"/>
      <c r="P133" s="109"/>
      <c r="Q133" s="109"/>
    </row>
    <row r="134" spans="2:18" x14ac:dyDescent="0.25">
      <c r="B134" s="114">
        <v>28</v>
      </c>
      <c r="C134" s="114">
        <v>81</v>
      </c>
      <c r="D134" s="114">
        <v>7</v>
      </c>
      <c r="E134" s="154" cm="1">
        <f t="array" ref="E134">IF(ISBLANK(MainData[[#This Row],[EventID]]),0,IFERROR(INDEX(MainData[],MATCH(MainData[[#This Row],[EventID]],IF(MainData[Product]="Date",MainData[EventID],0),0),12),0))</f>
        <v>44572</v>
      </c>
      <c r="F134" s="155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55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157" t="s">
        <v>84</v>
      </c>
      <c r="J134" t="s">
        <v>187</v>
      </c>
      <c r="K134" s="2" t="s">
        <v>157</v>
      </c>
      <c r="L134" s="2" t="s">
        <v>81</v>
      </c>
      <c r="M134" s="2">
        <v>2</v>
      </c>
      <c r="N134" s="2"/>
      <c r="O134" s="109"/>
      <c r="P134" s="109"/>
      <c r="Q134" s="109"/>
    </row>
    <row r="135" spans="2:18" x14ac:dyDescent="0.25">
      <c r="B135" s="114">
        <v>28</v>
      </c>
      <c r="C135" s="114">
        <v>81</v>
      </c>
      <c r="D135" s="114">
        <v>6</v>
      </c>
      <c r="E135" s="154" cm="1">
        <f t="array" ref="E135">IF(ISBLANK(MainData[[#This Row],[EventID]]),0,IFERROR(INDEX(MainData[],MATCH(MainData[[#This Row],[EventID]],IF(MainData[Product]="Date",MainData[EventID],0),0),12),0))</f>
        <v>44572</v>
      </c>
      <c r="F135" s="155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55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157" t="s">
        <v>84</v>
      </c>
      <c r="J135" t="s">
        <v>187</v>
      </c>
      <c r="K135" s="2" t="s">
        <v>157</v>
      </c>
      <c r="L135" s="2" t="s">
        <v>164</v>
      </c>
      <c r="M135" s="2" t="s">
        <v>454</v>
      </c>
      <c r="N135" s="2"/>
      <c r="O135" s="109"/>
      <c r="P135" s="109"/>
      <c r="Q135" s="109"/>
    </row>
    <row r="136" spans="2:18" x14ac:dyDescent="0.25">
      <c r="B136" s="114">
        <v>28</v>
      </c>
      <c r="C136" s="114">
        <v>81</v>
      </c>
      <c r="D136" s="114">
        <v>6</v>
      </c>
      <c r="E136" s="154" cm="1">
        <f t="array" ref="E136">IF(ISBLANK(MainData[[#This Row],[EventID]]),0,IFERROR(INDEX(MainData[],MATCH(MainData[[#This Row],[EventID]],IF(MainData[Product]="Date",MainData[EventID],0),0),12),0))</f>
        <v>44572</v>
      </c>
      <c r="F136" s="155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55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157" t="s">
        <v>84</v>
      </c>
      <c r="J136" t="s">
        <v>187</v>
      </c>
      <c r="K136" s="2" t="s">
        <v>157</v>
      </c>
      <c r="L136" s="2" t="s">
        <v>0</v>
      </c>
      <c r="M136" s="158">
        <v>44572</v>
      </c>
      <c r="N136" s="2"/>
      <c r="O136" s="109"/>
      <c r="P136" s="109"/>
      <c r="Q136" s="109"/>
    </row>
    <row r="137" spans="2:18" x14ac:dyDescent="0.25">
      <c r="B137" s="114">
        <v>28</v>
      </c>
      <c r="C137" s="114">
        <v>81</v>
      </c>
      <c r="D137" s="114">
        <v>6</v>
      </c>
      <c r="E137" s="154" cm="1">
        <f t="array" ref="E137">IF(ISBLANK(MainData[[#This Row],[EventID]]),0,IFERROR(INDEX(MainData[],MATCH(MainData[[#This Row],[EventID]],IF(MainData[Product]="Date",MainData[EventID],0),0),12),0))</f>
        <v>44572</v>
      </c>
      <c r="F137" s="155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7" s="155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7" s="157" t="s">
        <v>84</v>
      </c>
      <c r="J137" t="s">
        <v>187</v>
      </c>
      <c r="K137" s="2" t="s">
        <v>157</v>
      </c>
      <c r="L137" s="2" t="s">
        <v>82</v>
      </c>
      <c r="M137" s="2">
        <v>458547</v>
      </c>
      <c r="N137" s="2"/>
      <c r="O137" s="109"/>
      <c r="P137" s="109"/>
      <c r="Q137" s="109"/>
    </row>
    <row r="138" spans="2:18" x14ac:dyDescent="0.25">
      <c r="B138" s="114">
        <v>28</v>
      </c>
      <c r="C138" s="114">
        <v>81</v>
      </c>
      <c r="D138" s="114">
        <v>6</v>
      </c>
      <c r="E138" s="154" cm="1">
        <f t="array" ref="E138">IF(ISBLANK(MainData[[#This Row],[EventID]]),0,IFERROR(INDEX(MainData[],MATCH(MainData[[#This Row],[EventID]],IF(MainData[Product]="Date",MainData[EventID],0),0),12),0))</f>
        <v>44572</v>
      </c>
      <c r="F138" s="155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8" s="155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8" s="157" t="s">
        <v>84</v>
      </c>
      <c r="J138" t="s">
        <v>187</v>
      </c>
      <c r="K138" s="2" t="s">
        <v>157</v>
      </c>
      <c r="L138" s="2" t="s">
        <v>175</v>
      </c>
      <c r="M138" s="2" t="s">
        <v>457</v>
      </c>
      <c r="N138" s="2"/>
      <c r="O138" s="109"/>
      <c r="P138" s="109"/>
      <c r="Q138" s="109"/>
    </row>
    <row r="139" spans="2:18" x14ac:dyDescent="0.25">
      <c r="B139" s="114">
        <v>28</v>
      </c>
      <c r="C139" s="114">
        <v>81</v>
      </c>
      <c r="D139" s="114">
        <v>6</v>
      </c>
      <c r="E139" s="154" cm="1">
        <f t="array" ref="E139">IF(ISBLANK(MainData[[#This Row],[EventID]]),0,IFERROR(INDEX(MainData[],MATCH(MainData[[#This Row],[EventID]],IF(MainData[Product]="Date",MainData[EventID],0),0),12),0))</f>
        <v>44572</v>
      </c>
      <c r="F139" s="155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9" s="155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9" s="157" t="s">
        <v>84</v>
      </c>
      <c r="J139" t="s">
        <v>187</v>
      </c>
      <c r="K139" s="2" t="s">
        <v>157</v>
      </c>
      <c r="L139" s="2" t="s">
        <v>20</v>
      </c>
      <c r="M139" s="2" t="s">
        <v>345</v>
      </c>
      <c r="N139" s="2"/>
      <c r="O139" s="109"/>
      <c r="P139" s="109"/>
      <c r="Q139" s="109"/>
    </row>
    <row r="140" spans="2:18" x14ac:dyDescent="0.25">
      <c r="B140" s="114">
        <v>28</v>
      </c>
      <c r="C140" s="114">
        <v>81</v>
      </c>
      <c r="D140" s="114">
        <v>6</v>
      </c>
      <c r="E140" s="154" cm="1">
        <f t="array" ref="E140">IF(ISBLANK(MainData[[#This Row],[EventID]]),0,IFERROR(INDEX(MainData[],MATCH(MainData[[#This Row],[EventID]],IF(MainData[Product]="Date",MainData[EventID],0),0),12),0))</f>
        <v>44572</v>
      </c>
      <c r="F140" s="155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0" s="155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0" s="157" t="s">
        <v>84</v>
      </c>
      <c r="J140" t="s">
        <v>187</v>
      </c>
      <c r="K140" s="2" t="s">
        <v>157</v>
      </c>
      <c r="L140" s="2" t="s">
        <v>138</v>
      </c>
      <c r="M140" s="2">
        <v>35</v>
      </c>
      <c r="N140" s="2"/>
      <c r="O140" s="109"/>
      <c r="P140" s="109"/>
      <c r="Q140" s="109"/>
    </row>
    <row r="141" spans="2:18" x14ac:dyDescent="0.25">
      <c r="B141" s="114">
        <v>28</v>
      </c>
      <c r="C141" s="114">
        <v>81</v>
      </c>
      <c r="D141" s="114">
        <v>6</v>
      </c>
      <c r="E141" s="154" cm="1">
        <f t="array" ref="E141">IF(ISBLANK(MainData[[#This Row],[EventID]]),0,IFERROR(INDEX(MainData[],MATCH(MainData[[#This Row],[EventID]],IF(MainData[Product]="Date",MainData[EventID],0),0),12),0))</f>
        <v>44572</v>
      </c>
      <c r="F141" s="155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1" s="155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1" s="157" t="s">
        <v>84</v>
      </c>
      <c r="J141" t="s">
        <v>187</v>
      </c>
      <c r="K141" s="2" t="s">
        <v>157</v>
      </c>
      <c r="L141" s="2" t="s">
        <v>86</v>
      </c>
      <c r="M141" s="2">
        <v>2</v>
      </c>
      <c r="N141" s="2"/>
      <c r="O141" s="109"/>
      <c r="P141" s="109"/>
      <c r="Q141" s="109"/>
    </row>
    <row r="142" spans="2:18" x14ac:dyDescent="0.25">
      <c r="B142" s="114">
        <v>28</v>
      </c>
      <c r="C142" s="114">
        <v>81</v>
      </c>
      <c r="D142" s="114">
        <v>6</v>
      </c>
      <c r="E142" s="154" cm="1">
        <f t="array" ref="E142">IF(ISBLANK(MainData[[#This Row],[EventID]]),0,IFERROR(INDEX(MainData[],MATCH(MainData[[#This Row],[EventID]],IF(MainData[Product]="Date",MainData[EventID],0),0),12),0))</f>
        <v>44572</v>
      </c>
      <c r="F142" s="155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2" s="155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2" s="157" t="s">
        <v>84</v>
      </c>
      <c r="J142" t="s">
        <v>187</v>
      </c>
      <c r="K142" s="2" t="s">
        <v>157</v>
      </c>
      <c r="L142" s="2" t="s">
        <v>118</v>
      </c>
      <c r="M142" s="2" t="s">
        <v>488</v>
      </c>
      <c r="N142" s="2"/>
      <c r="O142" s="109"/>
      <c r="P142" s="109"/>
      <c r="Q142" s="109"/>
    </row>
    <row r="143" spans="2:18" x14ac:dyDescent="0.25">
      <c r="B143" s="114">
        <v>28</v>
      </c>
      <c r="C143" s="114">
        <v>81</v>
      </c>
      <c r="D143" s="114">
        <v>6</v>
      </c>
      <c r="E143" s="154" cm="1">
        <f t="array" ref="E143">IF(ISBLANK(MainData[[#This Row],[EventID]]),0,IFERROR(INDEX(MainData[],MATCH(MainData[[#This Row],[EventID]],IF(MainData[Product]="Date",MainData[EventID],0),0),12),0))</f>
        <v>44572</v>
      </c>
      <c r="F143" s="155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3" s="155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3" s="157" t="s">
        <v>84</v>
      </c>
      <c r="J143" t="s">
        <v>187</v>
      </c>
      <c r="K143" s="2" t="s">
        <v>157</v>
      </c>
      <c r="L143" s="2" t="s">
        <v>165</v>
      </c>
      <c r="M143" s="2" t="s">
        <v>405</v>
      </c>
      <c r="N143" s="2"/>
      <c r="O143" s="109"/>
      <c r="P143" s="109"/>
      <c r="Q143" s="109"/>
    </row>
    <row r="144" spans="2:18" x14ac:dyDescent="0.25">
      <c r="B144" s="114">
        <v>28</v>
      </c>
      <c r="C144" s="114">
        <v>81</v>
      </c>
      <c r="D144" s="114">
        <v>7</v>
      </c>
      <c r="E144" s="154" cm="1">
        <f t="array" ref="E144">IF(ISBLANK(MainData[[#This Row],[EventID]]),0,IFERROR(INDEX(MainData[],MATCH(MainData[[#This Row],[EventID]],IF(MainData[Product]="Date",MainData[EventID],0),0),12),0))</f>
        <v>44572</v>
      </c>
      <c r="F144" s="155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4" s="155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4" s="20" t="s">
        <v>85</v>
      </c>
      <c r="J144" t="s">
        <v>22</v>
      </c>
      <c r="K144" s="2" t="s">
        <v>29</v>
      </c>
      <c r="L144" s="2" t="s">
        <v>36</v>
      </c>
      <c r="M144" s="2" t="s">
        <v>387</v>
      </c>
      <c r="N144" s="2" t="s">
        <v>234</v>
      </c>
      <c r="O144" s="109">
        <v>1</v>
      </c>
      <c r="P144" s="109">
        <v>6.8</v>
      </c>
      <c r="Q144" s="109">
        <v>68.48</v>
      </c>
    </row>
    <row r="145" spans="2:17" x14ac:dyDescent="0.25">
      <c r="B145" s="114">
        <v>28</v>
      </c>
      <c r="C145" s="114">
        <v>81</v>
      </c>
      <c r="D145" s="114">
        <v>6</v>
      </c>
      <c r="E145" s="154" cm="1">
        <f t="array" ref="E145">IF(ISBLANK(MainData[[#This Row],[EventID]]),0,IFERROR(INDEX(MainData[],MATCH(MainData[[#This Row],[EventID]],IF(MainData[Product]="Date",MainData[EventID],0),0),12),0))</f>
        <v>44572</v>
      </c>
      <c r="F145" s="155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5" s="155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5" s="20" t="s">
        <v>85</v>
      </c>
      <c r="J145" t="s">
        <v>20</v>
      </c>
      <c r="K145" s="2" t="s">
        <v>116</v>
      </c>
      <c r="L145" s="2" t="s">
        <v>88</v>
      </c>
      <c r="M145" s="2" t="s">
        <v>189</v>
      </c>
      <c r="N145" s="2" t="s">
        <v>233</v>
      </c>
      <c r="O145" s="109">
        <v>1</v>
      </c>
      <c r="P145" s="109"/>
      <c r="Q145" s="109"/>
    </row>
    <row r="146" spans="2:17" x14ac:dyDescent="0.25">
      <c r="B146" s="114">
        <v>28</v>
      </c>
      <c r="C146" s="114">
        <v>81</v>
      </c>
      <c r="D146" s="114">
        <v>6</v>
      </c>
      <c r="E146" s="154" cm="1">
        <f t="array" ref="E146">IF(ISBLANK(MainData[[#This Row],[EventID]]),0,IFERROR(INDEX(MainData[],MATCH(MainData[[#This Row],[EventID]],IF(MainData[Product]="Date",MainData[EventID],0),0),12),0))</f>
        <v>44572</v>
      </c>
      <c r="F146" s="155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6" s="155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6" s="20" t="s">
        <v>85</v>
      </c>
      <c r="J146" t="s">
        <v>20</v>
      </c>
      <c r="K146" s="2" t="s">
        <v>116</v>
      </c>
      <c r="L146" s="2" t="s">
        <v>87</v>
      </c>
      <c r="M146" s="2" t="s">
        <v>188</v>
      </c>
      <c r="N146" s="2" t="s">
        <v>233</v>
      </c>
      <c r="O146" s="109">
        <v>1</v>
      </c>
      <c r="P146" s="109"/>
      <c r="Q146" s="109">
        <v>100</v>
      </c>
    </row>
    <row r="147" spans="2:17" x14ac:dyDescent="0.25">
      <c r="B147" s="114">
        <v>28</v>
      </c>
      <c r="C147" s="114">
        <v>81</v>
      </c>
      <c r="D147" s="114">
        <v>6</v>
      </c>
      <c r="E147" s="154" cm="1">
        <f t="array" ref="E147">IF(ISBLANK(MainData[[#This Row],[EventID]]),0,IFERROR(INDEX(MainData[],MATCH(MainData[[#This Row],[EventID]],IF(MainData[Product]="Date",MainData[EventID],0),0),12),0))</f>
        <v>44572</v>
      </c>
      <c r="F147" s="155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7" s="155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7" s="157" t="s">
        <v>85</v>
      </c>
      <c r="J147" t="s">
        <v>20</v>
      </c>
      <c r="K147" s="2" t="s">
        <v>29</v>
      </c>
      <c r="L147" s="2" t="s">
        <v>35</v>
      </c>
      <c r="M147" s="2" t="s">
        <v>382</v>
      </c>
      <c r="N147" s="2" t="s">
        <v>234</v>
      </c>
      <c r="O147" s="109">
        <v>1</v>
      </c>
      <c r="P147" s="109">
        <v>21.53</v>
      </c>
      <c r="Q147" s="109">
        <v>282</v>
      </c>
    </row>
    <row r="148" spans="2:17" x14ac:dyDescent="0.25">
      <c r="B148" s="114">
        <v>28</v>
      </c>
      <c r="C148" s="114">
        <v>81</v>
      </c>
      <c r="D148" s="114">
        <v>6</v>
      </c>
      <c r="E148" s="154" cm="1">
        <f t="array" ref="E148">IF(ISBLANK(MainData[[#This Row],[EventID]]),0,IFERROR(INDEX(MainData[],MATCH(MainData[[#This Row],[EventID]],IF(MainData[Product]="Date",MainData[EventID],0),0),12),0))</f>
        <v>44572</v>
      </c>
      <c r="F148" s="155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8" s="155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8" s="20" t="s">
        <v>85</v>
      </c>
      <c r="J148" t="s">
        <v>20</v>
      </c>
      <c r="K148" s="2" t="s">
        <v>29</v>
      </c>
      <c r="L148" s="2" t="s">
        <v>65</v>
      </c>
      <c r="M148" s="2" t="s">
        <v>383</v>
      </c>
      <c r="N148" s="2" t="s">
        <v>234</v>
      </c>
      <c r="O148" s="109">
        <v>1</v>
      </c>
      <c r="P148" s="109">
        <v>2.16</v>
      </c>
      <c r="Q148" s="109">
        <v>28.2</v>
      </c>
    </row>
    <row r="149" spans="2:17" x14ac:dyDescent="0.25">
      <c r="B149" s="114">
        <v>28</v>
      </c>
      <c r="C149" s="114">
        <v>81</v>
      </c>
      <c r="D149" s="114">
        <v>6</v>
      </c>
      <c r="E149" s="154" cm="1">
        <f t="array" ref="E149">IF(ISBLANK(MainData[[#This Row],[EventID]]),0,IFERROR(INDEX(MainData[],MATCH(MainData[[#This Row],[EventID]],IF(MainData[Product]="Date",MainData[EventID],0),0),12),0))</f>
        <v>44572</v>
      </c>
      <c r="F149" s="155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9" s="155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9" s="157" t="s">
        <v>85</v>
      </c>
      <c r="J149" t="s">
        <v>20</v>
      </c>
      <c r="K149" s="2" t="s">
        <v>29</v>
      </c>
      <c r="L149" s="2" t="s">
        <v>25</v>
      </c>
      <c r="M149" s="2" t="s">
        <v>388</v>
      </c>
      <c r="N149" s="2" t="s">
        <v>234</v>
      </c>
      <c r="O149" s="109">
        <v>1</v>
      </c>
      <c r="P149" s="109">
        <v>19.37</v>
      </c>
      <c r="Q149" s="109">
        <v>253.8</v>
      </c>
    </row>
    <row r="150" spans="2:17" x14ac:dyDescent="0.25">
      <c r="B150" s="114">
        <v>10</v>
      </c>
      <c r="C150" s="114">
        <v>15</v>
      </c>
      <c r="D150" s="114">
        <v>8</v>
      </c>
      <c r="E150" s="154" cm="1">
        <f t="array" ref="E150">IF(ISBLANK(MainData[[#This Row],[EventID]]),0,IFERROR(INDEX(MainData[],MATCH(MainData[[#This Row],[EventID]],IF(MainData[Product]="Date",MainData[EventID],0),0),12),0))</f>
        <v>44573</v>
      </c>
      <c r="F150" s="155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55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157" t="s">
        <v>84</v>
      </c>
      <c r="J150" t="s">
        <v>187</v>
      </c>
      <c r="K150" s="2" t="s">
        <v>157</v>
      </c>
      <c r="L150" s="2" t="s">
        <v>81</v>
      </c>
      <c r="M150" s="2">
        <v>1</v>
      </c>
      <c r="N150" s="2"/>
      <c r="O150" s="109"/>
      <c r="P150" s="109"/>
      <c r="Q150" s="109"/>
    </row>
    <row r="151" spans="2:17" x14ac:dyDescent="0.25">
      <c r="B151" s="114">
        <v>10</v>
      </c>
      <c r="C151" s="114">
        <v>15</v>
      </c>
      <c r="D151" s="114">
        <v>8</v>
      </c>
      <c r="E151" s="154" cm="1">
        <f t="array" ref="E151">IF(ISBLANK(MainData[[#This Row],[EventID]]),0,IFERROR(INDEX(MainData[],MATCH(MainData[[#This Row],[EventID]],IF(MainData[Product]="Date",MainData[EventID],0),0),12),0))</f>
        <v>44573</v>
      </c>
      <c r="F151" s="155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1" s="155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1" s="157" t="s">
        <v>84</v>
      </c>
      <c r="J151" t="s">
        <v>187</v>
      </c>
      <c r="K151" s="2" t="s">
        <v>157</v>
      </c>
      <c r="L151" s="2" t="s">
        <v>164</v>
      </c>
      <c r="M151" s="2" t="s">
        <v>417</v>
      </c>
      <c r="N151" s="2"/>
      <c r="O151" s="109"/>
      <c r="P151" s="109"/>
      <c r="Q151" s="109"/>
    </row>
    <row r="152" spans="2:17" x14ac:dyDescent="0.25">
      <c r="B152" s="114">
        <v>10</v>
      </c>
      <c r="C152" s="114">
        <v>15</v>
      </c>
      <c r="D152" s="114">
        <v>8</v>
      </c>
      <c r="E152" s="154" cm="1">
        <f t="array" ref="E152">IF(ISBLANK(MainData[[#This Row],[EventID]]),0,IFERROR(INDEX(MainData[],MATCH(MainData[[#This Row],[EventID]],IF(MainData[Product]="Date",MainData[EventID],0),0),12),0))</f>
        <v>44573</v>
      </c>
      <c r="F152" s="155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2" s="155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2" s="157" t="s">
        <v>84</v>
      </c>
      <c r="J152" t="s">
        <v>187</v>
      </c>
      <c r="K152" s="2" t="s">
        <v>157</v>
      </c>
      <c r="L152" s="2" t="s">
        <v>0</v>
      </c>
      <c r="M152" s="158">
        <v>44573</v>
      </c>
      <c r="N152" s="2"/>
      <c r="O152" s="109"/>
      <c r="P152" s="109"/>
      <c r="Q152" s="109"/>
    </row>
    <row r="153" spans="2:17" x14ac:dyDescent="0.25">
      <c r="B153" s="114">
        <v>10</v>
      </c>
      <c r="C153" s="114">
        <v>15</v>
      </c>
      <c r="D153" s="114">
        <v>8</v>
      </c>
      <c r="E153" s="154" cm="1">
        <f t="array" ref="E153">IF(ISBLANK(MainData[[#This Row],[EventID]]),0,IFERROR(INDEX(MainData[],MATCH(MainData[[#This Row],[EventID]],IF(MainData[Product]="Date",MainData[EventID],0),0),12),0))</f>
        <v>44573</v>
      </c>
      <c r="F153" s="155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3" s="155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3" s="157" t="s">
        <v>84</v>
      </c>
      <c r="J153" t="s">
        <v>187</v>
      </c>
      <c r="K153" s="2" t="s">
        <v>157</v>
      </c>
      <c r="L153" s="2" t="s">
        <v>82</v>
      </c>
      <c r="M153" s="2">
        <v>147310</v>
      </c>
      <c r="N153" s="2"/>
      <c r="O153" s="109"/>
      <c r="P153" s="109"/>
      <c r="Q153" s="109"/>
    </row>
    <row r="154" spans="2:17" x14ac:dyDescent="0.25">
      <c r="B154" s="114">
        <v>10</v>
      </c>
      <c r="C154" s="114">
        <v>15</v>
      </c>
      <c r="D154" s="114">
        <v>8</v>
      </c>
      <c r="E154" s="154" cm="1">
        <f t="array" ref="E154">IF(ISBLANK(MainData[[#This Row],[EventID]]),0,IFERROR(INDEX(MainData[],MATCH(MainData[[#This Row],[EventID]],IF(MainData[Product]="Date",MainData[EventID],0),0),12),0))</f>
        <v>44573</v>
      </c>
      <c r="F154" s="155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4" s="155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4" s="157" t="s">
        <v>84</v>
      </c>
      <c r="J154" t="s">
        <v>187</v>
      </c>
      <c r="K154" s="2" t="s">
        <v>157</v>
      </c>
      <c r="L154" s="2" t="s">
        <v>175</v>
      </c>
      <c r="M154" s="2" t="s">
        <v>455</v>
      </c>
      <c r="N154" s="2"/>
      <c r="O154" s="109"/>
      <c r="P154" s="109"/>
      <c r="Q154" s="109"/>
    </row>
    <row r="155" spans="2:17" x14ac:dyDescent="0.25">
      <c r="B155" s="114">
        <v>10</v>
      </c>
      <c r="C155" s="114">
        <v>15</v>
      </c>
      <c r="D155" s="114">
        <v>8</v>
      </c>
      <c r="E155" s="154" cm="1">
        <f t="array" ref="E155">IF(ISBLANK(MainData[[#This Row],[EventID]]),0,IFERROR(INDEX(MainData[],MATCH(MainData[[#This Row],[EventID]],IF(MainData[Product]="Date",MainData[EventID],0),0),12),0))</f>
        <v>44573</v>
      </c>
      <c r="F155" s="155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5" s="155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2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5" s="157" t="s">
        <v>84</v>
      </c>
      <c r="J155" t="s">
        <v>187</v>
      </c>
      <c r="K155" s="2" t="s">
        <v>157</v>
      </c>
      <c r="L155" s="2" t="s">
        <v>20</v>
      </c>
      <c r="M155" s="2" t="s">
        <v>485</v>
      </c>
      <c r="N155" s="2"/>
      <c r="O155" s="109"/>
      <c r="P155" s="109"/>
      <c r="Q155" s="109"/>
    </row>
    <row r="156" spans="2:17" x14ac:dyDescent="0.25">
      <c r="B156" s="114">
        <v>10</v>
      </c>
      <c r="C156" s="114">
        <v>15</v>
      </c>
      <c r="D156" s="114">
        <v>8</v>
      </c>
      <c r="E156" s="154" cm="1">
        <f t="array" ref="E156">IF(ISBLANK(MainData[[#This Row],[EventID]]),0,IFERROR(INDEX(MainData[],MATCH(MainData[[#This Row],[EventID]],IF(MainData[Product]="Date",MainData[EventID],0),0),12),0))</f>
        <v>44573</v>
      </c>
      <c r="F156" s="155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6" s="155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6" s="157" t="s">
        <v>84</v>
      </c>
      <c r="J156" t="s">
        <v>187</v>
      </c>
      <c r="K156" s="2" t="s">
        <v>157</v>
      </c>
      <c r="L156" s="2" t="s">
        <v>138</v>
      </c>
      <c r="M156" s="2">
        <v>550</v>
      </c>
      <c r="N156" s="2"/>
      <c r="O156" s="109"/>
      <c r="P156" s="109"/>
      <c r="Q156" s="109"/>
    </row>
    <row r="157" spans="2:17" x14ac:dyDescent="0.25">
      <c r="B157" s="114">
        <v>10</v>
      </c>
      <c r="C157" s="114">
        <v>15</v>
      </c>
      <c r="D157" s="114">
        <v>8</v>
      </c>
      <c r="E157" s="154" cm="1">
        <f t="array" ref="E157">IF(ISBLANK(MainData[[#This Row],[EventID]]),0,IFERROR(INDEX(MainData[],MATCH(MainData[[#This Row],[EventID]],IF(MainData[Product]="Date",MainData[EventID],0),0),12),0))</f>
        <v>44573</v>
      </c>
      <c r="F157" s="155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7" s="155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7" s="157" t="s">
        <v>84</v>
      </c>
      <c r="J157" t="s">
        <v>187</v>
      </c>
      <c r="K157" s="2" t="s">
        <v>157</v>
      </c>
      <c r="L157" s="2" t="s">
        <v>86</v>
      </c>
      <c r="M157" s="2">
        <v>3</v>
      </c>
      <c r="N157" s="2"/>
      <c r="O157" s="109"/>
      <c r="P157" s="109"/>
      <c r="Q157" s="109"/>
    </row>
    <row r="158" spans="2:17" x14ac:dyDescent="0.25">
      <c r="B158" s="114">
        <v>10</v>
      </c>
      <c r="C158" s="114">
        <v>15</v>
      </c>
      <c r="D158" s="114">
        <v>8</v>
      </c>
      <c r="E158" s="154" cm="1">
        <f t="array" ref="E158">IF(ISBLANK(MainData[[#This Row],[EventID]]),0,IFERROR(INDEX(MainData[],MATCH(MainData[[#This Row],[EventID]],IF(MainData[Product]="Date",MainData[EventID],0),0),12),0))</f>
        <v>44573</v>
      </c>
      <c r="F158" s="155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8" s="155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8" s="157" t="s">
        <v>84</v>
      </c>
      <c r="J158" t="s">
        <v>187</v>
      </c>
      <c r="K158" s="2" t="s">
        <v>157</v>
      </c>
      <c r="L158" s="2" t="s">
        <v>118</v>
      </c>
      <c r="M158" s="2" t="s">
        <v>487</v>
      </c>
      <c r="N158" s="2"/>
      <c r="O158" s="109"/>
      <c r="P158" s="109"/>
      <c r="Q158" s="109"/>
    </row>
    <row r="159" spans="2:17" x14ac:dyDescent="0.25">
      <c r="B159" s="114">
        <v>10</v>
      </c>
      <c r="C159" s="114">
        <v>15</v>
      </c>
      <c r="D159" s="114">
        <v>8</v>
      </c>
      <c r="E159" s="154" cm="1">
        <f t="array" ref="E159">IF(ISBLANK(MainData[[#This Row],[EventID]]),0,IFERROR(INDEX(MainData[],MATCH(MainData[[#This Row],[EventID]],IF(MainData[Product]="Date",MainData[EventID],0),0),12),0))</f>
        <v>44573</v>
      </c>
      <c r="F159" s="155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9" s="155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9" s="157" t="s">
        <v>84</v>
      </c>
      <c r="J159" t="s">
        <v>187</v>
      </c>
      <c r="K159" s="2" t="s">
        <v>157</v>
      </c>
      <c r="L159" s="2" t="s">
        <v>165</v>
      </c>
      <c r="M159" s="2" t="s">
        <v>403</v>
      </c>
      <c r="N159" s="2"/>
      <c r="O159" s="109"/>
      <c r="P159" s="109"/>
      <c r="Q159" s="109"/>
    </row>
    <row r="160" spans="2:17" x14ac:dyDescent="0.25">
      <c r="B160" s="114">
        <v>10</v>
      </c>
      <c r="C160" s="114">
        <v>15</v>
      </c>
      <c r="D160" s="114">
        <v>8</v>
      </c>
      <c r="E160" s="154" cm="1">
        <f t="array" ref="E160">IF(ISBLANK(MainData[[#This Row],[EventID]]),0,IFERROR(INDEX(MainData[],MATCH(MainData[[#This Row],[EventID]],IF(MainData[Product]="Date",MainData[EventID],0),0),12),0))</f>
        <v>44573</v>
      </c>
      <c r="F160" s="155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0" s="155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0" s="20" t="s">
        <v>85</v>
      </c>
      <c r="J160" t="s">
        <v>20</v>
      </c>
      <c r="K160" s="2" t="s">
        <v>116</v>
      </c>
      <c r="L160" s="2" t="s">
        <v>88</v>
      </c>
      <c r="M160" s="2" t="s">
        <v>189</v>
      </c>
      <c r="N160" s="2" t="s">
        <v>233</v>
      </c>
      <c r="O160" s="109">
        <v>3</v>
      </c>
      <c r="P160" s="109"/>
      <c r="Q160" s="109"/>
    </row>
    <row r="161" spans="2:17" x14ac:dyDescent="0.25">
      <c r="B161" s="114">
        <v>10</v>
      </c>
      <c r="C161" s="114">
        <v>15</v>
      </c>
      <c r="D161" s="114">
        <v>8</v>
      </c>
      <c r="E161" s="154" cm="1">
        <f t="array" ref="E161">IF(ISBLANK(MainData[[#This Row],[EventID]]),0,IFERROR(INDEX(MainData[],MATCH(MainData[[#This Row],[EventID]],IF(MainData[Product]="Date",MainData[EventID],0),0),12),0))</f>
        <v>44573</v>
      </c>
      <c r="F161" s="155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1" s="155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20" t="s">
        <v>85</v>
      </c>
      <c r="J161" t="s">
        <v>20</v>
      </c>
      <c r="K161" s="2" t="s">
        <v>116</v>
      </c>
      <c r="L161" s="2" t="s">
        <v>87</v>
      </c>
      <c r="M161" s="2" t="s">
        <v>188</v>
      </c>
      <c r="N161" s="2" t="s">
        <v>233</v>
      </c>
      <c r="O161" s="109">
        <v>6</v>
      </c>
      <c r="P161" s="109"/>
      <c r="Q161" s="109">
        <v>600</v>
      </c>
    </row>
    <row r="162" spans="2:17" x14ac:dyDescent="0.25">
      <c r="B162" s="114">
        <v>10</v>
      </c>
      <c r="C162" s="114">
        <v>15</v>
      </c>
      <c r="D162" s="114">
        <v>8</v>
      </c>
      <c r="E162" s="154" cm="1">
        <f t="array" ref="E162">IF(ISBLANK(MainData[[#This Row],[EventID]]),0,IFERROR(INDEX(MainData[],MATCH(MainData[[#This Row],[EventID]],IF(MainData[Product]="Date",MainData[EventID],0),0),12),0))</f>
        <v>44573</v>
      </c>
      <c r="F162" s="155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2" s="155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157" t="s">
        <v>85</v>
      </c>
      <c r="J162" t="s">
        <v>20</v>
      </c>
      <c r="K162" s="2" t="s">
        <v>29</v>
      </c>
      <c r="L162" s="2" t="s">
        <v>35</v>
      </c>
      <c r="M162" s="2" t="s">
        <v>382</v>
      </c>
      <c r="N162" s="2" t="s">
        <v>234</v>
      </c>
      <c r="O162" s="109">
        <v>6</v>
      </c>
      <c r="P162" s="109">
        <v>306.54000000000002</v>
      </c>
      <c r="Q162" s="109">
        <v>3600</v>
      </c>
    </row>
    <row r="163" spans="2:17" x14ac:dyDescent="0.25">
      <c r="B163" s="114">
        <v>10</v>
      </c>
      <c r="C163" s="114">
        <v>15</v>
      </c>
      <c r="D163" s="114">
        <v>8</v>
      </c>
      <c r="E163" s="154" cm="1">
        <f t="array" ref="E163">IF(ISBLANK(MainData[[#This Row],[EventID]]),0,IFERROR(INDEX(MainData[],MATCH(MainData[[#This Row],[EventID]],IF(MainData[Product]="Date",MainData[EventID],0),0),12),0))</f>
        <v>44573</v>
      </c>
      <c r="F163" s="155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3" s="155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157" t="s">
        <v>85</v>
      </c>
      <c r="J163" t="s">
        <v>20</v>
      </c>
      <c r="K163" s="2" t="s">
        <v>29</v>
      </c>
      <c r="L163" s="2" t="s">
        <v>36</v>
      </c>
      <c r="M163" s="2" t="s">
        <v>387</v>
      </c>
      <c r="N163" s="2" t="s">
        <v>234</v>
      </c>
      <c r="O163" s="109">
        <v>6</v>
      </c>
      <c r="P163" s="109">
        <v>673.1</v>
      </c>
      <c r="Q163" s="109">
        <v>7642</v>
      </c>
    </row>
    <row r="164" spans="2:17" x14ac:dyDescent="0.25">
      <c r="B164" s="114">
        <v>10</v>
      </c>
      <c r="C164" s="114">
        <v>15</v>
      </c>
      <c r="D164" s="114">
        <v>8</v>
      </c>
      <c r="E164" s="154" cm="1">
        <f t="array" ref="E164">IF(ISBLANK(MainData[[#This Row],[EventID]]),0,IFERROR(INDEX(MainData[],MATCH(MainData[[#This Row],[EventID]],IF(MainData[Product]="Date",MainData[EventID],0),0),12),0))</f>
        <v>44573</v>
      </c>
      <c r="F164" s="155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4" s="155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20" t="s">
        <v>85</v>
      </c>
      <c r="J164" t="s">
        <v>20</v>
      </c>
      <c r="K164" s="2" t="s">
        <v>29</v>
      </c>
      <c r="L164" s="2" t="s">
        <v>65</v>
      </c>
      <c r="M164" s="2" t="s">
        <v>383</v>
      </c>
      <c r="N164" s="2" t="s">
        <v>234</v>
      </c>
      <c r="O164" s="109">
        <v>6</v>
      </c>
      <c r="P164" s="109">
        <v>30</v>
      </c>
      <c r="Q164" s="109">
        <v>222</v>
      </c>
    </row>
    <row r="165" spans="2:17" x14ac:dyDescent="0.25">
      <c r="B165" s="114">
        <v>10</v>
      </c>
      <c r="C165" s="114">
        <v>15</v>
      </c>
      <c r="D165" s="114">
        <v>8</v>
      </c>
      <c r="E165" s="154" cm="1">
        <f t="array" ref="E165">IF(ISBLANK(MainData[[#This Row],[EventID]]),0,IFERROR(INDEX(MainData[],MATCH(MainData[[#This Row],[EventID]],IF(MainData[Product]="Date",MainData[EventID],0),0),12),0))</f>
        <v>44573</v>
      </c>
      <c r="F165" s="155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5" s="155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5" s="157" t="s">
        <v>85</v>
      </c>
      <c r="J165" t="s">
        <v>20</v>
      </c>
      <c r="K165" s="2" t="s">
        <v>29</v>
      </c>
      <c r="L165" s="2" t="s">
        <v>25</v>
      </c>
      <c r="M165" s="2" t="s">
        <v>388</v>
      </c>
      <c r="N165" s="2" t="s">
        <v>234</v>
      </c>
      <c r="O165" s="109">
        <v>6</v>
      </c>
      <c r="P165" s="109">
        <v>336.55</v>
      </c>
      <c r="Q165" s="109">
        <v>3821</v>
      </c>
    </row>
    <row r="166" spans="2:17" x14ac:dyDescent="0.25">
      <c r="B166" s="114">
        <v>25</v>
      </c>
      <c r="C166" s="114">
        <v>64</v>
      </c>
      <c r="D166" s="114">
        <v>9</v>
      </c>
      <c r="E166" s="154" cm="1">
        <f t="array" ref="E166">IF(ISBLANK(MainData[[#This Row],[EventID]]),0,IFERROR(INDEX(MainData[],MATCH(MainData[[#This Row],[EventID]],IF(MainData[Product]="Date",MainData[EventID],0),0),12),0))</f>
        <v>44573</v>
      </c>
      <c r="F166" s="155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6" s="155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20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6" s="157" t="s">
        <v>84</v>
      </c>
      <c r="J166" t="s">
        <v>187</v>
      </c>
      <c r="K166" s="2" t="s">
        <v>157</v>
      </c>
      <c r="L166" s="2" t="s">
        <v>150</v>
      </c>
      <c r="M166" s="2">
        <v>1</v>
      </c>
      <c r="N166" s="2"/>
      <c r="O166" s="109"/>
      <c r="P166" s="109"/>
      <c r="Q166" s="109"/>
    </row>
    <row r="167" spans="2:17" x14ac:dyDescent="0.25">
      <c r="B167" s="114">
        <v>25</v>
      </c>
      <c r="C167" s="114">
        <v>64</v>
      </c>
      <c r="D167" s="114">
        <v>9</v>
      </c>
      <c r="E167" s="154" cm="1">
        <f t="array" ref="E167">IF(ISBLANK(MainData[[#This Row],[EventID]]),0,IFERROR(INDEX(MainData[],MATCH(MainData[[#This Row],[EventID]],IF(MainData[Product]="Date",MainData[EventID],0),0),12),0))</f>
        <v>44573</v>
      </c>
      <c r="F167" s="155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7" s="155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7" s="157" t="s">
        <v>84</v>
      </c>
      <c r="J167" t="s">
        <v>187</v>
      </c>
      <c r="K167" s="2" t="s">
        <v>157</v>
      </c>
      <c r="L167" s="2" t="s">
        <v>81</v>
      </c>
      <c r="M167" s="2">
        <v>1</v>
      </c>
      <c r="N167" s="2"/>
      <c r="O167" s="109"/>
      <c r="P167" s="109"/>
      <c r="Q167" s="109"/>
    </row>
    <row r="168" spans="2:17" x14ac:dyDescent="0.25">
      <c r="B168" s="114">
        <v>25</v>
      </c>
      <c r="C168" s="114">
        <v>64</v>
      </c>
      <c r="D168" s="114">
        <v>9</v>
      </c>
      <c r="E168" s="154" cm="1">
        <f t="array" ref="E168">IF(ISBLANK(MainData[[#This Row],[EventID]]),0,IFERROR(INDEX(MainData[],MATCH(MainData[[#This Row],[EventID]],IF(MainData[Product]="Date",MainData[EventID],0),0),12),0))</f>
        <v>44573</v>
      </c>
      <c r="F168" s="155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8" s="155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8" s="157" t="s">
        <v>84</v>
      </c>
      <c r="J168" t="s">
        <v>187</v>
      </c>
      <c r="K168" s="2" t="s">
        <v>157</v>
      </c>
      <c r="L168" s="2" t="s">
        <v>164</v>
      </c>
      <c r="M168" s="2" t="s">
        <v>430</v>
      </c>
      <c r="N168" s="2"/>
      <c r="O168" s="109"/>
      <c r="P168" s="109"/>
      <c r="Q168" s="109"/>
    </row>
    <row r="169" spans="2:17" x14ac:dyDescent="0.25">
      <c r="B169" s="114">
        <v>25</v>
      </c>
      <c r="C169" s="114">
        <v>64</v>
      </c>
      <c r="D169" s="114">
        <v>9</v>
      </c>
      <c r="E169" s="154" cm="1">
        <f t="array" ref="E169">IF(ISBLANK(MainData[[#This Row],[EventID]]),0,IFERROR(INDEX(MainData[],MATCH(MainData[[#This Row],[EventID]],IF(MainData[Product]="Date",MainData[EventID],0),0),12),0))</f>
        <v>44573</v>
      </c>
      <c r="F169" s="155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9" s="155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9" s="157" t="s">
        <v>84</v>
      </c>
      <c r="J169" t="s">
        <v>187</v>
      </c>
      <c r="K169" s="2" t="s">
        <v>157</v>
      </c>
      <c r="L169" s="2" t="s">
        <v>0</v>
      </c>
      <c r="M169" s="158">
        <v>44573</v>
      </c>
      <c r="N169" s="2"/>
      <c r="O169" s="109"/>
      <c r="P169" s="109"/>
      <c r="Q169" s="109"/>
    </row>
    <row r="170" spans="2:17" x14ac:dyDescent="0.25">
      <c r="B170" s="114">
        <v>25</v>
      </c>
      <c r="C170" s="114">
        <v>64</v>
      </c>
      <c r="D170" s="114">
        <v>9</v>
      </c>
      <c r="E170" s="154" cm="1">
        <f t="array" ref="E170">IF(ISBLANK(MainData[[#This Row],[EventID]]),0,IFERROR(INDEX(MainData[],MATCH(MainData[[#This Row],[EventID]],IF(MainData[Product]="Date",MainData[EventID],0),0),12),0))</f>
        <v>44573</v>
      </c>
      <c r="F170" s="155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0" s="155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0" s="157" t="s">
        <v>84</v>
      </c>
      <c r="J170" t="s">
        <v>187</v>
      </c>
      <c r="K170" s="2" t="s">
        <v>157</v>
      </c>
      <c r="L170" s="2" t="s">
        <v>82</v>
      </c>
      <c r="M170" s="2">
        <v>162071</v>
      </c>
      <c r="N170" s="2"/>
      <c r="O170" s="109"/>
      <c r="P170" s="109"/>
      <c r="Q170" s="109"/>
    </row>
    <row r="171" spans="2:17" x14ac:dyDescent="0.25">
      <c r="B171" s="114">
        <v>25</v>
      </c>
      <c r="C171" s="114">
        <v>64</v>
      </c>
      <c r="D171" s="114">
        <v>9</v>
      </c>
      <c r="E171" s="154" cm="1">
        <f t="array" ref="E171">IF(ISBLANK(MainData[[#This Row],[EventID]]),0,IFERROR(INDEX(MainData[],MATCH(MainData[[#This Row],[EventID]],IF(MainData[Product]="Date",MainData[EventID],0),0),12),0))</f>
        <v>44573</v>
      </c>
      <c r="F171" s="155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1" s="155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1" s="157" t="s">
        <v>84</v>
      </c>
      <c r="J171" t="s">
        <v>187</v>
      </c>
      <c r="K171" s="2" t="s">
        <v>157</v>
      </c>
      <c r="L171" s="2" t="s">
        <v>175</v>
      </c>
      <c r="M171" s="2" t="s">
        <v>475</v>
      </c>
      <c r="N171" s="2"/>
      <c r="O171" s="109"/>
      <c r="P171" s="109"/>
      <c r="Q171" s="109"/>
    </row>
    <row r="172" spans="2:17" x14ac:dyDescent="0.25">
      <c r="B172" s="114">
        <v>25</v>
      </c>
      <c r="C172" s="114">
        <v>64</v>
      </c>
      <c r="D172" s="114">
        <v>9</v>
      </c>
      <c r="E172" s="154" cm="1">
        <f t="array" ref="E172">IF(ISBLANK(MainData[[#This Row],[EventID]]),0,IFERROR(INDEX(MainData[],MATCH(MainData[[#This Row],[EventID]],IF(MainData[Product]="Date",MainData[EventID],0),0),12),0))</f>
        <v>44573</v>
      </c>
      <c r="F172" s="155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2" s="155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2" s="157" t="s">
        <v>84</v>
      </c>
      <c r="J172" t="s">
        <v>187</v>
      </c>
      <c r="K172" s="2" t="s">
        <v>157</v>
      </c>
      <c r="L172" s="2" t="s">
        <v>20</v>
      </c>
      <c r="M172" s="2" t="s">
        <v>364</v>
      </c>
      <c r="N172" s="2"/>
      <c r="O172" s="109"/>
      <c r="P172" s="109"/>
      <c r="Q172" s="109"/>
    </row>
    <row r="173" spans="2:17" x14ac:dyDescent="0.25">
      <c r="B173" s="114">
        <v>25</v>
      </c>
      <c r="C173" s="114">
        <v>64</v>
      </c>
      <c r="D173" s="114">
        <v>9</v>
      </c>
      <c r="E173" s="154" cm="1">
        <f t="array" ref="E173">IF(ISBLANK(MainData[[#This Row],[EventID]]),0,IFERROR(INDEX(MainData[],MATCH(MainData[[#This Row],[EventID]],IF(MainData[Product]="Date",MainData[EventID],0),0),12),0))</f>
        <v>44573</v>
      </c>
      <c r="F173" s="155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3" s="155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3" s="157" t="s">
        <v>84</v>
      </c>
      <c r="J173" t="s">
        <v>187</v>
      </c>
      <c r="K173" s="2" t="s">
        <v>157</v>
      </c>
      <c r="L173" s="2" t="s">
        <v>138</v>
      </c>
      <c r="M173" s="2">
        <v>15</v>
      </c>
      <c r="N173" s="2"/>
      <c r="O173" s="109"/>
      <c r="P173" s="109"/>
      <c r="Q173" s="109"/>
    </row>
    <row r="174" spans="2:17" x14ac:dyDescent="0.25">
      <c r="B174" s="114">
        <v>25</v>
      </c>
      <c r="C174" s="114">
        <v>64</v>
      </c>
      <c r="D174" s="114">
        <v>9</v>
      </c>
      <c r="E174" s="154" cm="1">
        <f t="array" ref="E174">IF(ISBLANK(MainData[[#This Row],[EventID]]),0,IFERROR(INDEX(MainData[],MATCH(MainData[[#This Row],[EventID]],IF(MainData[Product]="Date",MainData[EventID],0),0),12),0))</f>
        <v>44573</v>
      </c>
      <c r="F174" s="155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4" s="155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4" s="157" t="s">
        <v>84</v>
      </c>
      <c r="J174" t="s">
        <v>187</v>
      </c>
      <c r="K174" s="2" t="s">
        <v>157</v>
      </c>
      <c r="L174" s="2" t="s">
        <v>86</v>
      </c>
      <c r="M174" s="2">
        <v>1</v>
      </c>
      <c r="N174" s="2"/>
      <c r="O174" s="109"/>
      <c r="P174" s="109"/>
      <c r="Q174" s="109"/>
    </row>
    <row r="175" spans="2:17" x14ac:dyDescent="0.25">
      <c r="B175" s="114">
        <v>25</v>
      </c>
      <c r="C175" s="114">
        <v>64</v>
      </c>
      <c r="D175" s="114">
        <v>9</v>
      </c>
      <c r="E175" s="154" cm="1">
        <f t="array" ref="E175">IF(ISBLANK(MainData[[#This Row],[EventID]]),0,IFERROR(INDEX(MainData[],MATCH(MainData[[#This Row],[EventID]],IF(MainData[Product]="Date",MainData[EventID],0),0),12),0))</f>
        <v>44573</v>
      </c>
      <c r="F175" s="155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5" s="155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5" s="157" t="s">
        <v>84</v>
      </c>
      <c r="J175" t="s">
        <v>187</v>
      </c>
      <c r="K175" s="2" t="s">
        <v>157</v>
      </c>
      <c r="L175" s="2" t="s">
        <v>118</v>
      </c>
      <c r="M175" s="2" t="s">
        <v>497</v>
      </c>
      <c r="N175" s="2"/>
      <c r="O175" s="109"/>
      <c r="P175" s="109"/>
      <c r="Q175" s="109"/>
    </row>
    <row r="176" spans="2:17" x14ac:dyDescent="0.25">
      <c r="B176" s="114">
        <v>25</v>
      </c>
      <c r="C176" s="114">
        <v>64</v>
      </c>
      <c r="D176" s="114">
        <v>9</v>
      </c>
      <c r="E176" s="154" cm="1">
        <f t="array" ref="E176">IF(ISBLANK(MainData[[#This Row],[EventID]]),0,IFERROR(INDEX(MainData[],MATCH(MainData[[#This Row],[EventID]],IF(MainData[Product]="Date",MainData[EventID],0),0),12),0))</f>
        <v>44573</v>
      </c>
      <c r="F176" s="155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6" s="155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6" s="157" t="s">
        <v>84</v>
      </c>
      <c r="J176" t="s">
        <v>187</v>
      </c>
      <c r="K176" s="2" t="s">
        <v>157</v>
      </c>
      <c r="L176" s="2" t="s">
        <v>165</v>
      </c>
      <c r="M176" s="2" t="s">
        <v>401</v>
      </c>
      <c r="N176" s="2"/>
      <c r="O176" s="109"/>
      <c r="P176" s="109"/>
      <c r="Q176" s="109"/>
    </row>
    <row r="177" spans="2:17" x14ac:dyDescent="0.25">
      <c r="B177" s="114">
        <v>25</v>
      </c>
      <c r="C177" s="114">
        <v>64</v>
      </c>
      <c r="D177" s="114">
        <v>9</v>
      </c>
      <c r="E177" s="154" cm="1">
        <f t="array" ref="E177">IF(ISBLANK(MainData[[#This Row],[EventID]]),0,IFERROR(INDEX(MainData[],MATCH(MainData[[#This Row],[EventID]],IF(MainData[Product]="Date",MainData[EventID],0),0),12),0))</f>
        <v>44573</v>
      </c>
      <c r="F177" s="155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7" s="155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7" s="20" t="s">
        <v>85</v>
      </c>
      <c r="J177" t="s">
        <v>21</v>
      </c>
      <c r="K177" s="2" t="s">
        <v>116</v>
      </c>
      <c r="L177" s="2" t="s">
        <v>107</v>
      </c>
      <c r="M177" s="2" t="s">
        <v>190</v>
      </c>
      <c r="N177" s="2" t="s">
        <v>233</v>
      </c>
      <c r="O177" s="109">
        <v>1</v>
      </c>
      <c r="P177" s="109"/>
      <c r="Q177" s="109"/>
    </row>
    <row r="178" spans="2:17" x14ac:dyDescent="0.25">
      <c r="B178" s="114">
        <v>25</v>
      </c>
      <c r="C178" s="114">
        <v>64</v>
      </c>
      <c r="D178" s="114">
        <v>9</v>
      </c>
      <c r="E178" s="154" cm="1">
        <f t="array" ref="E178">IF(ISBLANK(MainData[[#This Row],[EventID]]),0,IFERROR(INDEX(MainData[],MATCH(MainData[[#This Row],[EventID]],IF(MainData[Product]="Date",MainData[EventID],0),0),12),0))</f>
        <v>44573</v>
      </c>
      <c r="F178" s="155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8" s="155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8" s="20" t="s">
        <v>85</v>
      </c>
      <c r="J178" t="s">
        <v>21</v>
      </c>
      <c r="K178" s="2" t="s">
        <v>29</v>
      </c>
      <c r="L178" s="2" t="s">
        <v>25</v>
      </c>
      <c r="M178" s="2" t="s">
        <v>6</v>
      </c>
      <c r="N178" s="2" t="s">
        <v>235</v>
      </c>
      <c r="O178" s="109">
        <v>1</v>
      </c>
      <c r="P178" s="109">
        <v>11.5</v>
      </c>
      <c r="Q178" s="109">
        <v>41</v>
      </c>
    </row>
    <row r="179" spans="2:17" x14ac:dyDescent="0.25">
      <c r="B179" s="114">
        <v>10</v>
      </c>
      <c r="C179" s="114">
        <v>16</v>
      </c>
      <c r="D179" s="114">
        <v>11</v>
      </c>
      <c r="E179" s="154" cm="1">
        <f t="array" ref="E179">IF(ISBLANK(MainData[[#This Row],[EventID]]),0,IFERROR(INDEX(MainData[],MATCH(MainData[[#This Row],[EventID]],IF(MainData[Product]="Date",MainData[EventID],0),0),12),0))</f>
        <v>44574</v>
      </c>
      <c r="F179" s="155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9" s="155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157" t="s">
        <v>84</v>
      </c>
      <c r="J179" t="s">
        <v>187</v>
      </c>
      <c r="K179" s="2" t="s">
        <v>157</v>
      </c>
      <c r="L179" s="2" t="s">
        <v>81</v>
      </c>
      <c r="M179" s="2">
        <v>1</v>
      </c>
      <c r="N179" s="2"/>
      <c r="O179" s="109"/>
      <c r="P179" s="109"/>
      <c r="Q179" s="109"/>
    </row>
    <row r="180" spans="2:17" x14ac:dyDescent="0.25">
      <c r="B180" s="114">
        <v>10</v>
      </c>
      <c r="C180" s="114">
        <v>16</v>
      </c>
      <c r="D180" s="114">
        <v>11</v>
      </c>
      <c r="E180" s="154" cm="1">
        <f t="array" ref="E180">IF(ISBLANK(MainData[[#This Row],[EventID]]),0,IFERROR(INDEX(MainData[],MATCH(MainData[[#This Row],[EventID]],IF(MainData[Product]="Date",MainData[EventID],0),0),12),0))</f>
        <v>44574</v>
      </c>
      <c r="F180" s="155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0" s="155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157" t="s">
        <v>84</v>
      </c>
      <c r="J180" t="s">
        <v>187</v>
      </c>
      <c r="K180" s="2" t="s">
        <v>157</v>
      </c>
      <c r="L180" s="2" t="s">
        <v>0</v>
      </c>
      <c r="M180" s="158">
        <v>44574</v>
      </c>
      <c r="N180" s="2"/>
      <c r="O180" s="109"/>
      <c r="P180" s="109"/>
      <c r="Q180" s="109"/>
    </row>
    <row r="181" spans="2:17" x14ac:dyDescent="0.25">
      <c r="B181" s="114">
        <v>10</v>
      </c>
      <c r="C181" s="114">
        <v>16</v>
      </c>
      <c r="D181" s="114">
        <v>11</v>
      </c>
      <c r="E181" s="154" cm="1">
        <f t="array" ref="E181">IF(ISBLANK(MainData[[#This Row],[EventID]]),0,IFERROR(INDEX(MainData[],MATCH(MainData[[#This Row],[EventID]],IF(MainData[Product]="Date",MainData[EventID],0),0),12),0))</f>
        <v>44574</v>
      </c>
      <c r="F181" s="155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1" s="155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157" t="s">
        <v>84</v>
      </c>
      <c r="J181" t="s">
        <v>187</v>
      </c>
      <c r="K181" s="2" t="s">
        <v>157</v>
      </c>
      <c r="L181" s="2" t="s">
        <v>82</v>
      </c>
      <c r="M181" s="2">
        <v>425992</v>
      </c>
      <c r="N181" s="2"/>
      <c r="O181" s="109"/>
      <c r="P181" s="109"/>
      <c r="Q181" s="109"/>
    </row>
    <row r="182" spans="2:17" x14ac:dyDescent="0.25">
      <c r="B182" s="114">
        <v>10</v>
      </c>
      <c r="C182" s="114">
        <v>16</v>
      </c>
      <c r="D182" s="114">
        <v>11</v>
      </c>
      <c r="E182" s="154" cm="1">
        <f t="array" ref="E182">IF(ISBLANK(MainData[[#This Row],[EventID]]),0,IFERROR(INDEX(MainData[],MATCH(MainData[[#This Row],[EventID]],IF(MainData[Product]="Date",MainData[EventID],0),0),12),0))</f>
        <v>44574</v>
      </c>
      <c r="F182" s="155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2" s="155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157" t="s">
        <v>84</v>
      </c>
      <c r="J182" t="s">
        <v>187</v>
      </c>
      <c r="K182" s="2" t="s">
        <v>157</v>
      </c>
      <c r="L182" s="2" t="s">
        <v>175</v>
      </c>
      <c r="M182" s="2" t="s">
        <v>457</v>
      </c>
      <c r="N182" s="2"/>
      <c r="O182" s="109"/>
      <c r="P182" s="109"/>
      <c r="Q182" s="109"/>
    </row>
    <row r="183" spans="2:17" x14ac:dyDescent="0.25">
      <c r="B183" s="114">
        <v>10</v>
      </c>
      <c r="C183" s="114">
        <v>16</v>
      </c>
      <c r="D183" s="114">
        <v>11</v>
      </c>
      <c r="E183" s="154" cm="1">
        <f t="array" ref="E183">IF(ISBLANK(MainData[[#This Row],[EventID]]),0,IFERROR(INDEX(MainData[],MATCH(MainData[[#This Row],[EventID]],IF(MainData[Product]="Date",MainData[EventID],0),0),12),0))</f>
        <v>44574</v>
      </c>
      <c r="F183" s="155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3" s="155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157" t="s">
        <v>84</v>
      </c>
      <c r="J183" t="s">
        <v>187</v>
      </c>
      <c r="K183" s="2" t="s">
        <v>157</v>
      </c>
      <c r="L183" s="2" t="s">
        <v>138</v>
      </c>
      <c r="M183" s="2">
        <v>635</v>
      </c>
      <c r="N183" s="2"/>
      <c r="O183" s="109"/>
      <c r="P183" s="109"/>
      <c r="Q183" s="109"/>
    </row>
    <row r="184" spans="2:17" x14ac:dyDescent="0.25">
      <c r="B184" s="114">
        <v>10</v>
      </c>
      <c r="C184" s="114">
        <v>16</v>
      </c>
      <c r="D184" s="114">
        <v>11</v>
      </c>
      <c r="E184" s="154" cm="1">
        <f t="array" ref="E184">IF(ISBLANK(MainData[[#This Row],[EventID]]),0,IFERROR(INDEX(MainData[],MATCH(MainData[[#This Row],[EventID]],IF(MainData[Product]="Date",MainData[EventID],0),0),12),0))</f>
        <v>44574</v>
      </c>
      <c r="F184" s="155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4" s="155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157" t="s">
        <v>84</v>
      </c>
      <c r="J184" t="s">
        <v>187</v>
      </c>
      <c r="K184" s="2" t="s">
        <v>157</v>
      </c>
      <c r="L184" s="2" t="s">
        <v>86</v>
      </c>
      <c r="M184" s="2">
        <v>3.5</v>
      </c>
      <c r="N184" s="2"/>
      <c r="O184" s="109"/>
      <c r="P184" s="109"/>
      <c r="Q184" s="109"/>
    </row>
    <row r="185" spans="2:17" x14ac:dyDescent="0.25">
      <c r="B185" s="114">
        <v>10</v>
      </c>
      <c r="C185" s="114">
        <v>16</v>
      </c>
      <c r="D185" s="114">
        <v>11</v>
      </c>
      <c r="E185" s="154" cm="1">
        <f t="array" ref="E185">IF(ISBLANK(MainData[[#This Row],[EventID]]),0,IFERROR(INDEX(MainData[],MATCH(MainData[[#This Row],[EventID]],IF(MainData[Product]="Date",MainData[EventID],0),0),12),0))</f>
        <v>44574</v>
      </c>
      <c r="F185" s="155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5" s="155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157" t="s">
        <v>84</v>
      </c>
      <c r="J185" t="s">
        <v>187</v>
      </c>
      <c r="K185" s="2" t="s">
        <v>157</v>
      </c>
      <c r="L185" s="2" t="s">
        <v>118</v>
      </c>
      <c r="M185" s="2" t="s">
        <v>463</v>
      </c>
      <c r="N185" s="2"/>
      <c r="O185" s="109"/>
      <c r="P185" s="109"/>
      <c r="Q185" s="109"/>
    </row>
    <row r="186" spans="2:17" x14ac:dyDescent="0.25">
      <c r="B186" s="114">
        <v>10</v>
      </c>
      <c r="C186" s="114">
        <v>16</v>
      </c>
      <c r="D186" s="114">
        <v>11</v>
      </c>
      <c r="E186" s="154" cm="1">
        <f t="array" ref="E186">IF(ISBLANK(MainData[[#This Row],[EventID]]),0,IFERROR(INDEX(MainData[],MATCH(MainData[[#This Row],[EventID]],IF(MainData[Product]="Date",MainData[EventID],0),0),12),0))</f>
        <v>44574</v>
      </c>
      <c r="F186" s="155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6" s="155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20" t="s">
        <v>85</v>
      </c>
      <c r="J186" t="s">
        <v>20</v>
      </c>
      <c r="K186" s="2" t="s">
        <v>116</v>
      </c>
      <c r="L186" s="2" t="s">
        <v>88</v>
      </c>
      <c r="M186" s="2" t="s">
        <v>189</v>
      </c>
      <c r="N186" s="2" t="s">
        <v>233</v>
      </c>
      <c r="O186" s="109">
        <v>3</v>
      </c>
      <c r="P186" s="109"/>
      <c r="Q186" s="109"/>
    </row>
    <row r="187" spans="2:17" x14ac:dyDescent="0.25">
      <c r="B187" s="114">
        <v>10</v>
      </c>
      <c r="C187" s="114">
        <v>16</v>
      </c>
      <c r="D187" s="114">
        <v>11</v>
      </c>
      <c r="E187" s="154" cm="1">
        <f t="array" ref="E187">IF(ISBLANK(MainData[[#This Row],[EventID]]),0,IFERROR(INDEX(MainData[],MATCH(MainData[[#This Row],[EventID]],IF(MainData[Product]="Date",MainData[EventID],0),0),12),0))</f>
        <v>44574</v>
      </c>
      <c r="F187" s="155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7" s="155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20" t="s">
        <v>85</v>
      </c>
      <c r="J187" t="s">
        <v>20</v>
      </c>
      <c r="K187" s="2" t="s">
        <v>116</v>
      </c>
      <c r="L187" s="2" t="s">
        <v>87</v>
      </c>
      <c r="M187" s="2" t="s">
        <v>188</v>
      </c>
      <c r="N187" s="2" t="s">
        <v>233</v>
      </c>
      <c r="O187" s="109">
        <v>7</v>
      </c>
      <c r="P187" s="109"/>
      <c r="Q187" s="109">
        <v>700</v>
      </c>
    </row>
    <row r="188" spans="2:17" x14ac:dyDescent="0.25">
      <c r="B188" s="114">
        <v>10</v>
      </c>
      <c r="C188" s="114">
        <v>16</v>
      </c>
      <c r="D188" s="114">
        <v>11</v>
      </c>
      <c r="E188" s="154" cm="1">
        <f t="array" ref="E188">IF(ISBLANK(MainData[[#This Row],[EventID]]),0,IFERROR(INDEX(MainData[],MATCH(MainData[[#This Row],[EventID]],IF(MainData[Product]="Date",MainData[EventID],0),0),12),0))</f>
        <v>44574</v>
      </c>
      <c r="F188" s="155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8" s="155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157" t="s">
        <v>85</v>
      </c>
      <c r="J188" t="s">
        <v>20</v>
      </c>
      <c r="K188" s="2" t="s">
        <v>29</v>
      </c>
      <c r="L188" s="2" t="s">
        <v>35</v>
      </c>
      <c r="M188" s="2" t="s">
        <v>382</v>
      </c>
      <c r="N188" s="2" t="s">
        <v>234</v>
      </c>
      <c r="O188" s="109">
        <v>7</v>
      </c>
      <c r="P188" s="109">
        <v>111.48</v>
      </c>
      <c r="Q188" s="109">
        <v>1295.55</v>
      </c>
    </row>
    <row r="189" spans="2:17" x14ac:dyDescent="0.25">
      <c r="B189" s="114">
        <v>10</v>
      </c>
      <c r="C189" s="114">
        <v>16</v>
      </c>
      <c r="D189" s="114">
        <v>11</v>
      </c>
      <c r="E189" s="154" cm="1">
        <f t="array" ref="E189">IF(ISBLANK(MainData[[#This Row],[EventID]]),0,IFERROR(INDEX(MainData[],MATCH(MainData[[#This Row],[EventID]],IF(MainData[Product]="Date",MainData[EventID],0),0),12),0))</f>
        <v>44574</v>
      </c>
      <c r="F189" s="155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9" s="155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157" t="s">
        <v>85</v>
      </c>
      <c r="J189" t="s">
        <v>20</v>
      </c>
      <c r="K189" s="2" t="s">
        <v>29</v>
      </c>
      <c r="L189" s="2" t="s">
        <v>36</v>
      </c>
      <c r="M189" s="2" t="s">
        <v>384</v>
      </c>
      <c r="N189" s="2" t="s">
        <v>234</v>
      </c>
      <c r="O189" s="109">
        <v>7</v>
      </c>
      <c r="P189" s="109">
        <v>371.63</v>
      </c>
      <c r="Q189" s="109">
        <v>4318.5</v>
      </c>
    </row>
    <row r="190" spans="2:17" x14ac:dyDescent="0.25">
      <c r="B190" s="114">
        <v>10</v>
      </c>
      <c r="C190" s="114">
        <v>16</v>
      </c>
      <c r="D190" s="114">
        <v>11</v>
      </c>
      <c r="E190" s="154" cm="1">
        <f t="array" ref="E190">IF(ISBLANK(MainData[[#This Row],[EventID]]),0,IFERROR(INDEX(MainData[],MATCH(MainData[[#This Row],[EventID]],IF(MainData[Product]="Date",MainData[EventID],0),0),12),0))</f>
        <v>44574</v>
      </c>
      <c r="F190" s="155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90" s="155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20" t="s">
        <v>85</v>
      </c>
      <c r="J190" t="s">
        <v>20</v>
      </c>
      <c r="K190" s="2" t="s">
        <v>29</v>
      </c>
      <c r="L190" s="2" t="s">
        <v>65</v>
      </c>
      <c r="M190" s="2" t="s">
        <v>383</v>
      </c>
      <c r="N190" s="2" t="s">
        <v>234</v>
      </c>
      <c r="O190" s="109">
        <v>7</v>
      </c>
      <c r="P190" s="109">
        <v>74.33</v>
      </c>
      <c r="Q190" s="109">
        <v>863.7</v>
      </c>
    </row>
    <row r="191" spans="2:17" x14ac:dyDescent="0.25">
      <c r="B191" s="114">
        <v>10</v>
      </c>
      <c r="C191" s="114">
        <v>16</v>
      </c>
      <c r="D191" s="114">
        <v>11</v>
      </c>
      <c r="E191" s="154" cm="1">
        <f t="array" ref="E191">IF(ISBLANK(MainData[[#This Row],[EventID]]),0,IFERROR(INDEX(MainData[],MATCH(MainData[[#This Row],[EventID]],IF(MainData[Product]="Date",MainData[EventID],0),0),12),0))</f>
        <v>44574</v>
      </c>
      <c r="F191" s="155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91" s="155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157" t="s">
        <v>85</v>
      </c>
      <c r="J191" t="s">
        <v>20</v>
      </c>
      <c r="K191" s="2" t="s">
        <v>29</v>
      </c>
      <c r="L191" s="2" t="s">
        <v>25</v>
      </c>
      <c r="M191" s="2" t="s">
        <v>385</v>
      </c>
      <c r="N191" s="2" t="s">
        <v>234</v>
      </c>
      <c r="O191" s="109">
        <v>7</v>
      </c>
      <c r="P191" s="109">
        <v>185.81</v>
      </c>
      <c r="Q191" s="109">
        <v>2159.25</v>
      </c>
    </row>
    <row r="192" spans="2:17" x14ac:dyDescent="0.25">
      <c r="B192" s="114">
        <v>10</v>
      </c>
      <c r="C192" s="114">
        <v>18</v>
      </c>
      <c r="D192" s="114">
        <v>12</v>
      </c>
      <c r="E192" s="154" cm="1">
        <f t="array" ref="E192">IF(ISBLANK(MainData[[#This Row],[EventID]]),0,IFERROR(INDEX(MainData[],MATCH(MainData[[#This Row],[EventID]],IF(MainData[Product]="Date",MainData[EventID],0),0),12),0))</f>
        <v>44574</v>
      </c>
      <c r="F192" s="155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2" s="155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157" t="s">
        <v>84</v>
      </c>
      <c r="J192" t="s">
        <v>187</v>
      </c>
      <c r="K192" s="2" t="s">
        <v>157</v>
      </c>
      <c r="L192" s="2" t="s">
        <v>81</v>
      </c>
      <c r="M192" s="2">
        <v>1</v>
      </c>
      <c r="N192" s="2"/>
      <c r="O192" s="109"/>
      <c r="P192" s="109"/>
      <c r="Q192" s="109"/>
    </row>
    <row r="193" spans="2:17" x14ac:dyDescent="0.25">
      <c r="B193" s="114">
        <v>10</v>
      </c>
      <c r="C193" s="114">
        <v>18</v>
      </c>
      <c r="D193" s="114">
        <v>12</v>
      </c>
      <c r="E193" s="154" cm="1">
        <f t="array" ref="E193">IF(ISBLANK(MainData[[#This Row],[EventID]]),0,IFERROR(INDEX(MainData[],MATCH(MainData[[#This Row],[EventID]],IF(MainData[Product]="Date",MainData[EventID],0),0),12),0))</f>
        <v>44574</v>
      </c>
      <c r="F193" s="155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3" s="155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3" s="157" t="s">
        <v>84</v>
      </c>
      <c r="J193" t="s">
        <v>187</v>
      </c>
      <c r="K193" s="2" t="s">
        <v>157</v>
      </c>
      <c r="L193" s="2" t="s">
        <v>0</v>
      </c>
      <c r="M193" s="158">
        <v>44574</v>
      </c>
      <c r="N193" s="2"/>
      <c r="O193" s="109"/>
      <c r="P193" s="109"/>
      <c r="Q193" s="109"/>
    </row>
    <row r="194" spans="2:17" x14ac:dyDescent="0.25">
      <c r="B194" s="114">
        <v>10</v>
      </c>
      <c r="C194" s="114">
        <v>18</v>
      </c>
      <c r="D194" s="114">
        <v>12</v>
      </c>
      <c r="E194" s="154" cm="1">
        <f t="array" ref="E194">IF(ISBLANK(MainData[[#This Row],[EventID]]),0,IFERROR(INDEX(MainData[],MATCH(MainData[[#This Row],[EventID]],IF(MainData[Product]="Date",MainData[EventID],0),0),12),0))</f>
        <v>44574</v>
      </c>
      <c r="F194" s="155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4" s="155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4" s="157" t="s">
        <v>84</v>
      </c>
      <c r="J194" t="s">
        <v>187</v>
      </c>
      <c r="K194" s="2" t="s">
        <v>157</v>
      </c>
      <c r="L194" s="2" t="s">
        <v>82</v>
      </c>
      <c r="M194" s="2">
        <v>717550</v>
      </c>
      <c r="N194" s="2"/>
      <c r="O194" s="109"/>
      <c r="P194" s="109"/>
      <c r="Q194" s="109"/>
    </row>
    <row r="195" spans="2:17" x14ac:dyDescent="0.25">
      <c r="B195" s="114">
        <v>10</v>
      </c>
      <c r="C195" s="114">
        <v>18</v>
      </c>
      <c r="D195" s="114">
        <v>12</v>
      </c>
      <c r="E195" s="154" cm="1">
        <f t="array" ref="E195">IF(ISBLANK(MainData[[#This Row],[EventID]]),0,IFERROR(INDEX(MainData[],MATCH(MainData[[#This Row],[EventID]],IF(MainData[Product]="Date",MainData[EventID],0),0),12),0))</f>
        <v>44574</v>
      </c>
      <c r="F195" s="155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5" s="155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5" s="157" t="s">
        <v>84</v>
      </c>
      <c r="J195" t="s">
        <v>187</v>
      </c>
      <c r="K195" s="2" t="s">
        <v>157</v>
      </c>
      <c r="L195" s="2" t="s">
        <v>175</v>
      </c>
      <c r="M195" s="2" t="s">
        <v>455</v>
      </c>
      <c r="N195" s="2"/>
      <c r="O195" s="109"/>
      <c r="P195" s="109"/>
      <c r="Q195" s="109"/>
    </row>
    <row r="196" spans="2:17" x14ac:dyDescent="0.25">
      <c r="B196" s="114">
        <v>10</v>
      </c>
      <c r="C196" s="114">
        <v>18</v>
      </c>
      <c r="D196" s="114">
        <v>12</v>
      </c>
      <c r="E196" s="154" cm="1">
        <f t="array" ref="E196">IF(ISBLANK(MainData[[#This Row],[EventID]]),0,IFERROR(INDEX(MainData[],MATCH(MainData[[#This Row],[EventID]],IF(MainData[Product]="Date",MainData[EventID],0),0),12),0))</f>
        <v>44574</v>
      </c>
      <c r="F196" s="155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6" s="155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6" s="157" t="s">
        <v>84</v>
      </c>
      <c r="J196" t="s">
        <v>187</v>
      </c>
      <c r="K196" s="2" t="s">
        <v>157</v>
      </c>
      <c r="L196" s="2" t="s">
        <v>138</v>
      </c>
      <c r="M196" s="2">
        <v>45</v>
      </c>
      <c r="N196" s="2"/>
      <c r="O196" s="109"/>
      <c r="P196" s="109"/>
      <c r="Q196" s="109"/>
    </row>
    <row r="197" spans="2:17" x14ac:dyDescent="0.25">
      <c r="B197" s="114">
        <v>10</v>
      </c>
      <c r="C197" s="114">
        <v>18</v>
      </c>
      <c r="D197" s="114">
        <v>12</v>
      </c>
      <c r="E197" s="154" cm="1">
        <f t="array" ref="E197">IF(ISBLANK(MainData[[#This Row],[EventID]]),0,IFERROR(INDEX(MainData[],MATCH(MainData[[#This Row],[EventID]],IF(MainData[Product]="Date",MainData[EventID],0),0),12),0))</f>
        <v>44574</v>
      </c>
      <c r="F197" s="155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7" s="155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7" s="157" t="s">
        <v>84</v>
      </c>
      <c r="J197" t="s">
        <v>187</v>
      </c>
      <c r="K197" s="2" t="s">
        <v>157</v>
      </c>
      <c r="L197" s="2" t="s">
        <v>86</v>
      </c>
      <c r="M197" s="2">
        <v>1</v>
      </c>
      <c r="N197" s="2"/>
      <c r="O197" s="109"/>
      <c r="P197" s="109"/>
      <c r="Q197" s="109"/>
    </row>
    <row r="198" spans="2:17" x14ac:dyDescent="0.25">
      <c r="B198" s="114">
        <v>10</v>
      </c>
      <c r="C198" s="114">
        <v>18</v>
      </c>
      <c r="D198" s="114">
        <v>12</v>
      </c>
      <c r="E198" s="154" cm="1">
        <f t="array" ref="E198">IF(ISBLANK(MainData[[#This Row],[EventID]]),0,IFERROR(INDEX(MainData[],MATCH(MainData[[#This Row],[EventID]],IF(MainData[Product]="Date",MainData[EventID],0),0),12),0))</f>
        <v>44574</v>
      </c>
      <c r="F198" s="155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8" s="155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8" s="157" t="s">
        <v>84</v>
      </c>
      <c r="J198" t="s">
        <v>187</v>
      </c>
      <c r="K198" s="2" t="s">
        <v>157</v>
      </c>
      <c r="L198" s="2" t="s">
        <v>118</v>
      </c>
      <c r="M198" s="2" t="s">
        <v>488</v>
      </c>
      <c r="N198" s="2"/>
      <c r="O198" s="109"/>
      <c r="P198" s="109"/>
      <c r="Q198" s="109"/>
    </row>
    <row r="199" spans="2:17" x14ac:dyDescent="0.25">
      <c r="B199" s="114">
        <v>10</v>
      </c>
      <c r="C199" s="114">
        <v>18</v>
      </c>
      <c r="D199" s="114">
        <v>12</v>
      </c>
      <c r="E199" s="154" cm="1">
        <f t="array" ref="E199">IF(ISBLANK(MainData[[#This Row],[EventID]]),0,IFERROR(INDEX(MainData[],MATCH(MainData[[#This Row],[EventID]],IF(MainData[Product]="Date",MainData[EventID],0),0),12),0))</f>
        <v>44574</v>
      </c>
      <c r="F199" s="155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9" s="155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9" s="20" t="s">
        <v>85</v>
      </c>
      <c r="J199" t="s">
        <v>20</v>
      </c>
      <c r="K199" s="2" t="s">
        <v>116</v>
      </c>
      <c r="L199" s="2" t="s">
        <v>88</v>
      </c>
      <c r="M199" s="2" t="s">
        <v>189</v>
      </c>
      <c r="N199" s="2" t="s">
        <v>233</v>
      </c>
      <c r="O199" s="109">
        <v>1</v>
      </c>
      <c r="P199" s="109"/>
      <c r="Q199" s="109"/>
    </row>
    <row r="200" spans="2:17" x14ac:dyDescent="0.25">
      <c r="B200" s="114">
        <v>10</v>
      </c>
      <c r="C200" s="114">
        <v>18</v>
      </c>
      <c r="D200" s="114">
        <v>12</v>
      </c>
      <c r="E200" s="154" cm="1">
        <f t="array" ref="E200">IF(ISBLANK(MainData[[#This Row],[EventID]]),0,IFERROR(INDEX(MainData[],MATCH(MainData[[#This Row],[EventID]],IF(MainData[Product]="Date",MainData[EventID],0),0),12),0))</f>
        <v>44574</v>
      </c>
      <c r="F200" s="155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0" s="155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0" s="20" t="s">
        <v>85</v>
      </c>
      <c r="J200" t="s">
        <v>20</v>
      </c>
      <c r="K200" s="2" t="s">
        <v>116</v>
      </c>
      <c r="L200" s="2" t="s">
        <v>87</v>
      </c>
      <c r="M200" s="2" t="s">
        <v>188</v>
      </c>
      <c r="N200" s="2" t="s">
        <v>233</v>
      </c>
      <c r="O200" s="109">
        <v>1</v>
      </c>
      <c r="P200" s="109"/>
      <c r="Q200" s="109">
        <v>100</v>
      </c>
    </row>
    <row r="201" spans="2:17" x14ac:dyDescent="0.25">
      <c r="B201" s="114">
        <v>10</v>
      </c>
      <c r="C201" s="114">
        <v>18</v>
      </c>
      <c r="D201" s="114">
        <v>12</v>
      </c>
      <c r="E201" s="154" cm="1">
        <f t="array" ref="E201">IF(ISBLANK(MainData[[#This Row],[EventID]]),0,IFERROR(INDEX(MainData[],MATCH(MainData[[#This Row],[EventID]],IF(MainData[Product]="Date",MainData[EventID],0),0),12),0))</f>
        <v>44574</v>
      </c>
      <c r="F201" s="155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1" s="155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1" s="157" t="s">
        <v>85</v>
      </c>
      <c r="J201" t="s">
        <v>20</v>
      </c>
      <c r="K201" s="2" t="s">
        <v>29</v>
      </c>
      <c r="L201" s="2" t="s">
        <v>35</v>
      </c>
      <c r="M201" s="2" t="s">
        <v>382</v>
      </c>
      <c r="N201" s="2" t="s">
        <v>234</v>
      </c>
      <c r="O201" s="109">
        <v>1</v>
      </c>
      <c r="P201" s="109">
        <v>25</v>
      </c>
      <c r="Q201" s="109">
        <v>200</v>
      </c>
    </row>
    <row r="202" spans="2:17" x14ac:dyDescent="0.25">
      <c r="B202" s="114">
        <v>10</v>
      </c>
      <c r="C202" s="114">
        <v>18</v>
      </c>
      <c r="D202" s="114">
        <v>12</v>
      </c>
      <c r="E202" s="154" cm="1">
        <f t="array" ref="E202">IF(ISBLANK(MainData[[#This Row],[EventID]]),0,IFERROR(INDEX(MainData[],MATCH(MainData[[#This Row],[EventID]],IF(MainData[Product]="Date",MainData[EventID],0),0),12),0))</f>
        <v>44574</v>
      </c>
      <c r="F202" s="155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2" s="155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2" s="20" t="s">
        <v>85</v>
      </c>
      <c r="J202" t="s">
        <v>20</v>
      </c>
      <c r="K202" s="2" t="s">
        <v>29</v>
      </c>
      <c r="L202" s="2" t="s">
        <v>65</v>
      </c>
      <c r="M202" s="2" t="s">
        <v>383</v>
      </c>
      <c r="N202" s="2" t="s">
        <v>234</v>
      </c>
      <c r="O202" s="109">
        <v>1</v>
      </c>
      <c r="P202" s="109">
        <v>1.82</v>
      </c>
      <c r="Q202" s="109">
        <v>25</v>
      </c>
    </row>
    <row r="203" spans="2:17" x14ac:dyDescent="0.25">
      <c r="B203" s="114">
        <v>10</v>
      </c>
      <c r="C203" s="114">
        <v>18</v>
      </c>
      <c r="D203" s="114">
        <v>12</v>
      </c>
      <c r="E203" s="154" cm="1">
        <f t="array" ref="E203">IF(ISBLANK(MainData[[#This Row],[EventID]]),0,IFERROR(INDEX(MainData[],MATCH(MainData[[#This Row],[EventID]],IF(MainData[Product]="Date",MainData[EventID],0),0),12),0))</f>
        <v>44574</v>
      </c>
      <c r="F203" s="155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3" s="155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3" s="157" t="s">
        <v>85</v>
      </c>
      <c r="J203" t="s">
        <v>20</v>
      </c>
      <c r="K203" s="2" t="s">
        <v>29</v>
      </c>
      <c r="L203" s="2" t="s">
        <v>25</v>
      </c>
      <c r="M203" s="2" t="s">
        <v>385</v>
      </c>
      <c r="N203" s="2" t="s">
        <v>234</v>
      </c>
      <c r="O203" s="109">
        <v>1</v>
      </c>
      <c r="P203" s="109">
        <v>26</v>
      </c>
      <c r="Q203" s="109">
        <v>250</v>
      </c>
    </row>
    <row r="204" spans="2:17" x14ac:dyDescent="0.25">
      <c r="B204" s="114">
        <v>10</v>
      </c>
      <c r="C204" s="114">
        <v>19</v>
      </c>
      <c r="D204" s="114">
        <v>13</v>
      </c>
      <c r="E204" s="154" cm="1">
        <f t="array" ref="E204">IF(ISBLANK(MainData[[#This Row],[EventID]]),0,IFERROR(INDEX(MainData[],MATCH(MainData[[#This Row],[EventID]],IF(MainData[Product]="Date",MainData[EventID],0),0),12),0))</f>
        <v>44574</v>
      </c>
      <c r="F204" s="155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4" s="155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4" s="157" t="s">
        <v>84</v>
      </c>
      <c r="J204" t="s">
        <v>187</v>
      </c>
      <c r="K204" s="2" t="s">
        <v>157</v>
      </c>
      <c r="L204" s="2" t="s">
        <v>81</v>
      </c>
      <c r="M204" s="2">
        <v>1</v>
      </c>
      <c r="N204" s="2"/>
      <c r="O204" s="109"/>
      <c r="P204" s="109"/>
      <c r="Q204" s="109"/>
    </row>
    <row r="205" spans="2:17" x14ac:dyDescent="0.25">
      <c r="B205" s="114">
        <v>10</v>
      </c>
      <c r="C205" s="114">
        <v>19</v>
      </c>
      <c r="D205" s="114">
        <v>13</v>
      </c>
      <c r="E205" s="154" cm="1">
        <f t="array" ref="E205">IF(ISBLANK(MainData[[#This Row],[EventID]]),0,IFERROR(INDEX(MainData[],MATCH(MainData[[#This Row],[EventID]],IF(MainData[Product]="Date",MainData[EventID],0),0),12),0))</f>
        <v>44574</v>
      </c>
      <c r="F205" s="155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5" s="155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5" s="157" t="s">
        <v>84</v>
      </c>
      <c r="J205" t="s">
        <v>187</v>
      </c>
      <c r="K205" s="2" t="s">
        <v>157</v>
      </c>
      <c r="L205" s="2" t="s">
        <v>0</v>
      </c>
      <c r="M205" s="158">
        <v>44574</v>
      </c>
      <c r="N205" s="2"/>
      <c r="O205" s="109"/>
      <c r="P205" s="109"/>
      <c r="Q205" s="109"/>
    </row>
    <row r="206" spans="2:17" x14ac:dyDescent="0.25">
      <c r="B206" s="114">
        <v>10</v>
      </c>
      <c r="C206" s="114">
        <v>19</v>
      </c>
      <c r="D206" s="114">
        <v>13</v>
      </c>
      <c r="E206" s="154" cm="1">
        <f t="array" ref="E206">IF(ISBLANK(MainData[[#This Row],[EventID]]),0,IFERROR(INDEX(MainData[],MATCH(MainData[[#This Row],[EventID]],IF(MainData[Product]="Date",MainData[EventID],0),0),12),0))</f>
        <v>44574</v>
      </c>
      <c r="F206" s="155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6" s="155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6" s="157" t="s">
        <v>84</v>
      </c>
      <c r="J206" t="s">
        <v>187</v>
      </c>
      <c r="K206" s="2" t="s">
        <v>157</v>
      </c>
      <c r="L206" s="2" t="s">
        <v>82</v>
      </c>
      <c r="M206" s="2">
        <v>786014</v>
      </c>
      <c r="N206" s="2"/>
      <c r="O206" s="109"/>
      <c r="P206" s="109"/>
      <c r="Q206" s="109"/>
    </row>
    <row r="207" spans="2:17" x14ac:dyDescent="0.25">
      <c r="B207" s="114">
        <v>10</v>
      </c>
      <c r="C207" s="114">
        <v>19</v>
      </c>
      <c r="D207" s="114">
        <v>13</v>
      </c>
      <c r="E207" s="154" cm="1">
        <f t="array" ref="E207">IF(ISBLANK(MainData[[#This Row],[EventID]]),0,IFERROR(INDEX(MainData[],MATCH(MainData[[#This Row],[EventID]],IF(MainData[Product]="Date",MainData[EventID],0),0),12),0))</f>
        <v>44574</v>
      </c>
      <c r="F207" s="155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7" s="155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7" s="157" t="s">
        <v>84</v>
      </c>
      <c r="J207" t="s">
        <v>187</v>
      </c>
      <c r="K207" s="2" t="s">
        <v>157</v>
      </c>
      <c r="L207" s="2" t="s">
        <v>175</v>
      </c>
      <c r="M207" s="2" t="s">
        <v>455</v>
      </c>
      <c r="N207" s="2"/>
      <c r="O207" s="109"/>
      <c r="P207" s="109"/>
      <c r="Q207" s="109"/>
    </row>
    <row r="208" spans="2:17" x14ac:dyDescent="0.25">
      <c r="B208" s="114">
        <v>10</v>
      </c>
      <c r="C208" s="114">
        <v>19</v>
      </c>
      <c r="D208" s="114">
        <v>13</v>
      </c>
      <c r="E208" s="154" cm="1">
        <f t="array" ref="E208">IF(ISBLANK(MainData[[#This Row],[EventID]]),0,IFERROR(INDEX(MainData[],MATCH(MainData[[#This Row],[EventID]],IF(MainData[Product]="Date",MainData[EventID],0),0),12),0))</f>
        <v>44574</v>
      </c>
      <c r="F208" s="155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8" s="155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8" s="157" t="s">
        <v>84</v>
      </c>
      <c r="J208" t="s">
        <v>187</v>
      </c>
      <c r="K208" s="2" t="s">
        <v>157</v>
      </c>
      <c r="L208" s="2" t="s">
        <v>138</v>
      </c>
      <c r="M208" s="2">
        <v>59</v>
      </c>
      <c r="N208" s="2"/>
      <c r="O208" s="109"/>
      <c r="P208" s="109"/>
      <c r="Q208" s="109"/>
    </row>
    <row r="209" spans="2:17" x14ac:dyDescent="0.25">
      <c r="B209" s="114">
        <v>10</v>
      </c>
      <c r="C209" s="114">
        <v>19</v>
      </c>
      <c r="D209" s="114">
        <v>13</v>
      </c>
      <c r="E209" s="154" cm="1">
        <f t="array" ref="E209">IF(ISBLANK(MainData[[#This Row],[EventID]]),0,IFERROR(INDEX(MainData[],MATCH(MainData[[#This Row],[EventID]],IF(MainData[Product]="Date",MainData[EventID],0),0),12),0))</f>
        <v>44574</v>
      </c>
      <c r="F209" s="155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9" s="155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9" s="157" t="s">
        <v>84</v>
      </c>
      <c r="J209" t="s">
        <v>187</v>
      </c>
      <c r="K209" s="2" t="s">
        <v>157</v>
      </c>
      <c r="L209" s="2" t="s">
        <v>86</v>
      </c>
      <c r="M209" s="2">
        <v>1</v>
      </c>
      <c r="N209" s="2"/>
      <c r="O209" s="109"/>
      <c r="P209" s="109"/>
      <c r="Q209" s="109"/>
    </row>
    <row r="210" spans="2:17" x14ac:dyDescent="0.25">
      <c r="B210" s="114">
        <v>10</v>
      </c>
      <c r="C210" s="114">
        <v>19</v>
      </c>
      <c r="D210" s="114">
        <v>13</v>
      </c>
      <c r="E210" s="154" cm="1">
        <f t="array" ref="E210">IF(ISBLANK(MainData[[#This Row],[EventID]]),0,IFERROR(INDEX(MainData[],MATCH(MainData[[#This Row],[EventID]],IF(MainData[Product]="Date",MainData[EventID],0),0),12),0))</f>
        <v>44574</v>
      </c>
      <c r="F210" s="155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0" s="155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0" s="157" t="s">
        <v>84</v>
      </c>
      <c r="J210" t="s">
        <v>187</v>
      </c>
      <c r="K210" s="2" t="s">
        <v>157</v>
      </c>
      <c r="L210" s="2" t="s">
        <v>118</v>
      </c>
      <c r="M210" s="2" t="s">
        <v>458</v>
      </c>
      <c r="N210" s="2"/>
      <c r="O210" s="109"/>
      <c r="P210" s="109"/>
      <c r="Q210" s="109"/>
    </row>
    <row r="211" spans="2:17" x14ac:dyDescent="0.25">
      <c r="B211" s="114">
        <v>10</v>
      </c>
      <c r="C211" s="114">
        <v>19</v>
      </c>
      <c r="D211" s="114">
        <v>13</v>
      </c>
      <c r="E211" s="154" cm="1">
        <f t="array" ref="E211">IF(ISBLANK(MainData[[#This Row],[EventID]]),0,IFERROR(INDEX(MainData[],MATCH(MainData[[#This Row],[EventID]],IF(MainData[Product]="Date",MainData[EventID],0),0),12),0))</f>
        <v>44574</v>
      </c>
      <c r="F211" s="155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1" s="155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1" s="20" t="s">
        <v>85</v>
      </c>
      <c r="J211" t="s">
        <v>20</v>
      </c>
      <c r="K211" s="2" t="s">
        <v>116</v>
      </c>
      <c r="L211" s="2" t="s">
        <v>88</v>
      </c>
      <c r="M211" s="2" t="s">
        <v>189</v>
      </c>
      <c r="N211" s="2" t="s">
        <v>233</v>
      </c>
      <c r="O211" s="109">
        <v>1</v>
      </c>
      <c r="P211" s="109"/>
      <c r="Q211" s="109"/>
    </row>
    <row r="212" spans="2:17" x14ac:dyDescent="0.25">
      <c r="B212" s="114">
        <v>10</v>
      </c>
      <c r="C212" s="114">
        <v>19</v>
      </c>
      <c r="D212" s="114">
        <v>13</v>
      </c>
      <c r="E212" s="154" cm="1">
        <f t="array" ref="E212">IF(ISBLANK(MainData[[#This Row],[EventID]]),0,IFERROR(INDEX(MainData[],MATCH(MainData[[#This Row],[EventID]],IF(MainData[Product]="Date",MainData[EventID],0),0),12),0))</f>
        <v>44574</v>
      </c>
      <c r="F212" s="155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2" s="155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2" s="20" t="s">
        <v>85</v>
      </c>
      <c r="J212" t="s">
        <v>20</v>
      </c>
      <c r="K212" s="2" t="s">
        <v>116</v>
      </c>
      <c r="L212" s="2" t="s">
        <v>87</v>
      </c>
      <c r="M212" s="2" t="s">
        <v>188</v>
      </c>
      <c r="N212" s="2" t="s">
        <v>233</v>
      </c>
      <c r="O212" s="109">
        <v>1</v>
      </c>
      <c r="P212" s="109"/>
      <c r="Q212" s="109">
        <v>100</v>
      </c>
    </row>
    <row r="213" spans="2:17" x14ac:dyDescent="0.25">
      <c r="B213" s="114">
        <v>10</v>
      </c>
      <c r="C213" s="114">
        <v>19</v>
      </c>
      <c r="D213" s="114">
        <v>13</v>
      </c>
      <c r="E213" s="154" cm="1">
        <f t="array" ref="E213">IF(ISBLANK(MainData[[#This Row],[EventID]]),0,IFERROR(INDEX(MainData[],MATCH(MainData[[#This Row],[EventID]],IF(MainData[Product]="Date",MainData[EventID],0),0),12),0))</f>
        <v>44574</v>
      </c>
      <c r="F213" s="155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3" s="155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3" s="157" t="s">
        <v>85</v>
      </c>
      <c r="J213" t="s">
        <v>20</v>
      </c>
      <c r="K213" s="2" t="s">
        <v>29</v>
      </c>
      <c r="L213" s="2" t="s">
        <v>35</v>
      </c>
      <c r="M213" s="2" t="s">
        <v>382</v>
      </c>
      <c r="N213" s="2" t="s">
        <v>234</v>
      </c>
      <c r="O213" s="109">
        <v>1</v>
      </c>
      <c r="P213" s="109">
        <v>10</v>
      </c>
      <c r="Q213" s="109">
        <v>125</v>
      </c>
    </row>
    <row r="214" spans="2:17" x14ac:dyDescent="0.25">
      <c r="B214" s="114">
        <v>10</v>
      </c>
      <c r="C214" s="114">
        <v>19</v>
      </c>
      <c r="D214" s="114">
        <v>13</v>
      </c>
      <c r="E214" s="154" cm="1">
        <f t="array" ref="E214">IF(ISBLANK(MainData[[#This Row],[EventID]]),0,IFERROR(INDEX(MainData[],MATCH(MainData[[#This Row],[EventID]],IF(MainData[Product]="Date",MainData[EventID],0),0),12),0))</f>
        <v>44574</v>
      </c>
      <c r="F214" s="155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4" s="155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4" s="20" t="s">
        <v>85</v>
      </c>
      <c r="J214" t="s">
        <v>20</v>
      </c>
      <c r="K214" s="2" t="s">
        <v>29</v>
      </c>
      <c r="L214" s="2" t="s">
        <v>36</v>
      </c>
      <c r="M214" s="2" t="s">
        <v>384</v>
      </c>
      <c r="N214" s="2" t="s">
        <v>234</v>
      </c>
      <c r="O214" s="109">
        <v>1</v>
      </c>
      <c r="P214" s="109">
        <v>20</v>
      </c>
      <c r="Q214" s="109">
        <v>329</v>
      </c>
    </row>
    <row r="215" spans="2:17" x14ac:dyDescent="0.25">
      <c r="B215" s="114">
        <v>10</v>
      </c>
      <c r="C215" s="114">
        <v>19</v>
      </c>
      <c r="D215" s="114">
        <v>13</v>
      </c>
      <c r="E215" s="154" cm="1">
        <f t="array" ref="E215">IF(ISBLANK(MainData[[#This Row],[EventID]]),0,IFERROR(INDEX(MainData[],MATCH(MainData[[#This Row],[EventID]],IF(MainData[Product]="Date",MainData[EventID],0),0),12),0))</f>
        <v>44574</v>
      </c>
      <c r="F215" s="155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5" s="155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5" s="157" t="s">
        <v>85</v>
      </c>
      <c r="J215" t="s">
        <v>20</v>
      </c>
      <c r="K215" s="2" t="s">
        <v>29</v>
      </c>
      <c r="L215" s="2" t="s">
        <v>65</v>
      </c>
      <c r="M215" s="2" t="s">
        <v>383</v>
      </c>
      <c r="N215" s="2" t="s">
        <v>234</v>
      </c>
      <c r="O215" s="109">
        <v>1</v>
      </c>
      <c r="P215" s="109">
        <v>0.25</v>
      </c>
      <c r="Q215" s="109">
        <v>5</v>
      </c>
    </row>
    <row r="216" spans="2:17" x14ac:dyDescent="0.25">
      <c r="B216" s="114">
        <v>10</v>
      </c>
      <c r="C216" s="114">
        <v>19</v>
      </c>
      <c r="D216" s="114">
        <v>13</v>
      </c>
      <c r="E216" s="154" cm="1">
        <f t="array" ref="E216">IF(ISBLANK(MainData[[#This Row],[EventID]]),0,IFERROR(INDEX(MainData[],MATCH(MainData[[#This Row],[EventID]],IF(MainData[Product]="Date",MainData[EventID],0),0),12),0))</f>
        <v>44574</v>
      </c>
      <c r="F216" s="155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6" s="155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6" s="157" t="s">
        <v>85</v>
      </c>
      <c r="J216" t="s">
        <v>20</v>
      </c>
      <c r="K216" s="2" t="s">
        <v>29</v>
      </c>
      <c r="L216" s="2" t="s">
        <v>25</v>
      </c>
      <c r="M216" s="2" t="s">
        <v>385</v>
      </c>
      <c r="N216" s="2" t="s">
        <v>234</v>
      </c>
      <c r="O216" s="109">
        <v>1</v>
      </c>
      <c r="P216" s="109">
        <v>15</v>
      </c>
      <c r="Q216" s="109">
        <v>150</v>
      </c>
    </row>
    <row r="217" spans="2:17" x14ac:dyDescent="0.25">
      <c r="B217" s="114">
        <v>4</v>
      </c>
      <c r="C217" s="114">
        <v>7</v>
      </c>
      <c r="D217" s="114">
        <v>10</v>
      </c>
      <c r="E217" s="154" cm="1">
        <f t="array" ref="E217">IF(ISBLANK(MainData[[#This Row],[EventID]]),0,IFERROR(INDEX(MainData[],MATCH(MainData[[#This Row],[EventID]],IF(MainData[Product]="Date",MainData[EventID],0),0),12),0))</f>
        <v>44574</v>
      </c>
      <c r="F217" s="155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7" s="155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7" s="157" t="s">
        <v>84</v>
      </c>
      <c r="J217" t="s">
        <v>187</v>
      </c>
      <c r="K217" s="2" t="s">
        <v>157</v>
      </c>
      <c r="L217" s="2" t="s">
        <v>81</v>
      </c>
      <c r="M217" s="2">
        <v>1</v>
      </c>
      <c r="N217" s="2"/>
      <c r="O217" s="109"/>
      <c r="P217" s="109"/>
      <c r="Q217" s="109"/>
    </row>
    <row r="218" spans="2:17" x14ac:dyDescent="0.25">
      <c r="B218" s="114">
        <v>4</v>
      </c>
      <c r="C218" s="114">
        <v>7</v>
      </c>
      <c r="D218" s="114">
        <v>116</v>
      </c>
      <c r="E218" s="154" cm="1">
        <f t="array" ref="E218">IF(ISBLANK(MainData[[#This Row],[EventID]]),0,IFERROR(INDEX(MainData[],MATCH(MainData[[#This Row],[EventID]],IF(MainData[Product]="Date",MainData[EventID],0),0),12),0))</f>
        <v>44574</v>
      </c>
      <c r="F218" s="155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8" s="155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8" s="157" t="s">
        <v>84</v>
      </c>
      <c r="J218" t="s">
        <v>187</v>
      </c>
      <c r="K218" s="2" t="s">
        <v>157</v>
      </c>
      <c r="L218" s="2" t="s">
        <v>81</v>
      </c>
      <c r="M218" s="2">
        <v>2</v>
      </c>
      <c r="N218" s="2"/>
      <c r="O218" s="109"/>
      <c r="P218" s="109"/>
      <c r="Q218" s="109"/>
    </row>
    <row r="219" spans="2:17" x14ac:dyDescent="0.25">
      <c r="B219" s="114">
        <v>4</v>
      </c>
      <c r="C219" s="114">
        <v>7</v>
      </c>
      <c r="D219" s="114">
        <v>10</v>
      </c>
      <c r="E219" s="154" cm="1">
        <f t="array" ref="E219">IF(ISBLANK(MainData[[#This Row],[EventID]]),0,IFERROR(INDEX(MainData[],MATCH(MainData[[#This Row],[EventID]],IF(MainData[Product]="Date",MainData[EventID],0),0),12),0))</f>
        <v>44574</v>
      </c>
      <c r="F219" s="155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9" s="155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9" s="157" t="s">
        <v>84</v>
      </c>
      <c r="J219" t="s">
        <v>187</v>
      </c>
      <c r="K219" s="2" t="s">
        <v>157</v>
      </c>
      <c r="L219" s="2" t="s">
        <v>164</v>
      </c>
      <c r="M219" s="2" t="s">
        <v>408</v>
      </c>
      <c r="N219" s="2"/>
      <c r="O219" s="109"/>
      <c r="P219" s="109"/>
      <c r="Q219" s="109"/>
    </row>
    <row r="220" spans="2:17" x14ac:dyDescent="0.25">
      <c r="B220" s="114">
        <v>4</v>
      </c>
      <c r="C220" s="114">
        <v>7</v>
      </c>
      <c r="D220" s="114">
        <v>10</v>
      </c>
      <c r="E220" s="154" cm="1">
        <f t="array" ref="E220">IF(ISBLANK(MainData[[#This Row],[EventID]]),0,IFERROR(INDEX(MainData[],MATCH(MainData[[#This Row],[EventID]],IF(MainData[Product]="Date",MainData[EventID],0),0),12),0))</f>
        <v>44574</v>
      </c>
      <c r="F220" s="155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0" s="155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0" s="157" t="s">
        <v>84</v>
      </c>
      <c r="J220" t="s">
        <v>187</v>
      </c>
      <c r="K220" s="2" t="s">
        <v>157</v>
      </c>
      <c r="L220" s="2" t="s">
        <v>0</v>
      </c>
      <c r="M220" s="158">
        <v>44574</v>
      </c>
      <c r="N220" s="2"/>
      <c r="O220" s="109"/>
      <c r="P220" s="109"/>
      <c r="Q220" s="109"/>
    </row>
    <row r="221" spans="2:17" x14ac:dyDescent="0.25">
      <c r="B221" s="114">
        <v>4</v>
      </c>
      <c r="C221" s="114">
        <v>7</v>
      </c>
      <c r="D221" s="114">
        <v>10</v>
      </c>
      <c r="E221" s="154" cm="1">
        <f t="array" ref="E221">IF(ISBLANK(MainData[[#This Row],[EventID]]),0,IFERROR(INDEX(MainData[],MATCH(MainData[[#This Row],[EventID]],IF(MainData[Product]="Date",MainData[EventID],0),0),12),0))</f>
        <v>44574</v>
      </c>
      <c r="F221" s="155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1" s="155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1" s="157" t="s">
        <v>84</v>
      </c>
      <c r="J221" t="s">
        <v>187</v>
      </c>
      <c r="K221" s="2" t="s">
        <v>157</v>
      </c>
      <c r="L221" s="2" t="s">
        <v>82</v>
      </c>
      <c r="M221" s="2">
        <v>219252</v>
      </c>
      <c r="N221" s="2"/>
      <c r="O221" s="109"/>
      <c r="P221" s="109"/>
      <c r="Q221" s="109"/>
    </row>
    <row r="222" spans="2:17" x14ac:dyDescent="0.25">
      <c r="B222" s="114">
        <v>4</v>
      </c>
      <c r="C222" s="114">
        <v>7</v>
      </c>
      <c r="D222" s="114">
        <v>10</v>
      </c>
      <c r="E222" s="154" cm="1">
        <f t="array" ref="E222">IF(ISBLANK(MainData[[#This Row],[EventID]]),0,IFERROR(INDEX(MainData[],MATCH(MainData[[#This Row],[EventID]],IF(MainData[Product]="Date",MainData[EventID],0),0),12),0))</f>
        <v>44574</v>
      </c>
      <c r="F222" s="155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2" s="155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2" s="157" t="s">
        <v>84</v>
      </c>
      <c r="J222" t="s">
        <v>187</v>
      </c>
      <c r="K222" s="2" t="s">
        <v>157</v>
      </c>
      <c r="L222" s="2" t="s">
        <v>175</v>
      </c>
      <c r="M222" s="2" t="s">
        <v>482</v>
      </c>
      <c r="N222" s="2"/>
      <c r="O222" s="109"/>
      <c r="P222" s="109"/>
      <c r="Q222" s="109"/>
    </row>
    <row r="223" spans="2:17" x14ac:dyDescent="0.25">
      <c r="B223" s="114">
        <v>4</v>
      </c>
      <c r="C223" s="114">
        <v>7</v>
      </c>
      <c r="D223" s="114">
        <v>10</v>
      </c>
      <c r="E223" s="154" cm="1">
        <f t="array" ref="E223">IF(ISBLANK(MainData[[#This Row],[EventID]]),0,IFERROR(INDEX(MainData[],MATCH(MainData[[#This Row],[EventID]],IF(MainData[Product]="Date",MainData[EventID],0),0),12),0))</f>
        <v>44574</v>
      </c>
      <c r="F223" s="155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3" s="155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3" s="157" t="s">
        <v>84</v>
      </c>
      <c r="J223" t="s">
        <v>187</v>
      </c>
      <c r="K223" s="2" t="s">
        <v>157</v>
      </c>
      <c r="L223" s="2" t="s">
        <v>20</v>
      </c>
      <c r="M223" s="2" t="s">
        <v>363</v>
      </c>
      <c r="N223" s="2"/>
      <c r="O223" s="109"/>
      <c r="P223" s="109"/>
      <c r="Q223" s="109"/>
    </row>
    <row r="224" spans="2:17" x14ac:dyDescent="0.25">
      <c r="B224" s="114">
        <v>4</v>
      </c>
      <c r="C224" s="114">
        <v>7</v>
      </c>
      <c r="D224" s="114">
        <v>10</v>
      </c>
      <c r="E224" s="154" cm="1">
        <f t="array" ref="E224">IF(ISBLANK(MainData[[#This Row],[EventID]]),0,IFERROR(INDEX(MainData[],MATCH(MainData[[#This Row],[EventID]],IF(MainData[Product]="Date",MainData[EventID],0),0),12),0))</f>
        <v>44574</v>
      </c>
      <c r="F224" s="155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4" s="155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4" s="157" t="s">
        <v>84</v>
      </c>
      <c r="J224" t="s">
        <v>187</v>
      </c>
      <c r="K224" s="2" t="s">
        <v>157</v>
      </c>
      <c r="L224" s="2" t="s">
        <v>138</v>
      </c>
      <c r="M224" s="2">
        <v>55</v>
      </c>
      <c r="N224" s="2"/>
      <c r="O224" s="109"/>
      <c r="P224" s="109"/>
      <c r="Q224" s="109"/>
    </row>
    <row r="225" spans="2:17" x14ac:dyDescent="0.25">
      <c r="B225" s="114">
        <v>4</v>
      </c>
      <c r="C225" s="114">
        <v>7</v>
      </c>
      <c r="D225" s="114">
        <v>10</v>
      </c>
      <c r="E225" s="154" cm="1">
        <f t="array" ref="E225">IF(ISBLANK(MainData[[#This Row],[EventID]]),0,IFERROR(INDEX(MainData[],MATCH(MainData[[#This Row],[EventID]],IF(MainData[Product]="Date",MainData[EventID],0),0),12),0))</f>
        <v>44574</v>
      </c>
      <c r="F225" s="155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5" s="155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5" s="157" t="s">
        <v>84</v>
      </c>
      <c r="J225" t="s">
        <v>187</v>
      </c>
      <c r="K225" s="2" t="s">
        <v>157</v>
      </c>
      <c r="L225" s="2" t="s">
        <v>86</v>
      </c>
      <c r="M225" s="2">
        <v>2</v>
      </c>
      <c r="N225" s="2"/>
      <c r="O225" s="109"/>
      <c r="P225" s="109"/>
      <c r="Q225" s="109"/>
    </row>
    <row r="226" spans="2:17" x14ac:dyDescent="0.25">
      <c r="B226" s="114">
        <v>4</v>
      </c>
      <c r="C226" s="114">
        <v>7</v>
      </c>
      <c r="D226" s="114">
        <v>10</v>
      </c>
      <c r="E226" s="154" cm="1">
        <f t="array" ref="E226">IF(ISBLANK(MainData[[#This Row],[EventID]]),0,IFERROR(INDEX(MainData[],MATCH(MainData[[#This Row],[EventID]],IF(MainData[Product]="Date",MainData[EventID],0),0),12),0))</f>
        <v>44574</v>
      </c>
      <c r="F226" s="155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6" s="155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6" s="157" t="s">
        <v>84</v>
      </c>
      <c r="J226" t="s">
        <v>187</v>
      </c>
      <c r="K226" s="2" t="s">
        <v>157</v>
      </c>
      <c r="L226" s="2" t="s">
        <v>118</v>
      </c>
      <c r="M226" s="2" t="s">
        <v>462</v>
      </c>
      <c r="N226" s="2"/>
      <c r="O226" s="109"/>
      <c r="P226" s="109"/>
      <c r="Q226" s="109"/>
    </row>
    <row r="227" spans="2:17" x14ac:dyDescent="0.25">
      <c r="B227" s="114">
        <v>4</v>
      </c>
      <c r="C227" s="114">
        <v>7</v>
      </c>
      <c r="D227" s="114">
        <v>10</v>
      </c>
      <c r="E227" s="154" cm="1">
        <f t="array" ref="E227">IF(ISBLANK(MainData[[#This Row],[EventID]]),0,IFERROR(INDEX(MainData[],MATCH(MainData[[#This Row],[EventID]],IF(MainData[Product]="Date",MainData[EventID],0),0),12),0))</f>
        <v>44574</v>
      </c>
      <c r="F227" s="155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7" s="155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7" s="157" t="s">
        <v>84</v>
      </c>
      <c r="J227" t="s">
        <v>187</v>
      </c>
      <c r="K227" s="2" t="s">
        <v>157</v>
      </c>
      <c r="L227" s="2" t="s">
        <v>165</v>
      </c>
      <c r="M227" s="2" t="s">
        <v>405</v>
      </c>
      <c r="N227" s="2"/>
      <c r="O227" s="109"/>
      <c r="P227" s="109"/>
      <c r="Q227" s="109"/>
    </row>
    <row r="228" spans="2:17" x14ac:dyDescent="0.25">
      <c r="B228" s="114">
        <v>4</v>
      </c>
      <c r="C228" s="114">
        <v>7</v>
      </c>
      <c r="D228" s="114">
        <v>116</v>
      </c>
      <c r="E228" s="154" cm="1">
        <f t="array" ref="E228">IF(ISBLANK(MainData[[#This Row],[EventID]]),0,IFERROR(INDEX(MainData[],MATCH(MainData[[#This Row],[EventID]],IF(MainData[Product]="Date",MainData[EventID],0),0),12),0))</f>
        <v>44574</v>
      </c>
      <c r="F228" s="155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8" s="155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8" s="157" t="s">
        <v>85</v>
      </c>
      <c r="J228" t="s">
        <v>22</v>
      </c>
      <c r="K228" s="2" t="s">
        <v>29</v>
      </c>
      <c r="L228" s="2" t="s">
        <v>35</v>
      </c>
      <c r="M228" s="2" t="s">
        <v>382</v>
      </c>
      <c r="N228" s="2" t="s">
        <v>234</v>
      </c>
      <c r="O228" s="109">
        <v>1</v>
      </c>
      <c r="P228" s="109">
        <v>0</v>
      </c>
      <c r="Q228" s="109"/>
    </row>
    <row r="229" spans="2:17" x14ac:dyDescent="0.25">
      <c r="B229" s="114">
        <v>4</v>
      </c>
      <c r="C229" s="114">
        <v>7</v>
      </c>
      <c r="D229" s="114">
        <v>116</v>
      </c>
      <c r="E229" s="154" cm="1">
        <f t="array" ref="E229">IF(ISBLANK(MainData[[#This Row],[EventID]]),0,IFERROR(INDEX(MainData[],MATCH(MainData[[#This Row],[EventID]],IF(MainData[Product]="Date",MainData[EventID],0),0),12),0))</f>
        <v>44574</v>
      </c>
      <c r="F229" s="155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9" s="155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9" s="157" t="s">
        <v>85</v>
      </c>
      <c r="J229" t="s">
        <v>22</v>
      </c>
      <c r="K229" s="2" t="s">
        <v>29</v>
      </c>
      <c r="L229" s="2" t="s">
        <v>36</v>
      </c>
      <c r="M229" s="2" t="s">
        <v>387</v>
      </c>
      <c r="N229" s="2" t="s">
        <v>234</v>
      </c>
      <c r="O229" s="109">
        <v>1</v>
      </c>
      <c r="P229" s="109"/>
      <c r="Q229" s="109"/>
    </row>
    <row r="230" spans="2:17" x14ac:dyDescent="0.25">
      <c r="B230" s="114">
        <v>4</v>
      </c>
      <c r="C230" s="114">
        <v>7</v>
      </c>
      <c r="D230" s="114">
        <v>116</v>
      </c>
      <c r="E230" s="154" cm="1">
        <f t="array" ref="E230">IF(ISBLANK(MainData[[#This Row],[EventID]]),0,IFERROR(INDEX(MainData[],MATCH(MainData[[#This Row],[EventID]],IF(MainData[Product]="Date",MainData[EventID],0),0),12),0))</f>
        <v>44574</v>
      </c>
      <c r="F230" s="155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0" s="155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0" s="157" t="s">
        <v>85</v>
      </c>
      <c r="J230" t="s">
        <v>22</v>
      </c>
      <c r="K230" s="2" t="s">
        <v>29</v>
      </c>
      <c r="L230" s="2" t="s">
        <v>65</v>
      </c>
      <c r="M230" s="2" t="s">
        <v>383</v>
      </c>
      <c r="N230" s="2" t="s">
        <v>234</v>
      </c>
      <c r="O230" s="109">
        <v>1</v>
      </c>
      <c r="P230" s="109">
        <v>0.5</v>
      </c>
      <c r="Q230" s="109">
        <v>5.25</v>
      </c>
    </row>
    <row r="231" spans="2:17" x14ac:dyDescent="0.25">
      <c r="B231" s="114">
        <v>4</v>
      </c>
      <c r="C231" s="114">
        <v>7</v>
      </c>
      <c r="D231" s="114">
        <v>116</v>
      </c>
      <c r="E231" s="154" cm="1">
        <f t="array" ref="E231">IF(ISBLANK(MainData[[#This Row],[EventID]]),0,IFERROR(INDEX(MainData[],MATCH(MainData[[#This Row],[EventID]],IF(MainData[Product]="Date",MainData[EventID],0),0),12),0))</f>
        <v>44574</v>
      </c>
      <c r="F231" s="155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1" s="155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1" s="20" t="s">
        <v>85</v>
      </c>
      <c r="J231" t="s">
        <v>22</v>
      </c>
      <c r="K231" s="2" t="s">
        <v>29</v>
      </c>
      <c r="L231" s="2" t="s">
        <v>25</v>
      </c>
      <c r="M231" s="2" t="s">
        <v>388</v>
      </c>
      <c r="N231" s="2" t="s">
        <v>234</v>
      </c>
      <c r="O231" s="109">
        <v>1</v>
      </c>
      <c r="P231" s="109">
        <v>0.5</v>
      </c>
      <c r="Q231" s="109">
        <v>12</v>
      </c>
    </row>
    <row r="232" spans="2:17" x14ac:dyDescent="0.25">
      <c r="B232" s="114">
        <v>4</v>
      </c>
      <c r="C232" s="114">
        <v>7</v>
      </c>
      <c r="D232" s="114">
        <v>10</v>
      </c>
      <c r="E232" s="154" cm="1">
        <f t="array" ref="E232">IF(ISBLANK(MainData[[#This Row],[EventID]]),0,IFERROR(INDEX(MainData[],MATCH(MainData[[#This Row],[EventID]],IF(MainData[Product]="Date",MainData[EventID],0),0),12),0))</f>
        <v>44574</v>
      </c>
      <c r="F232" s="155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2" s="155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2" s="20" t="s">
        <v>85</v>
      </c>
      <c r="J232" t="s">
        <v>20</v>
      </c>
      <c r="K232" s="2" t="s">
        <v>116</v>
      </c>
      <c r="L232" s="2" t="s">
        <v>88</v>
      </c>
      <c r="M232" s="2" t="s">
        <v>189</v>
      </c>
      <c r="N232" s="2" t="s">
        <v>233</v>
      </c>
      <c r="O232" s="109">
        <v>1</v>
      </c>
      <c r="P232" s="109"/>
      <c r="Q232" s="109"/>
    </row>
    <row r="233" spans="2:17" x14ac:dyDescent="0.25">
      <c r="B233" s="114">
        <v>4</v>
      </c>
      <c r="C233" s="114">
        <v>7</v>
      </c>
      <c r="D233" s="114">
        <v>10</v>
      </c>
      <c r="E233" s="154" cm="1">
        <f t="array" ref="E233">IF(ISBLANK(MainData[[#This Row],[EventID]]),0,IFERROR(INDEX(MainData[],MATCH(MainData[[#This Row],[EventID]],IF(MainData[Product]="Date",MainData[EventID],0),0),12),0))</f>
        <v>44574</v>
      </c>
      <c r="F233" s="155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3" s="155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3" s="20" t="s">
        <v>85</v>
      </c>
      <c r="J233" t="s">
        <v>20</v>
      </c>
      <c r="K233" s="2" t="s">
        <v>116</v>
      </c>
      <c r="L233" s="2" t="s">
        <v>87</v>
      </c>
      <c r="M233" s="2" t="s">
        <v>188</v>
      </c>
      <c r="N233" s="2" t="s">
        <v>233</v>
      </c>
      <c r="O233" s="109">
        <v>1</v>
      </c>
      <c r="P233" s="109"/>
      <c r="Q233" s="109">
        <v>100</v>
      </c>
    </row>
    <row r="234" spans="2:17" x14ac:dyDescent="0.25">
      <c r="B234" s="114">
        <v>25</v>
      </c>
      <c r="C234" s="114">
        <v>65</v>
      </c>
      <c r="D234" s="114">
        <v>14</v>
      </c>
      <c r="E234" s="154" cm="1">
        <f t="array" ref="E234">IF(ISBLANK(MainData[[#This Row],[EventID]]),0,IFERROR(INDEX(MainData[],MATCH(MainData[[#This Row],[EventID]],IF(MainData[Product]="Date",MainData[EventID],0),0),12),0))</f>
        <v>44574</v>
      </c>
      <c r="F234" s="155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4" s="155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4" s="157" t="s">
        <v>84</v>
      </c>
      <c r="J234" t="s">
        <v>187</v>
      </c>
      <c r="K234" s="2" t="s">
        <v>157</v>
      </c>
      <c r="L234" s="2" t="s">
        <v>81</v>
      </c>
      <c r="M234" s="2">
        <v>1</v>
      </c>
      <c r="N234" s="2"/>
      <c r="O234" s="109"/>
      <c r="P234" s="109"/>
      <c r="Q234" s="109"/>
    </row>
    <row r="235" spans="2:17" x14ac:dyDescent="0.25">
      <c r="B235" s="114">
        <v>25</v>
      </c>
      <c r="C235" s="114">
        <v>65</v>
      </c>
      <c r="D235" s="114">
        <v>14</v>
      </c>
      <c r="E235" s="154" cm="1">
        <f t="array" ref="E235">IF(ISBLANK(MainData[[#This Row],[EventID]]),0,IFERROR(INDEX(MainData[],MATCH(MainData[[#This Row],[EventID]],IF(MainData[Product]="Date",MainData[EventID],0),0),12),0))</f>
        <v>44574</v>
      </c>
      <c r="F235" s="155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5" s="155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5" s="157" t="s">
        <v>84</v>
      </c>
      <c r="J235" t="s">
        <v>187</v>
      </c>
      <c r="K235" s="2" t="s">
        <v>157</v>
      </c>
      <c r="L235" s="2" t="s">
        <v>0</v>
      </c>
      <c r="M235" s="158">
        <v>44574</v>
      </c>
      <c r="N235" s="2"/>
      <c r="O235" s="109"/>
      <c r="P235" s="109"/>
      <c r="Q235" s="109"/>
    </row>
    <row r="236" spans="2:17" x14ac:dyDescent="0.25">
      <c r="B236" s="114">
        <v>25</v>
      </c>
      <c r="C236" s="114">
        <v>65</v>
      </c>
      <c r="D236" s="114">
        <v>14</v>
      </c>
      <c r="E236" s="154" cm="1">
        <f t="array" ref="E236">IF(ISBLANK(MainData[[#This Row],[EventID]]),0,IFERROR(INDEX(MainData[],MATCH(MainData[[#This Row],[EventID]],IF(MainData[Product]="Date",MainData[EventID],0),0),12),0))</f>
        <v>44574</v>
      </c>
      <c r="F236" s="155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6" s="155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6" s="157" t="s">
        <v>84</v>
      </c>
      <c r="J236" t="s">
        <v>187</v>
      </c>
      <c r="K236" s="2" t="s">
        <v>157</v>
      </c>
      <c r="L236" s="2" t="s">
        <v>82</v>
      </c>
      <c r="M236" s="2">
        <v>313416</v>
      </c>
      <c r="N236" s="2"/>
      <c r="O236" s="109"/>
      <c r="P236" s="109"/>
      <c r="Q236" s="109"/>
    </row>
    <row r="237" spans="2:17" x14ac:dyDescent="0.25">
      <c r="B237" s="114">
        <v>25</v>
      </c>
      <c r="C237" s="114">
        <v>65</v>
      </c>
      <c r="D237" s="114">
        <v>14</v>
      </c>
      <c r="E237" s="154" cm="1">
        <f t="array" ref="E237">IF(ISBLANK(MainData[[#This Row],[EventID]]),0,IFERROR(INDEX(MainData[],MATCH(MainData[[#This Row],[EventID]],IF(MainData[Product]="Date",MainData[EventID],0),0),12),0))</f>
        <v>44574</v>
      </c>
      <c r="F237" s="155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7" s="155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7" s="157" t="s">
        <v>84</v>
      </c>
      <c r="J237" t="s">
        <v>187</v>
      </c>
      <c r="K237" s="2" t="s">
        <v>157</v>
      </c>
      <c r="L237" s="2" t="s">
        <v>175</v>
      </c>
      <c r="M237" s="2" t="s">
        <v>455</v>
      </c>
      <c r="N237" s="2"/>
      <c r="O237" s="109"/>
      <c r="P237" s="109"/>
      <c r="Q237" s="109"/>
    </row>
    <row r="238" spans="2:17" x14ac:dyDescent="0.25">
      <c r="B238" s="114">
        <v>25</v>
      </c>
      <c r="C238" s="114">
        <v>65</v>
      </c>
      <c r="D238" s="114">
        <v>14</v>
      </c>
      <c r="E238" s="154" cm="1">
        <f t="array" ref="E238">IF(ISBLANK(MainData[[#This Row],[EventID]]),0,IFERROR(INDEX(MainData[],MATCH(MainData[[#This Row],[EventID]],IF(MainData[Product]="Date",MainData[EventID],0),0),12),0))</f>
        <v>44574</v>
      </c>
      <c r="F238" s="155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8" s="155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8" s="157" t="s">
        <v>84</v>
      </c>
      <c r="J238" t="s">
        <v>187</v>
      </c>
      <c r="K238" s="2" t="s">
        <v>157</v>
      </c>
      <c r="L238" s="2" t="s">
        <v>138</v>
      </c>
      <c r="M238" s="2">
        <v>165</v>
      </c>
      <c r="N238" s="2"/>
      <c r="O238" s="109"/>
      <c r="P238" s="109"/>
      <c r="Q238" s="109"/>
    </row>
    <row r="239" spans="2:17" x14ac:dyDescent="0.25">
      <c r="B239" s="114">
        <v>25</v>
      </c>
      <c r="C239" s="114">
        <v>65</v>
      </c>
      <c r="D239" s="114">
        <v>14</v>
      </c>
      <c r="E239" s="154" cm="1">
        <f t="array" ref="E239">IF(ISBLANK(MainData[[#This Row],[EventID]]),0,IFERROR(INDEX(MainData[],MATCH(MainData[[#This Row],[EventID]],IF(MainData[Product]="Date",MainData[EventID],0),0),12),0))</f>
        <v>44574</v>
      </c>
      <c r="F239" s="155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9" s="155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9" s="157" t="s">
        <v>84</v>
      </c>
      <c r="J239" t="s">
        <v>187</v>
      </c>
      <c r="K239" s="2" t="s">
        <v>157</v>
      </c>
      <c r="L239" s="2" t="s">
        <v>86</v>
      </c>
      <c r="M239" s="2">
        <v>1.5</v>
      </c>
      <c r="N239" s="2"/>
      <c r="O239" s="109"/>
      <c r="P239" s="109"/>
      <c r="Q239" s="109"/>
    </row>
    <row r="240" spans="2:17" x14ac:dyDescent="0.25">
      <c r="B240" s="114">
        <v>25</v>
      </c>
      <c r="C240" s="114">
        <v>65</v>
      </c>
      <c r="D240" s="114">
        <v>14</v>
      </c>
      <c r="E240" s="154" cm="1">
        <f t="array" ref="E240">IF(ISBLANK(MainData[[#This Row],[EventID]]),0,IFERROR(INDEX(MainData[],MATCH(MainData[[#This Row],[EventID]],IF(MainData[Product]="Date",MainData[EventID],0),0),12),0))</f>
        <v>44574</v>
      </c>
      <c r="F240" s="155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0" s="155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0" s="157" t="s">
        <v>84</v>
      </c>
      <c r="J240" t="s">
        <v>187</v>
      </c>
      <c r="K240" s="2" t="s">
        <v>157</v>
      </c>
      <c r="L240" s="2" t="s">
        <v>118</v>
      </c>
      <c r="M240" s="2" t="s">
        <v>503</v>
      </c>
      <c r="N240" s="2"/>
      <c r="O240" s="109"/>
      <c r="P240" s="109"/>
      <c r="Q240" s="109"/>
    </row>
    <row r="241" spans="2:17" x14ac:dyDescent="0.25">
      <c r="B241" s="114">
        <v>25</v>
      </c>
      <c r="C241" s="114">
        <v>65</v>
      </c>
      <c r="D241" s="114">
        <v>14</v>
      </c>
      <c r="E241" s="154" cm="1">
        <f t="array" ref="E241">IF(ISBLANK(MainData[[#This Row],[EventID]]),0,IFERROR(INDEX(MainData[],MATCH(MainData[[#This Row],[EventID]],IF(MainData[Product]="Date",MainData[EventID],0),0),12),0))</f>
        <v>44574</v>
      </c>
      <c r="F241" s="155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1" s="155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1" s="20" t="s">
        <v>85</v>
      </c>
      <c r="J241" t="s">
        <v>20</v>
      </c>
      <c r="K241" s="2" t="s">
        <v>116</v>
      </c>
      <c r="L241" s="2" t="s">
        <v>88</v>
      </c>
      <c r="M241" s="2" t="s">
        <v>189</v>
      </c>
      <c r="N241" s="2" t="s">
        <v>233</v>
      </c>
      <c r="O241" s="109">
        <v>1</v>
      </c>
      <c r="P241" s="109"/>
      <c r="Q241" s="109"/>
    </row>
    <row r="242" spans="2:17" x14ac:dyDescent="0.25">
      <c r="B242" s="114">
        <v>25</v>
      </c>
      <c r="C242" s="114">
        <v>65</v>
      </c>
      <c r="D242" s="114">
        <v>14</v>
      </c>
      <c r="E242" s="154" cm="1">
        <f t="array" ref="E242">IF(ISBLANK(MainData[[#This Row],[EventID]]),0,IFERROR(INDEX(MainData[],MATCH(MainData[[#This Row],[EventID]],IF(MainData[Product]="Date",MainData[EventID],0),0),12),0))</f>
        <v>44574</v>
      </c>
      <c r="F242" s="155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2" s="155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2" s="20" t="s">
        <v>85</v>
      </c>
      <c r="J242" t="s">
        <v>20</v>
      </c>
      <c r="K242" s="2" t="s">
        <v>116</v>
      </c>
      <c r="L242" s="2" t="s">
        <v>87</v>
      </c>
      <c r="M242" s="2" t="s">
        <v>188</v>
      </c>
      <c r="N242" s="2" t="s">
        <v>233</v>
      </c>
      <c r="O242" s="109">
        <v>2</v>
      </c>
      <c r="P242" s="109"/>
      <c r="Q242" s="109">
        <v>200</v>
      </c>
    </row>
    <row r="243" spans="2:17" x14ac:dyDescent="0.25">
      <c r="B243" s="114">
        <v>25</v>
      </c>
      <c r="C243" s="114">
        <v>65</v>
      </c>
      <c r="D243" s="114">
        <v>14</v>
      </c>
      <c r="E243" s="154" cm="1">
        <f t="array" ref="E243">IF(ISBLANK(MainData[[#This Row],[EventID]]),0,IFERROR(INDEX(MainData[],MATCH(MainData[[#This Row],[EventID]],IF(MainData[Product]="Date",MainData[EventID],0),0),12),0))</f>
        <v>44574</v>
      </c>
      <c r="F243" s="155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3" s="155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3" s="157" t="s">
        <v>85</v>
      </c>
      <c r="J243" t="s">
        <v>20</v>
      </c>
      <c r="K243" s="2" t="s">
        <v>29</v>
      </c>
      <c r="L243" s="2" t="s">
        <v>35</v>
      </c>
      <c r="M243" s="2" t="s">
        <v>382</v>
      </c>
      <c r="N243" s="2" t="s">
        <v>234</v>
      </c>
      <c r="O243" s="109">
        <v>2</v>
      </c>
      <c r="P243" s="109">
        <v>65</v>
      </c>
      <c r="Q243" s="109">
        <v>650</v>
      </c>
    </row>
    <row r="244" spans="2:17" x14ac:dyDescent="0.25">
      <c r="B244" s="114">
        <v>25</v>
      </c>
      <c r="C244" s="114">
        <v>65</v>
      </c>
      <c r="D244" s="114">
        <v>14</v>
      </c>
      <c r="E244" s="154" cm="1">
        <f t="array" ref="E244">IF(ISBLANK(MainData[[#This Row],[EventID]]),0,IFERROR(INDEX(MainData[],MATCH(MainData[[#This Row],[EventID]],IF(MainData[Product]="Date",MainData[EventID],0),0),12),0))</f>
        <v>44574</v>
      </c>
      <c r="F244" s="155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4" s="155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20" t="s">
        <v>85</v>
      </c>
      <c r="J244" t="s">
        <v>20</v>
      </c>
      <c r="K244" s="2" t="s">
        <v>29</v>
      </c>
      <c r="L244" s="2" t="s">
        <v>36</v>
      </c>
      <c r="M244" s="2" t="s">
        <v>384</v>
      </c>
      <c r="N244" s="2" t="s">
        <v>234</v>
      </c>
      <c r="O244" s="109">
        <v>2</v>
      </c>
      <c r="P244" s="109">
        <v>63</v>
      </c>
      <c r="Q244" s="109">
        <v>1122</v>
      </c>
    </row>
    <row r="245" spans="2:17" x14ac:dyDescent="0.25">
      <c r="B245" s="114">
        <v>25</v>
      </c>
      <c r="C245" s="114">
        <v>65</v>
      </c>
      <c r="D245" s="114">
        <v>14</v>
      </c>
      <c r="E245" s="154" cm="1">
        <f t="array" ref="E245">IF(ISBLANK(MainData[[#This Row],[EventID]]),0,IFERROR(INDEX(MainData[],MATCH(MainData[[#This Row],[EventID]],IF(MainData[Product]="Date",MainData[EventID],0),0),12),0))</f>
        <v>44574</v>
      </c>
      <c r="F245" s="155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5" s="155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157" t="s">
        <v>85</v>
      </c>
      <c r="J245" t="s">
        <v>20</v>
      </c>
      <c r="K245" s="2" t="s">
        <v>29</v>
      </c>
      <c r="L245" s="2" t="s">
        <v>65</v>
      </c>
      <c r="M245" s="2" t="s">
        <v>383</v>
      </c>
      <c r="N245" s="2" t="s">
        <v>234</v>
      </c>
      <c r="O245" s="109">
        <v>2</v>
      </c>
      <c r="P245" s="109">
        <v>1.1000000000000001</v>
      </c>
      <c r="Q245" s="109">
        <v>20</v>
      </c>
    </row>
    <row r="246" spans="2:17" x14ac:dyDescent="0.25">
      <c r="B246" s="114">
        <v>25</v>
      </c>
      <c r="C246" s="114">
        <v>65</v>
      </c>
      <c r="D246" s="114">
        <v>14</v>
      </c>
      <c r="E246" s="154" cm="1">
        <f t="array" ref="E246">IF(ISBLANK(MainData[[#This Row],[EventID]]),0,IFERROR(INDEX(MainData[],MATCH(MainData[[#This Row],[EventID]],IF(MainData[Product]="Date",MainData[EventID],0),0),12),0))</f>
        <v>44574</v>
      </c>
      <c r="F246" s="155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6" s="155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157" t="s">
        <v>85</v>
      </c>
      <c r="J246" t="s">
        <v>20</v>
      </c>
      <c r="K246" s="2" t="s">
        <v>29</v>
      </c>
      <c r="L246" s="2" t="s">
        <v>25</v>
      </c>
      <c r="M246" s="2" t="s">
        <v>385</v>
      </c>
      <c r="N246" s="2" t="s">
        <v>234</v>
      </c>
      <c r="O246" s="109">
        <v>2</v>
      </c>
      <c r="P246" s="109">
        <v>62</v>
      </c>
      <c r="Q246" s="109">
        <v>600</v>
      </c>
    </row>
    <row r="247" spans="2:17" x14ac:dyDescent="0.25">
      <c r="B247" s="114">
        <v>25</v>
      </c>
      <c r="C247" s="114">
        <v>66</v>
      </c>
      <c r="D247" s="114">
        <v>15</v>
      </c>
      <c r="E247" s="154" cm="1">
        <f t="array" ref="E247">IF(ISBLANK(MainData[[#This Row],[EventID]]),0,IFERROR(INDEX(MainData[],MATCH(MainData[[#This Row],[EventID]],IF(MainData[Product]="Date",MainData[EventID],0),0),12),0))</f>
        <v>44575</v>
      </c>
      <c r="F247" s="155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7" s="155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157" t="s">
        <v>84</v>
      </c>
      <c r="J247" t="s">
        <v>187</v>
      </c>
      <c r="K247" s="2" t="s">
        <v>157</v>
      </c>
      <c r="L247" s="2" t="s">
        <v>81</v>
      </c>
      <c r="M247" s="2">
        <v>1</v>
      </c>
      <c r="N247" s="2"/>
      <c r="O247" s="109"/>
      <c r="P247" s="109"/>
      <c r="Q247" s="109"/>
    </row>
    <row r="248" spans="2:17" x14ac:dyDescent="0.25">
      <c r="B248" s="114">
        <v>25</v>
      </c>
      <c r="C248" s="114">
        <v>66</v>
      </c>
      <c r="D248" s="114">
        <v>15</v>
      </c>
      <c r="E248" s="154" cm="1">
        <f t="array" ref="E248">IF(ISBLANK(MainData[[#This Row],[EventID]]),0,IFERROR(INDEX(MainData[],MATCH(MainData[[#This Row],[EventID]],IF(MainData[Product]="Date",MainData[EventID],0),0),12),0))</f>
        <v>44575</v>
      </c>
      <c r="F248" s="155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8" s="155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157" t="s">
        <v>84</v>
      </c>
      <c r="J248" t="s">
        <v>187</v>
      </c>
      <c r="K248" s="2" t="s">
        <v>157</v>
      </c>
      <c r="L248" s="2" t="s">
        <v>0</v>
      </c>
      <c r="M248" s="158">
        <v>44575</v>
      </c>
      <c r="N248" s="2"/>
      <c r="O248" s="109"/>
      <c r="P248" s="109"/>
      <c r="Q248" s="109"/>
    </row>
    <row r="249" spans="2:17" x14ac:dyDescent="0.25">
      <c r="B249" s="114">
        <v>25</v>
      </c>
      <c r="C249" s="114">
        <v>66</v>
      </c>
      <c r="D249" s="114">
        <v>15</v>
      </c>
      <c r="E249" s="154" cm="1">
        <f t="array" ref="E249">IF(ISBLANK(MainData[[#This Row],[EventID]]),0,IFERROR(INDEX(MainData[],MATCH(MainData[[#This Row],[EventID]],IF(MainData[Product]="Date",MainData[EventID],0),0),12),0))</f>
        <v>44575</v>
      </c>
      <c r="F249" s="155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9" s="155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157" t="s">
        <v>84</v>
      </c>
      <c r="J249" t="s">
        <v>187</v>
      </c>
      <c r="K249" s="2" t="s">
        <v>157</v>
      </c>
      <c r="L249" s="2" t="s">
        <v>82</v>
      </c>
      <c r="M249" s="2">
        <v>358241</v>
      </c>
      <c r="N249" s="2"/>
      <c r="O249" s="109"/>
      <c r="P249" s="109"/>
      <c r="Q249" s="109"/>
    </row>
    <row r="250" spans="2:17" x14ac:dyDescent="0.25">
      <c r="B250" s="114">
        <v>25</v>
      </c>
      <c r="C250" s="114">
        <v>66</v>
      </c>
      <c r="D250" s="114">
        <v>15</v>
      </c>
      <c r="E250" s="154" cm="1">
        <f t="array" ref="E250">IF(ISBLANK(MainData[[#This Row],[EventID]]),0,IFERROR(INDEX(MainData[],MATCH(MainData[[#This Row],[EventID]],IF(MainData[Product]="Date",MainData[EventID],0),0),12),0))</f>
        <v>44575</v>
      </c>
      <c r="F250" s="155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0" s="155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157" t="s">
        <v>84</v>
      </c>
      <c r="J250" t="s">
        <v>187</v>
      </c>
      <c r="K250" s="2" t="s">
        <v>157</v>
      </c>
      <c r="L250" s="2" t="s">
        <v>175</v>
      </c>
      <c r="M250" s="2" t="s">
        <v>455</v>
      </c>
      <c r="N250" s="2"/>
      <c r="O250" s="109"/>
      <c r="P250" s="109"/>
      <c r="Q250" s="109"/>
    </row>
    <row r="251" spans="2:17" x14ac:dyDescent="0.25">
      <c r="B251" s="114">
        <v>25</v>
      </c>
      <c r="C251" s="114">
        <v>66</v>
      </c>
      <c r="D251" s="114">
        <v>15</v>
      </c>
      <c r="E251" s="154" cm="1">
        <f t="array" ref="E251">IF(ISBLANK(MainData[[#This Row],[EventID]]),0,IFERROR(INDEX(MainData[],MATCH(MainData[[#This Row],[EventID]],IF(MainData[Product]="Date",MainData[EventID],0),0),12),0))</f>
        <v>44575</v>
      </c>
      <c r="F251" s="155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1" s="155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157" t="s">
        <v>84</v>
      </c>
      <c r="J251" t="s">
        <v>187</v>
      </c>
      <c r="K251" s="2" t="s">
        <v>157</v>
      </c>
      <c r="L251" s="2" t="s">
        <v>138</v>
      </c>
      <c r="M251" s="2">
        <v>425</v>
      </c>
      <c r="N251" s="2"/>
      <c r="O251" s="109"/>
      <c r="P251" s="109"/>
      <c r="Q251" s="109"/>
    </row>
    <row r="252" spans="2:17" x14ac:dyDescent="0.25">
      <c r="B252" s="114">
        <v>25</v>
      </c>
      <c r="C252" s="114">
        <v>66</v>
      </c>
      <c r="D252" s="114">
        <v>15</v>
      </c>
      <c r="E252" s="154" cm="1">
        <f t="array" ref="E252">IF(ISBLANK(MainData[[#This Row],[EventID]]),0,IFERROR(INDEX(MainData[],MATCH(MainData[[#This Row],[EventID]],IF(MainData[Product]="Date",MainData[EventID],0),0),12),0))</f>
        <v>44575</v>
      </c>
      <c r="F252" s="155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2" s="155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157" t="s">
        <v>84</v>
      </c>
      <c r="J252" t="s">
        <v>187</v>
      </c>
      <c r="K252" s="2" t="s">
        <v>157</v>
      </c>
      <c r="L252" s="2" t="s">
        <v>86</v>
      </c>
      <c r="M252" s="2">
        <v>2.5</v>
      </c>
      <c r="N252" s="2"/>
      <c r="O252" s="109"/>
      <c r="P252" s="109"/>
      <c r="Q252" s="109"/>
    </row>
    <row r="253" spans="2:17" x14ac:dyDescent="0.25">
      <c r="B253" s="114">
        <v>25</v>
      </c>
      <c r="C253" s="114">
        <v>66</v>
      </c>
      <c r="D253" s="114">
        <v>15</v>
      </c>
      <c r="E253" s="154" cm="1">
        <f t="array" ref="E253">IF(ISBLANK(MainData[[#This Row],[EventID]]),0,IFERROR(INDEX(MainData[],MATCH(MainData[[#This Row],[EventID]],IF(MainData[Product]="Date",MainData[EventID],0),0),12),0))</f>
        <v>44575</v>
      </c>
      <c r="F253" s="155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3" s="155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157" t="s">
        <v>84</v>
      </c>
      <c r="J253" t="s">
        <v>187</v>
      </c>
      <c r="K253" s="2" t="s">
        <v>157</v>
      </c>
      <c r="L253" s="2" t="s">
        <v>118</v>
      </c>
      <c r="M253" s="2" t="s">
        <v>487</v>
      </c>
      <c r="N253" s="2"/>
      <c r="O253" s="109"/>
      <c r="P253" s="109"/>
      <c r="Q253" s="109"/>
    </row>
    <row r="254" spans="2:17" x14ac:dyDescent="0.25">
      <c r="B254" s="114">
        <v>25</v>
      </c>
      <c r="C254" s="114">
        <v>66</v>
      </c>
      <c r="D254" s="114">
        <v>15</v>
      </c>
      <c r="E254" s="154" cm="1">
        <f t="array" ref="E254">IF(ISBLANK(MainData[[#This Row],[EventID]]),0,IFERROR(INDEX(MainData[],MATCH(MainData[[#This Row],[EventID]],IF(MainData[Product]="Date",MainData[EventID],0),0),12),0))</f>
        <v>44575</v>
      </c>
      <c r="F254" s="155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4" s="155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20" t="s">
        <v>85</v>
      </c>
      <c r="J254" t="s">
        <v>20</v>
      </c>
      <c r="K254" s="2" t="s">
        <v>116</v>
      </c>
      <c r="L254" s="2" t="s">
        <v>88</v>
      </c>
      <c r="M254" s="2" t="s">
        <v>189</v>
      </c>
      <c r="N254" s="2" t="s">
        <v>233</v>
      </c>
      <c r="O254" s="109">
        <v>3</v>
      </c>
      <c r="P254" s="109"/>
      <c r="Q254" s="109"/>
    </row>
    <row r="255" spans="2:17" x14ac:dyDescent="0.25">
      <c r="B255" s="114">
        <v>25</v>
      </c>
      <c r="C255" s="114">
        <v>66</v>
      </c>
      <c r="D255" s="114">
        <v>15</v>
      </c>
      <c r="E255" s="154" cm="1">
        <f t="array" ref="E255">IF(ISBLANK(MainData[[#This Row],[EventID]]),0,IFERROR(INDEX(MainData[],MATCH(MainData[[#This Row],[EventID]],IF(MainData[Product]="Date",MainData[EventID],0),0),12),0))</f>
        <v>44575</v>
      </c>
      <c r="F255" s="155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5" s="155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5" s="20" t="s">
        <v>85</v>
      </c>
      <c r="J255" t="s">
        <v>20</v>
      </c>
      <c r="K255" s="2" t="s">
        <v>116</v>
      </c>
      <c r="L255" s="2" t="s">
        <v>87</v>
      </c>
      <c r="M255" s="2" t="s">
        <v>188</v>
      </c>
      <c r="N255" s="2" t="s">
        <v>233</v>
      </c>
      <c r="O255" s="109">
        <v>5</v>
      </c>
      <c r="P255" s="109"/>
      <c r="Q255" s="109">
        <v>500</v>
      </c>
    </row>
    <row r="256" spans="2:17" x14ac:dyDescent="0.25">
      <c r="B256" s="114">
        <v>25</v>
      </c>
      <c r="C256" s="114">
        <v>66</v>
      </c>
      <c r="D256" s="114">
        <v>15</v>
      </c>
      <c r="E256" s="154" cm="1">
        <f t="array" ref="E256">IF(ISBLANK(MainData[[#This Row],[EventID]]),0,IFERROR(INDEX(MainData[],MATCH(MainData[[#This Row],[EventID]],IF(MainData[Product]="Date",MainData[EventID],0),0),12),0))</f>
        <v>44575</v>
      </c>
      <c r="F256" s="155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6" s="155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6" s="157" t="s">
        <v>85</v>
      </c>
      <c r="J256" t="s">
        <v>20</v>
      </c>
      <c r="K256" s="2" t="s">
        <v>29</v>
      </c>
      <c r="L256" s="2" t="s">
        <v>35</v>
      </c>
      <c r="M256" s="2" t="s">
        <v>382</v>
      </c>
      <c r="N256" s="2" t="s">
        <v>234</v>
      </c>
      <c r="O256" s="109">
        <v>5</v>
      </c>
      <c r="P256" s="109">
        <v>70</v>
      </c>
      <c r="Q256" s="109">
        <v>1660</v>
      </c>
    </row>
    <row r="257" spans="2:17" x14ac:dyDescent="0.25">
      <c r="B257" s="114">
        <v>25</v>
      </c>
      <c r="C257" s="114">
        <v>66</v>
      </c>
      <c r="D257" s="114">
        <v>15</v>
      </c>
      <c r="E257" s="154" cm="1">
        <f t="array" ref="E257">IF(ISBLANK(MainData[[#This Row],[EventID]]),0,IFERROR(INDEX(MainData[],MATCH(MainData[[#This Row],[EventID]],IF(MainData[Product]="Date",MainData[EventID],0),0),12),0))</f>
        <v>44575</v>
      </c>
      <c r="F257" s="155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7" s="155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7" s="20" t="s">
        <v>85</v>
      </c>
      <c r="J257" t="s">
        <v>20</v>
      </c>
      <c r="K257" s="2" t="s">
        <v>29</v>
      </c>
      <c r="L257" s="2" t="s">
        <v>36</v>
      </c>
      <c r="M257" s="2" t="s">
        <v>384</v>
      </c>
      <c r="N257" s="2" t="s">
        <v>234</v>
      </c>
      <c r="O257" s="109">
        <v>5</v>
      </c>
      <c r="P257" s="109">
        <v>510</v>
      </c>
      <c r="Q257" s="109">
        <v>5190</v>
      </c>
    </row>
    <row r="258" spans="2:17" x14ac:dyDescent="0.25">
      <c r="B258" s="114">
        <v>25</v>
      </c>
      <c r="C258" s="114">
        <v>66</v>
      </c>
      <c r="D258" s="114">
        <v>15</v>
      </c>
      <c r="E258" s="154" cm="1">
        <f t="array" ref="E258">IF(ISBLANK(MainData[[#This Row],[EventID]]),0,IFERROR(INDEX(MainData[],MATCH(MainData[[#This Row],[EventID]],IF(MainData[Product]="Date",MainData[EventID],0),0),12),0))</f>
        <v>44575</v>
      </c>
      <c r="F258" s="155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8" s="155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8" s="157" t="s">
        <v>85</v>
      </c>
      <c r="J258" t="s">
        <v>20</v>
      </c>
      <c r="K258" s="2" t="s">
        <v>29</v>
      </c>
      <c r="L258" s="2" t="s">
        <v>65</v>
      </c>
      <c r="M258" s="2" t="s">
        <v>383</v>
      </c>
      <c r="N258" s="2" t="s">
        <v>234</v>
      </c>
      <c r="O258" s="109">
        <v>5</v>
      </c>
      <c r="P258" s="109">
        <v>57.4</v>
      </c>
      <c r="Q258" s="109">
        <v>558</v>
      </c>
    </row>
    <row r="259" spans="2:17" x14ac:dyDescent="0.25">
      <c r="B259" s="114">
        <v>25</v>
      </c>
      <c r="C259" s="114">
        <v>66</v>
      </c>
      <c r="D259" s="114">
        <v>15</v>
      </c>
      <c r="E259" s="154" cm="1">
        <f t="array" ref="E259">IF(ISBLANK(MainData[[#This Row],[EventID]]),0,IFERROR(INDEX(MainData[],MATCH(MainData[[#This Row],[EventID]],IF(MainData[Product]="Date",MainData[EventID],0),0),12),0))</f>
        <v>44575</v>
      </c>
      <c r="F259" s="155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9" s="155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9" s="157" t="s">
        <v>85</v>
      </c>
      <c r="J259" t="s">
        <v>20</v>
      </c>
      <c r="K259" s="2" t="s">
        <v>29</v>
      </c>
      <c r="L259" s="2" t="s">
        <v>25</v>
      </c>
      <c r="M259" s="2" t="s">
        <v>385</v>
      </c>
      <c r="N259" s="2" t="s">
        <v>234</v>
      </c>
      <c r="O259" s="109">
        <v>5</v>
      </c>
      <c r="P259" s="109">
        <v>120</v>
      </c>
      <c r="Q259" s="109">
        <v>1150</v>
      </c>
    </row>
    <row r="260" spans="2:17" x14ac:dyDescent="0.25">
      <c r="B260" s="114">
        <v>23</v>
      </c>
      <c r="C260" s="114">
        <v>59</v>
      </c>
      <c r="D260" s="114">
        <v>16</v>
      </c>
      <c r="E260" s="154" cm="1">
        <f t="array" ref="E260">IF(ISBLANK(MainData[[#This Row],[EventID]]),0,IFERROR(INDEX(MainData[],MATCH(MainData[[#This Row],[EventID]],IF(MainData[Product]="Date",MainData[EventID],0),0),12),0))</f>
        <v>44576</v>
      </c>
      <c r="F260" s="155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0" s="155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0" s="157" t="s">
        <v>84</v>
      </c>
      <c r="J260" t="s">
        <v>187</v>
      </c>
      <c r="K260" s="2" t="s">
        <v>157</v>
      </c>
      <c r="L260" s="2" t="s">
        <v>81</v>
      </c>
      <c r="M260" s="2">
        <v>1</v>
      </c>
      <c r="N260" s="2"/>
      <c r="O260" s="109"/>
      <c r="P260" s="109"/>
      <c r="Q260" s="109"/>
    </row>
    <row r="261" spans="2:17" x14ac:dyDescent="0.25">
      <c r="B261" s="114">
        <v>23</v>
      </c>
      <c r="C261" s="114">
        <v>59</v>
      </c>
      <c r="D261" s="114">
        <v>16</v>
      </c>
      <c r="E261" s="154" cm="1">
        <f t="array" ref="E261">IF(ISBLANK(MainData[[#This Row],[EventID]]),0,IFERROR(INDEX(MainData[],MATCH(MainData[[#This Row],[EventID]],IF(MainData[Product]="Date",MainData[EventID],0),0),12),0))</f>
        <v>44576</v>
      </c>
      <c r="F261" s="155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1" s="155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1" s="157" t="s">
        <v>84</v>
      </c>
      <c r="J261" t="s">
        <v>187</v>
      </c>
      <c r="K261" s="2" t="s">
        <v>157</v>
      </c>
      <c r="L261" s="2" t="s">
        <v>164</v>
      </c>
      <c r="M261" s="2" t="s">
        <v>428</v>
      </c>
      <c r="N261" s="2"/>
      <c r="O261" s="109"/>
      <c r="P261" s="109"/>
      <c r="Q261" s="109"/>
    </row>
    <row r="262" spans="2:17" x14ac:dyDescent="0.25">
      <c r="B262" s="114">
        <v>23</v>
      </c>
      <c r="C262" s="114">
        <v>59</v>
      </c>
      <c r="D262" s="114">
        <v>16</v>
      </c>
      <c r="E262" s="154" cm="1">
        <f t="array" ref="E262">IF(ISBLANK(MainData[[#This Row],[EventID]]),0,IFERROR(INDEX(MainData[],MATCH(MainData[[#This Row],[EventID]],IF(MainData[Product]="Date",MainData[EventID],0),0),12),0))</f>
        <v>44576</v>
      </c>
      <c r="F262" s="155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2" s="155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2" s="157" t="s">
        <v>84</v>
      </c>
      <c r="J262" t="s">
        <v>187</v>
      </c>
      <c r="K262" s="2" t="s">
        <v>157</v>
      </c>
      <c r="L262" s="2" t="s">
        <v>0</v>
      </c>
      <c r="M262" s="158">
        <v>44576</v>
      </c>
      <c r="N262" s="2"/>
      <c r="O262" s="109"/>
      <c r="P262" s="109"/>
      <c r="Q262" s="109"/>
    </row>
    <row r="263" spans="2:17" x14ac:dyDescent="0.25">
      <c r="B263" s="114">
        <v>23</v>
      </c>
      <c r="C263" s="114">
        <v>59</v>
      </c>
      <c r="D263" s="114">
        <v>16</v>
      </c>
      <c r="E263" s="154" cm="1">
        <f t="array" ref="E263">IF(ISBLANK(MainData[[#This Row],[EventID]]),0,IFERROR(INDEX(MainData[],MATCH(MainData[[#This Row],[EventID]],IF(MainData[Product]="Date",MainData[EventID],0),0),12),0))</f>
        <v>44576</v>
      </c>
      <c r="F263" s="155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3" s="155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3" s="157" t="s">
        <v>84</v>
      </c>
      <c r="J263" t="s">
        <v>187</v>
      </c>
      <c r="K263" s="2" t="s">
        <v>157</v>
      </c>
      <c r="L263" s="2" t="s">
        <v>82</v>
      </c>
      <c r="M263" s="2">
        <v>689282</v>
      </c>
      <c r="N263" s="2"/>
      <c r="O263" s="109"/>
      <c r="P263" s="109"/>
      <c r="Q263" s="109"/>
    </row>
    <row r="264" spans="2:17" x14ac:dyDescent="0.25">
      <c r="B264" s="114">
        <v>23</v>
      </c>
      <c r="C264" s="114">
        <v>59</v>
      </c>
      <c r="D264" s="114">
        <v>16</v>
      </c>
      <c r="E264" s="154" cm="1">
        <f t="array" ref="E264">IF(ISBLANK(MainData[[#This Row],[EventID]]),0,IFERROR(INDEX(MainData[],MATCH(MainData[[#This Row],[EventID]],IF(MainData[Product]="Date",MainData[EventID],0),0),12),0))</f>
        <v>44576</v>
      </c>
      <c r="F264" s="155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4" s="155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4" s="157" t="s">
        <v>84</v>
      </c>
      <c r="J264" t="s">
        <v>187</v>
      </c>
      <c r="K264" s="2" t="s">
        <v>157</v>
      </c>
      <c r="L264" s="2" t="s">
        <v>175</v>
      </c>
      <c r="M264" s="2" t="s">
        <v>457</v>
      </c>
      <c r="N264" s="2"/>
      <c r="O264" s="109"/>
      <c r="P264" s="109"/>
      <c r="Q264" s="109"/>
    </row>
    <row r="265" spans="2:17" x14ac:dyDescent="0.25">
      <c r="B265" s="114">
        <v>23</v>
      </c>
      <c r="C265" s="114">
        <v>59</v>
      </c>
      <c r="D265" s="114">
        <v>16</v>
      </c>
      <c r="E265" s="154" cm="1">
        <f t="array" ref="E265">IF(ISBLANK(MainData[[#This Row],[EventID]]),0,IFERROR(INDEX(MainData[],MATCH(MainData[[#This Row],[EventID]],IF(MainData[Product]="Date",MainData[EventID],0),0),12),0))</f>
        <v>44576</v>
      </c>
      <c r="F265" s="155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5" s="155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5" s="157" t="s">
        <v>84</v>
      </c>
      <c r="J265" t="s">
        <v>187</v>
      </c>
      <c r="K265" s="2" t="s">
        <v>157</v>
      </c>
      <c r="L265" s="2" t="s">
        <v>20</v>
      </c>
      <c r="M265" s="2" t="s">
        <v>380</v>
      </c>
      <c r="N265" s="2"/>
      <c r="O265" s="109"/>
      <c r="P265" s="109"/>
      <c r="Q265" s="109"/>
    </row>
    <row r="266" spans="2:17" x14ac:dyDescent="0.25">
      <c r="B266" s="114">
        <v>23</v>
      </c>
      <c r="C266" s="114">
        <v>59</v>
      </c>
      <c r="D266" s="114">
        <v>16</v>
      </c>
      <c r="E266" s="154" cm="1">
        <f t="array" ref="E266">IF(ISBLANK(MainData[[#This Row],[EventID]]),0,IFERROR(INDEX(MainData[],MATCH(MainData[[#This Row],[EventID]],IF(MainData[Product]="Date",MainData[EventID],0),0),12),0))</f>
        <v>44576</v>
      </c>
      <c r="F266" s="155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6" s="155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6" s="157" t="s">
        <v>84</v>
      </c>
      <c r="J266" t="s">
        <v>187</v>
      </c>
      <c r="K266" s="2" t="s">
        <v>157</v>
      </c>
      <c r="L266" s="2" t="s">
        <v>138</v>
      </c>
      <c r="M266" s="2">
        <v>700</v>
      </c>
      <c r="N266" s="2"/>
      <c r="O266" s="109"/>
      <c r="P266" s="109"/>
      <c r="Q266" s="109"/>
    </row>
    <row r="267" spans="2:17" x14ac:dyDescent="0.25">
      <c r="B267" s="114">
        <v>23</v>
      </c>
      <c r="C267" s="114">
        <v>59</v>
      </c>
      <c r="D267" s="114">
        <v>16</v>
      </c>
      <c r="E267" s="154" cm="1">
        <f t="array" ref="E267">IF(ISBLANK(MainData[[#This Row],[EventID]]),0,IFERROR(INDEX(MainData[],MATCH(MainData[[#This Row],[EventID]],IF(MainData[Product]="Date",MainData[EventID],0),0),12),0))</f>
        <v>44576</v>
      </c>
      <c r="F267" s="155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7" s="155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7" s="157" t="s">
        <v>84</v>
      </c>
      <c r="J267" t="s">
        <v>187</v>
      </c>
      <c r="K267" s="2" t="s">
        <v>157</v>
      </c>
      <c r="L267" s="2" t="s">
        <v>86</v>
      </c>
      <c r="M267" s="2">
        <v>3</v>
      </c>
      <c r="N267" s="2"/>
      <c r="O267" s="109"/>
      <c r="P267" s="109"/>
      <c r="Q267" s="109"/>
    </row>
    <row r="268" spans="2:17" x14ac:dyDescent="0.25">
      <c r="B268" s="114">
        <v>23</v>
      </c>
      <c r="C268" s="114">
        <v>59</v>
      </c>
      <c r="D268" s="114">
        <v>16</v>
      </c>
      <c r="E268" s="154" cm="1">
        <f t="array" ref="E268">IF(ISBLANK(MainData[[#This Row],[EventID]]),0,IFERROR(INDEX(MainData[],MATCH(MainData[[#This Row],[EventID]],IF(MainData[Product]="Date",MainData[EventID],0),0),12),0))</f>
        <v>44576</v>
      </c>
      <c r="F268" s="155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8" s="155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8" s="157" t="s">
        <v>84</v>
      </c>
      <c r="J268" t="s">
        <v>187</v>
      </c>
      <c r="K268" s="2" t="s">
        <v>157</v>
      </c>
      <c r="L268" s="2" t="s">
        <v>118</v>
      </c>
      <c r="M268" s="2" t="s">
        <v>463</v>
      </c>
      <c r="N268" s="2"/>
      <c r="O268" s="109"/>
      <c r="P268" s="109"/>
      <c r="Q268" s="109"/>
    </row>
    <row r="269" spans="2:17" x14ac:dyDescent="0.25">
      <c r="B269" s="114">
        <v>23</v>
      </c>
      <c r="C269" s="114">
        <v>59</v>
      </c>
      <c r="D269" s="114">
        <v>16</v>
      </c>
      <c r="E269" s="154" cm="1">
        <f t="array" ref="E269">IF(ISBLANK(MainData[[#This Row],[EventID]]),0,IFERROR(INDEX(MainData[],MATCH(MainData[[#This Row],[EventID]],IF(MainData[Product]="Date",MainData[EventID],0),0),12),0))</f>
        <v>44576</v>
      </c>
      <c r="F269" s="155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9" s="155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9" s="157" t="s">
        <v>84</v>
      </c>
      <c r="J269" t="s">
        <v>187</v>
      </c>
      <c r="K269" s="2" t="s">
        <v>157</v>
      </c>
      <c r="L269" s="2" t="s">
        <v>165</v>
      </c>
      <c r="M269" s="2" t="s">
        <v>412</v>
      </c>
      <c r="N269" s="2"/>
      <c r="O269" s="109"/>
      <c r="P269" s="109"/>
      <c r="Q269" s="109"/>
    </row>
    <row r="270" spans="2:17" x14ac:dyDescent="0.25">
      <c r="B270" s="114">
        <v>23</v>
      </c>
      <c r="C270" s="114">
        <v>59</v>
      </c>
      <c r="D270" s="114">
        <v>16</v>
      </c>
      <c r="E270" s="154" cm="1">
        <f t="array" ref="E270">IF(ISBLANK(MainData[[#This Row],[EventID]]),0,IFERROR(INDEX(MainData[],MATCH(MainData[[#This Row],[EventID]],IF(MainData[Product]="Date",MainData[EventID],0),0),12),0))</f>
        <v>44576</v>
      </c>
      <c r="F270" s="155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0" s="155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0" s="20" t="s">
        <v>85</v>
      </c>
      <c r="J270" t="s">
        <v>20</v>
      </c>
      <c r="K270" s="2" t="s">
        <v>116</v>
      </c>
      <c r="L270" s="2" t="s">
        <v>88</v>
      </c>
      <c r="M270" s="2" t="s">
        <v>189</v>
      </c>
      <c r="N270" s="2" t="s">
        <v>233</v>
      </c>
      <c r="O270" s="109">
        <v>4</v>
      </c>
      <c r="P270" s="109"/>
      <c r="Q270" s="109"/>
    </row>
    <row r="271" spans="2:17" x14ac:dyDescent="0.25">
      <c r="B271" s="114">
        <v>23</v>
      </c>
      <c r="C271" s="114">
        <v>59</v>
      </c>
      <c r="D271" s="114">
        <v>16</v>
      </c>
      <c r="E271" s="154" cm="1">
        <f t="array" ref="E271">IF(ISBLANK(MainData[[#This Row],[EventID]]),0,IFERROR(INDEX(MainData[],MATCH(MainData[[#This Row],[EventID]],IF(MainData[Product]="Date",MainData[EventID],0),0),12),0))</f>
        <v>44576</v>
      </c>
      <c r="F271" s="155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1" s="155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1" s="20" t="s">
        <v>85</v>
      </c>
      <c r="J271" t="s">
        <v>20</v>
      </c>
      <c r="K271" s="2" t="s">
        <v>116</v>
      </c>
      <c r="L271" s="2" t="s">
        <v>87</v>
      </c>
      <c r="M271" s="2" t="s">
        <v>188</v>
      </c>
      <c r="N271" s="2" t="s">
        <v>233</v>
      </c>
      <c r="O271" s="109">
        <v>8</v>
      </c>
      <c r="P271" s="109"/>
      <c r="Q271" s="109">
        <v>800</v>
      </c>
    </row>
    <row r="272" spans="2:17" x14ac:dyDescent="0.25">
      <c r="B272" s="114">
        <v>23</v>
      </c>
      <c r="C272" s="114">
        <v>59</v>
      </c>
      <c r="D272" s="114">
        <v>16</v>
      </c>
      <c r="E272" s="154" cm="1">
        <f t="array" ref="E272">IF(ISBLANK(MainData[[#This Row],[EventID]]),0,IFERROR(INDEX(MainData[],MATCH(MainData[[#This Row],[EventID]],IF(MainData[Product]="Date",MainData[EventID],0),0),12),0))</f>
        <v>44576</v>
      </c>
      <c r="F272" s="155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2" s="155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2" s="157" t="s">
        <v>85</v>
      </c>
      <c r="J272" t="s">
        <v>20</v>
      </c>
      <c r="K272" s="2" t="s">
        <v>29</v>
      </c>
      <c r="L272" s="2" t="s">
        <v>35</v>
      </c>
      <c r="M272" s="2" t="s">
        <v>382</v>
      </c>
      <c r="N272" s="2" t="s">
        <v>234</v>
      </c>
      <c r="O272" s="109">
        <v>8</v>
      </c>
      <c r="P272" s="109">
        <v>525</v>
      </c>
      <c r="Q272" s="109">
        <v>4950</v>
      </c>
    </row>
    <row r="273" spans="2:17" x14ac:dyDescent="0.25">
      <c r="B273" s="114">
        <v>23</v>
      </c>
      <c r="C273" s="114">
        <v>59</v>
      </c>
      <c r="D273" s="114">
        <v>16</v>
      </c>
      <c r="E273" s="154" cm="1">
        <f t="array" ref="E273">IF(ISBLANK(MainData[[#This Row],[EventID]]),0,IFERROR(INDEX(MainData[],MATCH(MainData[[#This Row],[EventID]],IF(MainData[Product]="Date",MainData[EventID],0),0),12),0))</f>
        <v>44576</v>
      </c>
      <c r="F273" s="155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3" s="155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3" s="20" t="s">
        <v>85</v>
      </c>
      <c r="J273" t="s">
        <v>20</v>
      </c>
      <c r="K273" s="2" t="s">
        <v>29</v>
      </c>
      <c r="L273" s="2" t="s">
        <v>36</v>
      </c>
      <c r="M273" s="2" t="s">
        <v>390</v>
      </c>
      <c r="N273" s="2" t="s">
        <v>234</v>
      </c>
      <c r="O273" s="109">
        <v>8</v>
      </c>
      <c r="P273" s="109">
        <v>2196.17</v>
      </c>
      <c r="Q273" s="109">
        <v>10799</v>
      </c>
    </row>
    <row r="274" spans="2:17" x14ac:dyDescent="0.25">
      <c r="B274" s="114">
        <v>23</v>
      </c>
      <c r="C274" s="114">
        <v>59</v>
      </c>
      <c r="D274" s="114">
        <v>16</v>
      </c>
      <c r="E274" s="154" cm="1">
        <f t="array" ref="E274">IF(ISBLANK(MainData[[#This Row],[EventID]]),0,IFERROR(INDEX(MainData[],MATCH(MainData[[#This Row],[EventID]],IF(MainData[Product]="Date",MainData[EventID],0),0),12),0))</f>
        <v>44576</v>
      </c>
      <c r="F274" s="155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4" s="155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4" s="157" t="s">
        <v>85</v>
      </c>
      <c r="J274" t="s">
        <v>20</v>
      </c>
      <c r="K274" s="2" t="s">
        <v>29</v>
      </c>
      <c r="L274" s="2" t="s">
        <v>65</v>
      </c>
      <c r="M274" s="2" t="s">
        <v>383</v>
      </c>
      <c r="N274" s="2" t="s">
        <v>234</v>
      </c>
      <c r="O274" s="109">
        <v>8</v>
      </c>
      <c r="P274" s="109">
        <v>75</v>
      </c>
      <c r="Q274" s="109">
        <v>795</v>
      </c>
    </row>
    <row r="275" spans="2:17" x14ac:dyDescent="0.25">
      <c r="B275" s="114">
        <v>23</v>
      </c>
      <c r="C275" s="114">
        <v>59</v>
      </c>
      <c r="D275" s="114">
        <v>16</v>
      </c>
      <c r="E275" s="154" cm="1">
        <f t="array" ref="E275">IF(ISBLANK(MainData[[#This Row],[EventID]]),0,IFERROR(INDEX(MainData[],MATCH(MainData[[#This Row],[EventID]],IF(MainData[Product]="Date",MainData[EventID],0),0),12),0))</f>
        <v>44576</v>
      </c>
      <c r="F275" s="155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5" s="155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5" s="157" t="s">
        <v>85</v>
      </c>
      <c r="J275" t="s">
        <v>20</v>
      </c>
      <c r="K275" s="2" t="s">
        <v>29</v>
      </c>
      <c r="L275" s="2" t="s">
        <v>25</v>
      </c>
      <c r="M275" s="2" t="s">
        <v>391</v>
      </c>
      <c r="N275" s="2" t="s">
        <v>237</v>
      </c>
      <c r="O275" s="109">
        <v>8</v>
      </c>
      <c r="P275" s="109">
        <v>1900</v>
      </c>
      <c r="Q275" s="109">
        <v>7600</v>
      </c>
    </row>
    <row r="276" spans="2:17" x14ac:dyDescent="0.25">
      <c r="B276" s="114">
        <v>25</v>
      </c>
      <c r="C276" s="114">
        <v>67</v>
      </c>
      <c r="D276" s="114">
        <v>17</v>
      </c>
      <c r="E276" s="154" cm="1">
        <f t="array" ref="E276">IF(ISBLANK(MainData[[#This Row],[EventID]]),0,IFERROR(INDEX(MainData[],MATCH(MainData[[#This Row],[EventID]],IF(MainData[Product]="Date",MainData[EventID],0),0),12),0))</f>
        <v>44576</v>
      </c>
      <c r="F276" s="155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6" s="155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6" s="157" t="s">
        <v>84</v>
      </c>
      <c r="J276" t="s">
        <v>187</v>
      </c>
      <c r="K276" s="2" t="s">
        <v>157</v>
      </c>
      <c r="L276" s="2" t="s">
        <v>81</v>
      </c>
      <c r="M276" s="2">
        <v>1</v>
      </c>
      <c r="N276" s="2"/>
      <c r="O276" s="109"/>
      <c r="P276" s="109"/>
      <c r="Q276" s="109"/>
    </row>
    <row r="277" spans="2:17" x14ac:dyDescent="0.25">
      <c r="B277" s="114">
        <v>25</v>
      </c>
      <c r="C277" s="114">
        <v>67</v>
      </c>
      <c r="D277" s="114">
        <v>17</v>
      </c>
      <c r="E277" s="154" cm="1">
        <f t="array" ref="E277">IF(ISBLANK(MainData[[#This Row],[EventID]]),0,IFERROR(INDEX(MainData[],MATCH(MainData[[#This Row],[EventID]],IF(MainData[Product]="Date",MainData[EventID],0),0),12),0))</f>
        <v>44576</v>
      </c>
      <c r="F277" s="155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7" s="155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7" s="157" t="s">
        <v>84</v>
      </c>
      <c r="J277" t="s">
        <v>187</v>
      </c>
      <c r="K277" s="2" t="s">
        <v>157</v>
      </c>
      <c r="L277" s="2" t="s">
        <v>0</v>
      </c>
      <c r="M277" s="158">
        <v>44576</v>
      </c>
      <c r="N277" s="2"/>
      <c r="O277" s="109"/>
      <c r="P277" s="109"/>
      <c r="Q277" s="109"/>
    </row>
    <row r="278" spans="2:17" x14ac:dyDescent="0.25">
      <c r="B278" s="114">
        <v>25</v>
      </c>
      <c r="C278" s="114">
        <v>67</v>
      </c>
      <c r="D278" s="114">
        <v>17</v>
      </c>
      <c r="E278" s="154" cm="1">
        <f t="array" ref="E278">IF(ISBLANK(MainData[[#This Row],[EventID]]),0,IFERROR(INDEX(MainData[],MATCH(MainData[[#This Row],[EventID]],IF(MainData[Product]="Date",MainData[EventID],0),0),12),0))</f>
        <v>44576</v>
      </c>
      <c r="F278" s="155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8" s="155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8" s="157" t="s">
        <v>84</v>
      </c>
      <c r="J278" t="s">
        <v>187</v>
      </c>
      <c r="K278" s="2" t="s">
        <v>157</v>
      </c>
      <c r="L278" s="2" t="s">
        <v>82</v>
      </c>
      <c r="M278" s="2">
        <v>733236</v>
      </c>
      <c r="N278" s="2"/>
      <c r="O278" s="109"/>
      <c r="P278" s="109"/>
      <c r="Q278" s="109"/>
    </row>
    <row r="279" spans="2:17" x14ac:dyDescent="0.25">
      <c r="B279" s="114">
        <v>25</v>
      </c>
      <c r="C279" s="114">
        <v>67</v>
      </c>
      <c r="D279" s="114">
        <v>17</v>
      </c>
      <c r="E279" s="154" cm="1">
        <f t="array" ref="E279">IF(ISBLANK(MainData[[#This Row],[EventID]]),0,IFERROR(INDEX(MainData[],MATCH(MainData[[#This Row],[EventID]],IF(MainData[Product]="Date",MainData[EventID],0),0),12),0))</f>
        <v>44576</v>
      </c>
      <c r="F279" s="155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9" s="155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9" s="157" t="s">
        <v>84</v>
      </c>
      <c r="J279" t="s">
        <v>187</v>
      </c>
      <c r="K279" s="2" t="s">
        <v>157</v>
      </c>
      <c r="L279" s="2" t="s">
        <v>175</v>
      </c>
      <c r="M279" s="2" t="s">
        <v>455</v>
      </c>
      <c r="N279" s="2"/>
      <c r="O279" s="109"/>
      <c r="P279" s="109"/>
      <c r="Q279" s="109"/>
    </row>
    <row r="280" spans="2:17" x14ac:dyDescent="0.25">
      <c r="B280" s="114">
        <v>25</v>
      </c>
      <c r="C280" s="114">
        <v>67</v>
      </c>
      <c r="D280" s="114">
        <v>17</v>
      </c>
      <c r="E280" s="154" cm="1">
        <f t="array" ref="E280">IF(ISBLANK(MainData[[#This Row],[EventID]]),0,IFERROR(INDEX(MainData[],MATCH(MainData[[#This Row],[EventID]],IF(MainData[Product]="Date",MainData[EventID],0),0),12),0))</f>
        <v>44576</v>
      </c>
      <c r="F280" s="155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0" s="155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0" s="157" t="s">
        <v>84</v>
      </c>
      <c r="J280" t="s">
        <v>187</v>
      </c>
      <c r="K280" s="2" t="s">
        <v>157</v>
      </c>
      <c r="L280" s="2" t="s">
        <v>138</v>
      </c>
      <c r="M280" s="2">
        <v>450</v>
      </c>
      <c r="N280" s="2"/>
      <c r="O280" s="109"/>
      <c r="P280" s="109"/>
      <c r="Q280" s="109"/>
    </row>
    <row r="281" spans="2:17" x14ac:dyDescent="0.25">
      <c r="B281" s="114">
        <v>25</v>
      </c>
      <c r="C281" s="114">
        <v>67</v>
      </c>
      <c r="D281" s="114">
        <v>17</v>
      </c>
      <c r="E281" s="154" cm="1">
        <f t="array" ref="E281">IF(ISBLANK(MainData[[#This Row],[EventID]]),0,IFERROR(INDEX(MainData[],MATCH(MainData[[#This Row],[EventID]],IF(MainData[Product]="Date",MainData[EventID],0),0),12),0))</f>
        <v>44576</v>
      </c>
      <c r="F281" s="155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1" s="155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1" s="157" t="s">
        <v>84</v>
      </c>
      <c r="J281" t="s">
        <v>187</v>
      </c>
      <c r="K281" s="2" t="s">
        <v>157</v>
      </c>
      <c r="L281" s="2" t="s">
        <v>86</v>
      </c>
      <c r="M281" s="2">
        <v>2</v>
      </c>
      <c r="N281" s="2"/>
      <c r="O281" s="109"/>
      <c r="P281" s="109"/>
      <c r="Q281" s="109"/>
    </row>
    <row r="282" spans="2:17" x14ac:dyDescent="0.25">
      <c r="B282" s="114">
        <v>25</v>
      </c>
      <c r="C282" s="114">
        <v>67</v>
      </c>
      <c r="D282" s="114">
        <v>17</v>
      </c>
      <c r="E282" s="154" cm="1">
        <f t="array" ref="E282">IF(ISBLANK(MainData[[#This Row],[EventID]]),0,IFERROR(INDEX(MainData[],MATCH(MainData[[#This Row],[EventID]],IF(MainData[Product]="Date",MainData[EventID],0),0),12),0))</f>
        <v>44576</v>
      </c>
      <c r="F282" s="155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2" s="155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2" s="157" t="s">
        <v>84</v>
      </c>
      <c r="J282" t="s">
        <v>187</v>
      </c>
      <c r="K282" s="2" t="s">
        <v>157</v>
      </c>
      <c r="L282" s="2" t="s">
        <v>118</v>
      </c>
      <c r="M282" s="2" t="s">
        <v>487</v>
      </c>
      <c r="N282" s="2"/>
      <c r="O282" s="109"/>
      <c r="P282" s="109"/>
      <c r="Q282" s="109"/>
    </row>
    <row r="283" spans="2:17" x14ac:dyDescent="0.25">
      <c r="B283" s="114">
        <v>25</v>
      </c>
      <c r="C283" s="114">
        <v>67</v>
      </c>
      <c r="D283" s="114">
        <v>17</v>
      </c>
      <c r="E283" s="154" cm="1">
        <f t="array" ref="E283">IF(ISBLANK(MainData[[#This Row],[EventID]]),0,IFERROR(INDEX(MainData[],MATCH(MainData[[#This Row],[EventID]],IF(MainData[Product]="Date",MainData[EventID],0),0),12),0))</f>
        <v>44576</v>
      </c>
      <c r="F283" s="155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3" s="155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3" s="20" t="s">
        <v>85</v>
      </c>
      <c r="J283" t="s">
        <v>20</v>
      </c>
      <c r="K283" s="2" t="s">
        <v>116</v>
      </c>
      <c r="L283" s="2" t="s">
        <v>88</v>
      </c>
      <c r="M283" s="2" t="s">
        <v>189</v>
      </c>
      <c r="N283" s="2" t="s">
        <v>233</v>
      </c>
      <c r="O283" s="109">
        <v>3</v>
      </c>
      <c r="P283" s="109"/>
      <c r="Q283" s="109"/>
    </row>
    <row r="284" spans="2:17" x14ac:dyDescent="0.25">
      <c r="B284" s="114">
        <v>25</v>
      </c>
      <c r="C284" s="114">
        <v>67</v>
      </c>
      <c r="D284" s="114">
        <v>17</v>
      </c>
      <c r="E284" s="154" cm="1">
        <f t="array" ref="E284">IF(ISBLANK(MainData[[#This Row],[EventID]]),0,IFERROR(INDEX(MainData[],MATCH(MainData[[#This Row],[EventID]],IF(MainData[Product]="Date",MainData[EventID],0),0),12),0))</f>
        <v>44576</v>
      </c>
      <c r="F284" s="155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4" s="155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4" s="20" t="s">
        <v>85</v>
      </c>
      <c r="J284" t="s">
        <v>20</v>
      </c>
      <c r="K284" s="2" t="s">
        <v>116</v>
      </c>
      <c r="L284" s="2" t="s">
        <v>87</v>
      </c>
      <c r="M284" s="2" t="s">
        <v>188</v>
      </c>
      <c r="N284" s="2" t="s">
        <v>233</v>
      </c>
      <c r="O284" s="109">
        <v>5</v>
      </c>
      <c r="P284" s="109"/>
      <c r="Q284" s="109">
        <v>500</v>
      </c>
    </row>
    <row r="285" spans="2:17" x14ac:dyDescent="0.25">
      <c r="B285" s="114">
        <v>25</v>
      </c>
      <c r="C285" s="114">
        <v>67</v>
      </c>
      <c r="D285" s="114">
        <v>17</v>
      </c>
      <c r="E285" s="154" cm="1">
        <f t="array" ref="E285">IF(ISBLANK(MainData[[#This Row],[EventID]]),0,IFERROR(INDEX(MainData[],MATCH(MainData[[#This Row],[EventID]],IF(MainData[Product]="Date",MainData[EventID],0),0),12),0))</f>
        <v>44576</v>
      </c>
      <c r="F285" s="155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5" s="155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5" s="157" t="s">
        <v>85</v>
      </c>
      <c r="J285" t="s">
        <v>20</v>
      </c>
      <c r="K285" s="2" t="s">
        <v>29</v>
      </c>
      <c r="L285" s="2" t="s">
        <v>35</v>
      </c>
      <c r="M285" s="2" t="s">
        <v>382</v>
      </c>
      <c r="N285" s="2" t="s">
        <v>234</v>
      </c>
      <c r="O285" s="109">
        <v>5</v>
      </c>
      <c r="P285" s="109">
        <v>125</v>
      </c>
      <c r="Q285" s="109">
        <v>1250</v>
      </c>
    </row>
    <row r="286" spans="2:17" x14ac:dyDescent="0.25">
      <c r="B286" s="114">
        <v>25</v>
      </c>
      <c r="C286" s="114">
        <v>67</v>
      </c>
      <c r="D286" s="114">
        <v>17</v>
      </c>
      <c r="E286" s="154" cm="1">
        <f t="array" ref="E286">IF(ISBLANK(MainData[[#This Row],[EventID]]),0,IFERROR(INDEX(MainData[],MATCH(MainData[[#This Row],[EventID]],IF(MainData[Product]="Date",MainData[EventID],0),0),12),0))</f>
        <v>44576</v>
      </c>
      <c r="F286" s="155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6" s="155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6" s="20" t="s">
        <v>85</v>
      </c>
      <c r="J286" t="s">
        <v>20</v>
      </c>
      <c r="K286" s="2" t="s">
        <v>29</v>
      </c>
      <c r="L286" s="2" t="s">
        <v>36</v>
      </c>
      <c r="M286" s="2" t="s">
        <v>384</v>
      </c>
      <c r="N286" s="2" t="s">
        <v>234</v>
      </c>
      <c r="O286" s="109">
        <v>5</v>
      </c>
      <c r="P286" s="109">
        <v>269.2</v>
      </c>
      <c r="Q286" s="109">
        <v>3292</v>
      </c>
    </row>
    <row r="287" spans="2:17" x14ac:dyDescent="0.25">
      <c r="B287" s="114">
        <v>25</v>
      </c>
      <c r="C287" s="114">
        <v>67</v>
      </c>
      <c r="D287" s="114">
        <v>17</v>
      </c>
      <c r="E287" s="154" cm="1">
        <f t="array" ref="E287">IF(ISBLANK(MainData[[#This Row],[EventID]]),0,IFERROR(INDEX(MainData[],MATCH(MainData[[#This Row],[EventID]],IF(MainData[Product]="Date",MainData[EventID],0),0),12),0))</f>
        <v>44576</v>
      </c>
      <c r="F287" s="155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7" s="155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7" s="157" t="s">
        <v>85</v>
      </c>
      <c r="J287" t="s">
        <v>20</v>
      </c>
      <c r="K287" s="2" t="s">
        <v>29</v>
      </c>
      <c r="L287" s="2" t="s">
        <v>65</v>
      </c>
      <c r="M287" s="2" t="s">
        <v>383</v>
      </c>
      <c r="N287" s="2" t="s">
        <v>234</v>
      </c>
      <c r="O287" s="109">
        <v>5</v>
      </c>
      <c r="P287" s="109">
        <v>30</v>
      </c>
      <c r="Q287" s="109">
        <v>365</v>
      </c>
    </row>
    <row r="288" spans="2:17" x14ac:dyDescent="0.25">
      <c r="B288" s="114">
        <v>25</v>
      </c>
      <c r="C288" s="114">
        <v>67</v>
      </c>
      <c r="D288" s="114">
        <v>17</v>
      </c>
      <c r="E288" s="154" cm="1">
        <f t="array" ref="E288">IF(ISBLANK(MainData[[#This Row],[EventID]]),0,IFERROR(INDEX(MainData[],MATCH(MainData[[#This Row],[EventID]],IF(MainData[Product]="Date",MainData[EventID],0),0),12),0))</f>
        <v>44576</v>
      </c>
      <c r="F288" s="155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8" s="155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8" s="157" t="s">
        <v>85</v>
      </c>
      <c r="J288" t="s">
        <v>20</v>
      </c>
      <c r="K288" s="2" t="s">
        <v>29</v>
      </c>
      <c r="L288" s="2" t="s">
        <v>25</v>
      </c>
      <c r="M288" s="2" t="s">
        <v>388</v>
      </c>
      <c r="N288" s="2" t="s">
        <v>234</v>
      </c>
      <c r="O288" s="109">
        <v>5</v>
      </c>
      <c r="P288" s="109">
        <v>210</v>
      </c>
      <c r="Q288" s="109">
        <v>2100</v>
      </c>
    </row>
    <row r="289" spans="2:17" x14ac:dyDescent="0.25">
      <c r="B289" s="114">
        <v>26</v>
      </c>
      <c r="C289" s="114">
        <v>71</v>
      </c>
      <c r="D289" s="114">
        <v>18</v>
      </c>
      <c r="E289" s="154" cm="1">
        <f t="array" ref="E289">IF(ISBLANK(MainData[[#This Row],[EventID]]),0,IFERROR(INDEX(MainData[],MATCH(MainData[[#This Row],[EventID]],IF(MainData[Product]="Date",MainData[EventID],0),0),12),0))</f>
        <v>44578</v>
      </c>
      <c r="F289" s="155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9" s="155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20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157" t="s">
        <v>84</v>
      </c>
      <c r="J289" t="s">
        <v>187</v>
      </c>
      <c r="K289" s="2" t="s">
        <v>157</v>
      </c>
      <c r="L289" s="2" t="s">
        <v>150</v>
      </c>
      <c r="M289" s="2">
        <v>1</v>
      </c>
      <c r="N289" s="2"/>
      <c r="O289" s="109"/>
      <c r="P289" s="109"/>
      <c r="Q289" s="109"/>
    </row>
    <row r="290" spans="2:17" x14ac:dyDescent="0.25">
      <c r="B290" s="114">
        <v>26</v>
      </c>
      <c r="C290" s="114">
        <v>71</v>
      </c>
      <c r="D290" s="114">
        <v>18</v>
      </c>
      <c r="E290" s="154" cm="1">
        <f t="array" ref="E290">IF(ISBLANK(MainData[[#This Row],[EventID]]),0,IFERROR(INDEX(MainData[],MATCH(MainData[[#This Row],[EventID]],IF(MainData[Product]="Date",MainData[EventID],0),0),12),0))</f>
        <v>44578</v>
      </c>
      <c r="F290" s="155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0" s="155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157" t="s">
        <v>84</v>
      </c>
      <c r="J290" t="s">
        <v>187</v>
      </c>
      <c r="K290" s="2" t="s">
        <v>157</v>
      </c>
      <c r="L290" s="2" t="s">
        <v>81</v>
      </c>
      <c r="M290" s="2">
        <v>1</v>
      </c>
      <c r="N290" s="2"/>
      <c r="O290" s="109"/>
      <c r="P290" s="109"/>
      <c r="Q290" s="109"/>
    </row>
    <row r="291" spans="2:17" x14ac:dyDescent="0.25">
      <c r="B291" s="114">
        <v>26</v>
      </c>
      <c r="C291" s="114">
        <v>71</v>
      </c>
      <c r="D291" s="114">
        <v>18</v>
      </c>
      <c r="E291" s="154" cm="1">
        <f t="array" ref="E291">IF(ISBLANK(MainData[[#This Row],[EventID]]),0,IFERROR(INDEX(MainData[],MATCH(MainData[[#This Row],[EventID]],IF(MainData[Product]="Date",MainData[EventID],0),0),12),0))</f>
        <v>44578</v>
      </c>
      <c r="F291" s="155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1" s="155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157" t="s">
        <v>84</v>
      </c>
      <c r="J291" t="s">
        <v>187</v>
      </c>
      <c r="K291" s="2" t="s">
        <v>157</v>
      </c>
      <c r="L291" s="2" t="s">
        <v>0</v>
      </c>
      <c r="M291" s="158">
        <v>44578</v>
      </c>
      <c r="N291" s="2"/>
      <c r="O291" s="109"/>
      <c r="P291" s="109"/>
      <c r="Q291" s="109"/>
    </row>
    <row r="292" spans="2:17" x14ac:dyDescent="0.25">
      <c r="B292" s="114">
        <v>26</v>
      </c>
      <c r="C292" s="114">
        <v>71</v>
      </c>
      <c r="D292" s="114">
        <v>18</v>
      </c>
      <c r="E292" s="154" cm="1">
        <f t="array" ref="E292">IF(ISBLANK(MainData[[#This Row],[EventID]]),0,IFERROR(INDEX(MainData[],MATCH(MainData[[#This Row],[EventID]],IF(MainData[Product]="Date",MainData[EventID],0),0),12),0))</f>
        <v>44578</v>
      </c>
      <c r="F292" s="155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2" s="155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157" t="s">
        <v>84</v>
      </c>
      <c r="J292" t="s">
        <v>187</v>
      </c>
      <c r="K292" s="2" t="s">
        <v>157</v>
      </c>
      <c r="L292" s="2" t="s">
        <v>82</v>
      </c>
      <c r="M292" s="2">
        <v>250850</v>
      </c>
      <c r="N292" s="2"/>
      <c r="O292" s="109"/>
      <c r="P292" s="109"/>
      <c r="Q292" s="109"/>
    </row>
    <row r="293" spans="2:17" x14ac:dyDescent="0.25">
      <c r="B293" s="114">
        <v>26</v>
      </c>
      <c r="C293" s="114">
        <v>71</v>
      </c>
      <c r="D293" s="114">
        <v>18</v>
      </c>
      <c r="E293" s="154" cm="1">
        <f t="array" ref="E293">IF(ISBLANK(MainData[[#This Row],[EventID]]),0,IFERROR(INDEX(MainData[],MATCH(MainData[[#This Row],[EventID]],IF(MainData[Product]="Date",MainData[EventID],0),0),12),0))</f>
        <v>44578</v>
      </c>
      <c r="F293" s="155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3" s="155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57" t="s">
        <v>84</v>
      </c>
      <c r="J293" t="s">
        <v>187</v>
      </c>
      <c r="K293" s="2" t="s">
        <v>157</v>
      </c>
      <c r="L293" s="2" t="s">
        <v>175</v>
      </c>
      <c r="M293" s="2" t="s">
        <v>475</v>
      </c>
      <c r="N293" s="2"/>
      <c r="O293" s="109"/>
      <c r="P293" s="109"/>
      <c r="Q293" s="109"/>
    </row>
    <row r="294" spans="2:17" x14ac:dyDescent="0.25">
      <c r="B294" s="114">
        <v>26</v>
      </c>
      <c r="C294" s="114">
        <v>71</v>
      </c>
      <c r="D294" s="114">
        <v>18</v>
      </c>
      <c r="E294" s="154" cm="1">
        <f t="array" ref="E294">IF(ISBLANK(MainData[[#This Row],[EventID]]),0,IFERROR(INDEX(MainData[],MATCH(MainData[[#This Row],[EventID]],IF(MainData[Product]="Date",MainData[EventID],0),0),12),0))</f>
        <v>44578</v>
      </c>
      <c r="F294" s="155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4" s="155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157" t="s">
        <v>84</v>
      </c>
      <c r="J294" t="s">
        <v>187</v>
      </c>
      <c r="K294" s="2" t="s">
        <v>157</v>
      </c>
      <c r="L294" s="2" t="s">
        <v>138</v>
      </c>
      <c r="M294" s="2">
        <v>35</v>
      </c>
      <c r="N294" s="2"/>
      <c r="O294" s="109"/>
      <c r="P294" s="109"/>
      <c r="Q294" s="109"/>
    </row>
    <row r="295" spans="2:17" x14ac:dyDescent="0.25">
      <c r="B295" s="114">
        <v>26</v>
      </c>
      <c r="C295" s="114">
        <v>71</v>
      </c>
      <c r="D295" s="114">
        <v>18</v>
      </c>
      <c r="E295" s="154" cm="1">
        <f t="array" ref="E295">IF(ISBLANK(MainData[[#This Row],[EventID]]),0,IFERROR(INDEX(MainData[],MATCH(MainData[[#This Row],[EventID]],IF(MainData[Product]="Date",MainData[EventID],0),0),12),0))</f>
        <v>44578</v>
      </c>
      <c r="F295" s="155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5" s="155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157" t="s">
        <v>84</v>
      </c>
      <c r="J295" t="s">
        <v>187</v>
      </c>
      <c r="K295" s="2" t="s">
        <v>157</v>
      </c>
      <c r="L295" s="2" t="s">
        <v>86</v>
      </c>
      <c r="M295" s="2">
        <v>1</v>
      </c>
      <c r="N295" s="2"/>
      <c r="O295" s="109"/>
      <c r="P295" s="109"/>
      <c r="Q295" s="109"/>
    </row>
    <row r="296" spans="2:17" x14ac:dyDescent="0.25">
      <c r="B296" s="114">
        <v>26</v>
      </c>
      <c r="C296" s="114">
        <v>71</v>
      </c>
      <c r="D296" s="114">
        <v>18</v>
      </c>
      <c r="E296" s="154" cm="1">
        <f t="array" ref="E296">IF(ISBLANK(MainData[[#This Row],[EventID]]),0,IFERROR(INDEX(MainData[],MATCH(MainData[[#This Row],[EventID]],IF(MainData[Product]="Date",MainData[EventID],0),0),12),0))</f>
        <v>44578</v>
      </c>
      <c r="F296" s="155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6" s="155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57" t="s">
        <v>84</v>
      </c>
      <c r="J296" t="s">
        <v>187</v>
      </c>
      <c r="K296" s="2" t="s">
        <v>157</v>
      </c>
      <c r="L296" s="2" t="s">
        <v>118</v>
      </c>
      <c r="M296" s="2" t="s">
        <v>489</v>
      </c>
      <c r="N296" s="2"/>
      <c r="O296" s="109"/>
      <c r="P296" s="109"/>
      <c r="Q296" s="109"/>
    </row>
    <row r="297" spans="2:17" x14ac:dyDescent="0.25">
      <c r="B297" s="114">
        <v>26</v>
      </c>
      <c r="C297" s="114">
        <v>71</v>
      </c>
      <c r="D297" s="114">
        <v>18</v>
      </c>
      <c r="E297" s="154" cm="1">
        <f t="array" ref="E297">IF(ISBLANK(MainData[[#This Row],[EventID]]),0,IFERROR(INDEX(MainData[],MATCH(MainData[[#This Row],[EventID]],IF(MainData[Product]="Date",MainData[EventID],0),0),12),0))</f>
        <v>44578</v>
      </c>
      <c r="F297" s="155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7" s="155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20" t="s">
        <v>85</v>
      </c>
      <c r="J297" t="s">
        <v>21</v>
      </c>
      <c r="K297" s="2" t="s">
        <v>116</v>
      </c>
      <c r="L297" s="2" t="s">
        <v>107</v>
      </c>
      <c r="M297" s="2" t="s">
        <v>190</v>
      </c>
      <c r="N297" s="2" t="s">
        <v>233</v>
      </c>
      <c r="O297" s="109">
        <v>1</v>
      </c>
      <c r="P297" s="109"/>
      <c r="Q297" s="109"/>
    </row>
    <row r="298" spans="2:17" x14ac:dyDescent="0.25">
      <c r="B298" s="114">
        <v>26</v>
      </c>
      <c r="C298" s="114">
        <v>71</v>
      </c>
      <c r="D298" s="114">
        <v>18</v>
      </c>
      <c r="E298" s="154" cm="1">
        <f t="array" ref="E298">IF(ISBLANK(MainData[[#This Row],[EventID]]),0,IFERROR(INDEX(MainData[],MATCH(MainData[[#This Row],[EventID]],IF(MainData[Product]="Date",MainData[EventID],0),0),12),0))</f>
        <v>44578</v>
      </c>
      <c r="F298" s="155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8" s="155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20" t="s">
        <v>85</v>
      </c>
      <c r="J298" t="s">
        <v>21</v>
      </c>
      <c r="K298" s="2" t="s">
        <v>29</v>
      </c>
      <c r="L298" s="2" t="s">
        <v>25</v>
      </c>
      <c r="M298" s="2" t="s">
        <v>6</v>
      </c>
      <c r="N298" s="2" t="s">
        <v>235</v>
      </c>
      <c r="O298" s="109">
        <v>1</v>
      </c>
      <c r="P298" s="109">
        <v>23</v>
      </c>
      <c r="Q298" s="109">
        <v>41</v>
      </c>
    </row>
    <row r="299" spans="2:17" x14ac:dyDescent="0.25">
      <c r="B299" s="114">
        <v>26</v>
      </c>
      <c r="C299" s="114">
        <v>78</v>
      </c>
      <c r="D299" s="114">
        <v>19</v>
      </c>
      <c r="E299" s="154" cm="1">
        <f t="array" ref="E299">IF(ISBLANK(MainData[[#This Row],[EventID]]),0,IFERROR(INDEX(MainData[],MATCH(MainData[[#This Row],[EventID]],IF(MainData[Product]="Date",MainData[EventID],0),0),12),0))</f>
        <v>44581</v>
      </c>
      <c r="F299" s="155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9" s="155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157" t="s">
        <v>84</v>
      </c>
      <c r="J299" t="s">
        <v>187</v>
      </c>
      <c r="K299" s="2" t="s">
        <v>157</v>
      </c>
      <c r="L299" s="2" t="s">
        <v>81</v>
      </c>
      <c r="M299" s="2">
        <v>1</v>
      </c>
      <c r="N299" s="2"/>
      <c r="O299" s="109"/>
      <c r="P299" s="109"/>
      <c r="Q299" s="109"/>
    </row>
    <row r="300" spans="2:17" x14ac:dyDescent="0.25">
      <c r="B300" s="114">
        <v>26</v>
      </c>
      <c r="C300" s="114">
        <v>78</v>
      </c>
      <c r="D300" s="114">
        <v>19</v>
      </c>
      <c r="E300" s="154" cm="1">
        <f t="array" ref="E300">IF(ISBLANK(MainData[[#This Row],[EventID]]),0,IFERROR(INDEX(MainData[],MATCH(MainData[[#This Row],[EventID]],IF(MainData[Product]="Date",MainData[EventID],0),0),12),0))</f>
        <v>44581</v>
      </c>
      <c r="F300" s="155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0" s="155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157" t="s">
        <v>84</v>
      </c>
      <c r="J300" t="s">
        <v>187</v>
      </c>
      <c r="K300" s="2" t="s">
        <v>157</v>
      </c>
      <c r="L300" s="2" t="s">
        <v>0</v>
      </c>
      <c r="M300" s="158">
        <v>44581</v>
      </c>
      <c r="N300" s="2"/>
      <c r="O300" s="109"/>
      <c r="P300" s="109"/>
      <c r="Q300" s="109"/>
    </row>
    <row r="301" spans="2:17" x14ac:dyDescent="0.25">
      <c r="B301" s="114">
        <v>26</v>
      </c>
      <c r="C301" s="114">
        <v>78</v>
      </c>
      <c r="D301" s="114">
        <v>19</v>
      </c>
      <c r="E301" s="154" cm="1">
        <f t="array" ref="E301">IF(ISBLANK(MainData[[#This Row],[EventID]]),0,IFERROR(INDEX(MainData[],MATCH(MainData[[#This Row],[EventID]],IF(MainData[Product]="Date",MainData[EventID],0),0),12),0))</f>
        <v>44581</v>
      </c>
      <c r="F301" s="155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1" s="155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157" t="s">
        <v>84</v>
      </c>
      <c r="J301" t="s">
        <v>187</v>
      </c>
      <c r="K301" s="2" t="s">
        <v>157</v>
      </c>
      <c r="L301" s="2" t="s">
        <v>82</v>
      </c>
      <c r="M301" s="2">
        <v>908801</v>
      </c>
      <c r="N301" s="2"/>
      <c r="O301" s="109"/>
      <c r="P301" s="109"/>
      <c r="Q301" s="109"/>
    </row>
    <row r="302" spans="2:17" x14ac:dyDescent="0.25">
      <c r="B302" s="114">
        <v>26</v>
      </c>
      <c r="C302" s="114">
        <v>78</v>
      </c>
      <c r="D302" s="114">
        <v>19</v>
      </c>
      <c r="E302" s="154" cm="1">
        <f t="array" ref="E302">IF(ISBLANK(MainData[[#This Row],[EventID]]),0,IFERROR(INDEX(MainData[],MATCH(MainData[[#This Row],[EventID]],IF(MainData[Product]="Date",MainData[EventID],0),0),12),0))</f>
        <v>44581</v>
      </c>
      <c r="F302" s="155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2" s="155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157" t="s">
        <v>84</v>
      </c>
      <c r="J302" t="s">
        <v>187</v>
      </c>
      <c r="K302" s="2" t="s">
        <v>157</v>
      </c>
      <c r="L302" s="2" t="s">
        <v>175</v>
      </c>
      <c r="M302" s="2" t="s">
        <v>455</v>
      </c>
      <c r="N302" s="2"/>
      <c r="O302" s="109"/>
      <c r="P302" s="109"/>
      <c r="Q302" s="109"/>
    </row>
    <row r="303" spans="2:17" x14ac:dyDescent="0.25">
      <c r="B303" s="114">
        <v>26</v>
      </c>
      <c r="C303" s="114">
        <v>78</v>
      </c>
      <c r="D303" s="114">
        <v>19</v>
      </c>
      <c r="E303" s="154" cm="1">
        <f t="array" ref="E303">IF(ISBLANK(MainData[[#This Row],[EventID]]),0,IFERROR(INDEX(MainData[],MATCH(MainData[[#This Row],[EventID]],IF(MainData[Product]="Date",MainData[EventID],0),0),12),0))</f>
        <v>44581</v>
      </c>
      <c r="F303" s="155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3" s="155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157" t="s">
        <v>84</v>
      </c>
      <c r="J303" t="s">
        <v>187</v>
      </c>
      <c r="K303" s="2" t="s">
        <v>157</v>
      </c>
      <c r="L303" s="2" t="s">
        <v>138</v>
      </c>
      <c r="M303" s="2">
        <v>40</v>
      </c>
      <c r="N303" s="2"/>
      <c r="O303" s="109"/>
      <c r="P303" s="109"/>
      <c r="Q303" s="109"/>
    </row>
    <row r="304" spans="2:17" x14ac:dyDescent="0.25">
      <c r="B304" s="114">
        <v>26</v>
      </c>
      <c r="C304" s="114">
        <v>78</v>
      </c>
      <c r="D304" s="114">
        <v>19</v>
      </c>
      <c r="E304" s="154" cm="1">
        <f t="array" ref="E304">IF(ISBLANK(MainData[[#This Row],[EventID]]),0,IFERROR(INDEX(MainData[],MATCH(MainData[[#This Row],[EventID]],IF(MainData[Product]="Date",MainData[EventID],0),0),12),0))</f>
        <v>44581</v>
      </c>
      <c r="F304" s="155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4" s="155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157" t="s">
        <v>84</v>
      </c>
      <c r="J304" t="s">
        <v>187</v>
      </c>
      <c r="K304" s="2" t="s">
        <v>157</v>
      </c>
      <c r="L304" s="2" t="s">
        <v>86</v>
      </c>
      <c r="M304" s="2">
        <v>2</v>
      </c>
      <c r="N304" s="2"/>
      <c r="O304" s="109"/>
      <c r="P304" s="109"/>
      <c r="Q304" s="109"/>
    </row>
    <row r="305" spans="2:17" x14ac:dyDescent="0.25">
      <c r="B305" s="114">
        <v>26</v>
      </c>
      <c r="C305" s="114">
        <v>78</v>
      </c>
      <c r="D305" s="114">
        <v>19</v>
      </c>
      <c r="E305" s="154" cm="1">
        <f t="array" ref="E305">IF(ISBLANK(MainData[[#This Row],[EventID]]),0,IFERROR(INDEX(MainData[],MATCH(MainData[[#This Row],[EventID]],IF(MainData[Product]="Date",MainData[EventID],0),0),12),0))</f>
        <v>44581</v>
      </c>
      <c r="F305" s="155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5" s="155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57" t="s">
        <v>84</v>
      </c>
      <c r="J305" t="s">
        <v>187</v>
      </c>
      <c r="K305" s="2" t="s">
        <v>157</v>
      </c>
      <c r="L305" s="2" t="s">
        <v>118</v>
      </c>
      <c r="M305" s="2" t="s">
        <v>460</v>
      </c>
      <c r="N305" s="2"/>
      <c r="O305" s="109"/>
      <c r="P305" s="109"/>
      <c r="Q305" s="109"/>
    </row>
    <row r="306" spans="2:17" x14ac:dyDescent="0.25">
      <c r="B306" s="114">
        <v>26</v>
      </c>
      <c r="C306" s="114">
        <v>78</v>
      </c>
      <c r="D306" s="114">
        <v>19</v>
      </c>
      <c r="E306" s="154" cm="1">
        <f t="array" ref="E306">IF(ISBLANK(MainData[[#This Row],[EventID]]),0,IFERROR(INDEX(MainData[],MATCH(MainData[[#This Row],[EventID]],IF(MainData[Product]="Date",MainData[EventID],0),0),12),0))</f>
        <v>44581</v>
      </c>
      <c r="F306" s="155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6" s="155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20" t="s">
        <v>85</v>
      </c>
      <c r="J306" t="s">
        <v>21</v>
      </c>
      <c r="K306" s="2" t="s">
        <v>116</v>
      </c>
      <c r="L306" s="2" t="s">
        <v>88</v>
      </c>
      <c r="M306" s="2" t="s">
        <v>189</v>
      </c>
      <c r="N306" s="2" t="s">
        <v>233</v>
      </c>
      <c r="O306" s="109">
        <v>1</v>
      </c>
      <c r="P306" s="109"/>
      <c r="Q306" s="109"/>
    </row>
    <row r="307" spans="2:17" x14ac:dyDescent="0.25">
      <c r="B307" s="114">
        <v>26</v>
      </c>
      <c r="C307" s="114">
        <v>78</v>
      </c>
      <c r="D307" s="114">
        <v>19</v>
      </c>
      <c r="E307" s="154" cm="1">
        <f t="array" ref="E307">IF(ISBLANK(MainData[[#This Row],[EventID]]),0,IFERROR(INDEX(MainData[],MATCH(MainData[[#This Row],[EventID]],IF(MainData[Product]="Date",MainData[EventID],0),0),12),0))</f>
        <v>44581</v>
      </c>
      <c r="F307" s="155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7" s="155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20" t="s">
        <v>85</v>
      </c>
      <c r="J307" t="s">
        <v>21</v>
      </c>
      <c r="K307" s="2" t="s">
        <v>116</v>
      </c>
      <c r="L307" s="2" t="s">
        <v>87</v>
      </c>
      <c r="M307" s="2" t="s">
        <v>188</v>
      </c>
      <c r="N307" s="2" t="s">
        <v>233</v>
      </c>
      <c r="O307" s="109">
        <v>1</v>
      </c>
      <c r="P307" s="109"/>
      <c r="Q307" s="109"/>
    </row>
    <row r="308" spans="2:17" x14ac:dyDescent="0.25">
      <c r="B308" s="114">
        <v>26</v>
      </c>
      <c r="C308" s="114">
        <v>78</v>
      </c>
      <c r="D308" s="114">
        <v>19</v>
      </c>
      <c r="E308" s="154" cm="1">
        <f t="array" ref="E308">IF(ISBLANK(MainData[[#This Row],[EventID]]),0,IFERROR(INDEX(MainData[],MATCH(MainData[[#This Row],[EventID]],IF(MainData[Product]="Date",MainData[EventID],0),0),12),0))</f>
        <v>44581</v>
      </c>
      <c r="F308" s="155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8" s="155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157" t="s">
        <v>85</v>
      </c>
      <c r="J308" t="s">
        <v>21</v>
      </c>
      <c r="K308" s="2" t="s">
        <v>29</v>
      </c>
      <c r="L308" s="2" t="s">
        <v>35</v>
      </c>
      <c r="M308" s="2" t="s">
        <v>382</v>
      </c>
      <c r="N308" s="2" t="s">
        <v>234</v>
      </c>
      <c r="O308" s="109">
        <v>1</v>
      </c>
      <c r="P308" s="109">
        <v>25</v>
      </c>
      <c r="Q308" s="109">
        <v>230</v>
      </c>
    </row>
    <row r="309" spans="2:17" x14ac:dyDescent="0.25">
      <c r="B309" s="114">
        <v>26</v>
      </c>
      <c r="C309" s="114">
        <v>78</v>
      </c>
      <c r="D309" s="114">
        <v>19</v>
      </c>
      <c r="E309" s="154" cm="1">
        <f t="array" ref="E309">IF(ISBLANK(MainData[[#This Row],[EventID]]),0,IFERROR(INDEX(MainData[],MATCH(MainData[[#This Row],[EventID]],IF(MainData[Product]="Date",MainData[EventID],0),0),12),0))</f>
        <v>44581</v>
      </c>
      <c r="F309" s="155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9" s="155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20" t="s">
        <v>85</v>
      </c>
      <c r="J309" t="s">
        <v>21</v>
      </c>
      <c r="K309" s="2" t="s">
        <v>29</v>
      </c>
      <c r="L309" s="2" t="s">
        <v>36</v>
      </c>
      <c r="M309" s="2" t="s">
        <v>387</v>
      </c>
      <c r="N309" s="2" t="s">
        <v>234</v>
      </c>
      <c r="O309" s="109">
        <v>1</v>
      </c>
      <c r="P309" s="109">
        <v>31.8</v>
      </c>
      <c r="Q309" s="109">
        <v>423</v>
      </c>
    </row>
    <row r="310" spans="2:17" x14ac:dyDescent="0.25">
      <c r="B310" s="114">
        <v>26</v>
      </c>
      <c r="C310" s="114">
        <v>78</v>
      </c>
      <c r="D310" s="114">
        <v>19</v>
      </c>
      <c r="E310" s="154" cm="1">
        <f t="array" ref="E310">IF(ISBLANK(MainData[[#This Row],[EventID]]),0,IFERROR(INDEX(MainData[],MATCH(MainData[[#This Row],[EventID]],IF(MainData[Product]="Date",MainData[EventID],0),0),12),0))</f>
        <v>44581</v>
      </c>
      <c r="F310" s="155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10" s="155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57" t="s">
        <v>85</v>
      </c>
      <c r="J310" t="s">
        <v>21</v>
      </c>
      <c r="K310" s="2" t="s">
        <v>29</v>
      </c>
      <c r="L310" s="2" t="s">
        <v>65</v>
      </c>
      <c r="M310" s="2" t="s">
        <v>383</v>
      </c>
      <c r="N310" s="2" t="s">
        <v>234</v>
      </c>
      <c r="O310" s="109">
        <v>1</v>
      </c>
      <c r="P310" s="109">
        <v>4</v>
      </c>
      <c r="Q310" s="109">
        <v>55</v>
      </c>
    </row>
    <row r="311" spans="2:17" x14ac:dyDescent="0.25">
      <c r="B311" s="114">
        <v>26</v>
      </c>
      <c r="C311" s="114">
        <v>78</v>
      </c>
      <c r="D311" s="114">
        <v>19</v>
      </c>
      <c r="E311" s="154" cm="1">
        <f t="array" ref="E311">IF(ISBLANK(MainData[[#This Row],[EventID]]),0,IFERROR(INDEX(MainData[],MATCH(MainData[[#This Row],[EventID]],IF(MainData[Product]="Date",MainData[EventID],0),0),12),0))</f>
        <v>44581</v>
      </c>
      <c r="F311" s="155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11" s="155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157" t="s">
        <v>85</v>
      </c>
      <c r="J311" t="s">
        <v>21</v>
      </c>
      <c r="K311" s="2" t="s">
        <v>29</v>
      </c>
      <c r="L311" s="2" t="s">
        <v>25</v>
      </c>
      <c r="M311" s="2" t="s">
        <v>388</v>
      </c>
      <c r="N311" s="2" t="s">
        <v>234</v>
      </c>
      <c r="O311" s="109">
        <v>1</v>
      </c>
      <c r="P311" s="109">
        <v>35</v>
      </c>
      <c r="Q311" s="109">
        <v>350</v>
      </c>
    </row>
    <row r="312" spans="2:17" x14ac:dyDescent="0.25">
      <c r="B312" s="114">
        <v>26</v>
      </c>
      <c r="C312" s="114">
        <v>69</v>
      </c>
      <c r="D312" s="114">
        <v>20</v>
      </c>
      <c r="E312" s="154" cm="1">
        <f t="array" ref="E312">IF(ISBLANK(MainData[[#This Row],[EventID]]),0,IFERROR(INDEX(MainData[],MATCH(MainData[[#This Row],[EventID]],IF(MainData[Product]="Date",MainData[EventID],0),0),12),0))</f>
        <v>44582</v>
      </c>
      <c r="F312" s="155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2" s="155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157" t="s">
        <v>84</v>
      </c>
      <c r="J312" t="s">
        <v>187</v>
      </c>
      <c r="K312" s="2" t="s">
        <v>157</v>
      </c>
      <c r="L312" s="2" t="s">
        <v>81</v>
      </c>
      <c r="M312" s="2">
        <v>1</v>
      </c>
      <c r="N312" s="2"/>
      <c r="O312" s="109"/>
      <c r="P312" s="109"/>
      <c r="Q312" s="109"/>
    </row>
    <row r="313" spans="2:17" x14ac:dyDescent="0.25">
      <c r="B313" s="114">
        <v>26</v>
      </c>
      <c r="C313" s="114">
        <v>69</v>
      </c>
      <c r="D313" s="114">
        <v>20</v>
      </c>
      <c r="E313" s="154" cm="1">
        <f t="array" ref="E313">IF(ISBLANK(MainData[[#This Row],[EventID]]),0,IFERROR(INDEX(MainData[],MATCH(MainData[[#This Row],[EventID]],IF(MainData[Product]="Date",MainData[EventID],0),0),12),0))</f>
        <v>44582</v>
      </c>
      <c r="F313" s="155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3" s="155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57" t="s">
        <v>84</v>
      </c>
      <c r="J313" t="s">
        <v>187</v>
      </c>
      <c r="K313" s="2" t="s">
        <v>157</v>
      </c>
      <c r="L313" s="2" t="s">
        <v>0</v>
      </c>
      <c r="M313" s="158">
        <v>44582</v>
      </c>
      <c r="N313" s="2"/>
      <c r="O313" s="109"/>
      <c r="P313" s="109"/>
      <c r="Q313" s="109"/>
    </row>
    <row r="314" spans="2:17" x14ac:dyDescent="0.25">
      <c r="B314" s="114">
        <v>26</v>
      </c>
      <c r="C314" s="114">
        <v>69</v>
      </c>
      <c r="D314" s="114">
        <v>20</v>
      </c>
      <c r="E314" s="154" cm="1">
        <f t="array" ref="E314">IF(ISBLANK(MainData[[#This Row],[EventID]]),0,IFERROR(INDEX(MainData[],MATCH(MainData[[#This Row],[EventID]],IF(MainData[Product]="Date",MainData[EventID],0),0),12),0))</f>
        <v>44582</v>
      </c>
      <c r="F314" s="155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4" s="155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57" t="s">
        <v>84</v>
      </c>
      <c r="J314" t="s">
        <v>187</v>
      </c>
      <c r="K314" s="2" t="s">
        <v>157</v>
      </c>
      <c r="L314" s="2" t="s">
        <v>82</v>
      </c>
      <c r="M314" s="2">
        <v>172826</v>
      </c>
      <c r="N314" s="2"/>
      <c r="O314" s="109"/>
      <c r="P314" s="109"/>
      <c r="Q314" s="109"/>
    </row>
    <row r="315" spans="2:17" x14ac:dyDescent="0.25">
      <c r="B315" s="114">
        <v>26</v>
      </c>
      <c r="C315" s="114">
        <v>69</v>
      </c>
      <c r="D315" s="114">
        <v>20</v>
      </c>
      <c r="E315" s="154" cm="1">
        <f t="array" ref="E315">IF(ISBLANK(MainData[[#This Row],[EventID]]),0,IFERROR(INDEX(MainData[],MATCH(MainData[[#This Row],[EventID]],IF(MainData[Product]="Date",MainData[EventID],0),0),12),0))</f>
        <v>44582</v>
      </c>
      <c r="F315" s="155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5" s="155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157" t="s">
        <v>84</v>
      </c>
      <c r="J315" t="s">
        <v>187</v>
      </c>
      <c r="K315" s="2" t="s">
        <v>157</v>
      </c>
      <c r="L315" s="2" t="s">
        <v>175</v>
      </c>
      <c r="M315" s="2" t="s">
        <v>455</v>
      </c>
      <c r="N315" s="2"/>
      <c r="O315" s="109"/>
      <c r="P315" s="109"/>
      <c r="Q315" s="109"/>
    </row>
    <row r="316" spans="2:17" x14ac:dyDescent="0.25">
      <c r="B316" s="114">
        <v>26</v>
      </c>
      <c r="C316" s="114">
        <v>69</v>
      </c>
      <c r="D316" s="114">
        <v>20</v>
      </c>
      <c r="E316" s="154" cm="1">
        <f t="array" ref="E316">IF(ISBLANK(MainData[[#This Row],[EventID]]),0,IFERROR(INDEX(MainData[],MATCH(MainData[[#This Row],[EventID]],IF(MainData[Product]="Date",MainData[EventID],0),0),12),0))</f>
        <v>44582</v>
      </c>
      <c r="F316" s="155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6" s="155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157" t="s">
        <v>84</v>
      </c>
      <c r="J316" t="s">
        <v>187</v>
      </c>
      <c r="K316" s="2" t="s">
        <v>157</v>
      </c>
      <c r="L316" s="2" t="s">
        <v>138</v>
      </c>
      <c r="M316" s="2">
        <v>350</v>
      </c>
      <c r="N316" s="2"/>
      <c r="O316" s="109"/>
      <c r="P316" s="109"/>
      <c r="Q316" s="109"/>
    </row>
    <row r="317" spans="2:17" x14ac:dyDescent="0.25">
      <c r="B317" s="114">
        <v>26</v>
      </c>
      <c r="C317" s="114">
        <v>69</v>
      </c>
      <c r="D317" s="114">
        <v>20</v>
      </c>
      <c r="E317" s="154" cm="1">
        <f t="array" ref="E317">IF(ISBLANK(MainData[[#This Row],[EventID]]),0,IFERROR(INDEX(MainData[],MATCH(MainData[[#This Row],[EventID]],IF(MainData[Product]="Date",MainData[EventID],0),0),12),0))</f>
        <v>44582</v>
      </c>
      <c r="F317" s="155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7" s="155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157" t="s">
        <v>84</v>
      </c>
      <c r="J317" t="s">
        <v>187</v>
      </c>
      <c r="K317" s="2" t="s">
        <v>157</v>
      </c>
      <c r="L317" s="2" t="s">
        <v>86</v>
      </c>
      <c r="M317" s="2">
        <v>1</v>
      </c>
      <c r="N317" s="2"/>
      <c r="O317" s="109"/>
      <c r="P317" s="109"/>
      <c r="Q317" s="109"/>
    </row>
    <row r="318" spans="2:17" x14ac:dyDescent="0.25">
      <c r="B318" s="114">
        <v>26</v>
      </c>
      <c r="C318" s="114">
        <v>69</v>
      </c>
      <c r="D318" s="114">
        <v>20</v>
      </c>
      <c r="E318" s="154" cm="1">
        <f t="array" ref="E318">IF(ISBLANK(MainData[[#This Row],[EventID]]),0,IFERROR(INDEX(MainData[],MATCH(MainData[[#This Row],[EventID]],IF(MainData[Product]="Date",MainData[EventID],0),0),12),0))</f>
        <v>44582</v>
      </c>
      <c r="F318" s="155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8" s="155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157" t="s">
        <v>84</v>
      </c>
      <c r="J318" t="s">
        <v>187</v>
      </c>
      <c r="K318" s="2" t="s">
        <v>157</v>
      </c>
      <c r="L318" s="2" t="s">
        <v>118</v>
      </c>
      <c r="M318" s="2" t="s">
        <v>467</v>
      </c>
      <c r="N318" s="2"/>
      <c r="O318" s="109"/>
      <c r="P318" s="109"/>
      <c r="Q318" s="109"/>
    </row>
    <row r="319" spans="2:17" x14ac:dyDescent="0.25">
      <c r="B319" s="114">
        <v>26</v>
      </c>
      <c r="C319" s="114">
        <v>69</v>
      </c>
      <c r="D319" s="114">
        <v>20</v>
      </c>
      <c r="E319" s="154" cm="1">
        <f t="array" ref="E319">IF(ISBLANK(MainData[[#This Row],[EventID]]),0,IFERROR(INDEX(MainData[],MATCH(MainData[[#This Row],[EventID]],IF(MainData[Product]="Date",MainData[EventID],0),0),12),0))</f>
        <v>44582</v>
      </c>
      <c r="F319" s="155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9" s="155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20" t="s">
        <v>85</v>
      </c>
      <c r="J319" t="s">
        <v>20</v>
      </c>
      <c r="K319" s="2" t="s">
        <v>116</v>
      </c>
      <c r="L319" s="2" t="s">
        <v>88</v>
      </c>
      <c r="M319" s="2" t="s">
        <v>189</v>
      </c>
      <c r="N319" s="2" t="s">
        <v>233</v>
      </c>
      <c r="O319" s="109">
        <v>2</v>
      </c>
      <c r="P319" s="109"/>
      <c r="Q319" s="109"/>
    </row>
    <row r="320" spans="2:17" x14ac:dyDescent="0.25">
      <c r="B320" s="114">
        <v>26</v>
      </c>
      <c r="C320" s="114">
        <v>69</v>
      </c>
      <c r="D320" s="114">
        <v>20</v>
      </c>
      <c r="E320" s="154" cm="1">
        <f t="array" ref="E320">IF(ISBLANK(MainData[[#This Row],[EventID]]),0,IFERROR(INDEX(MainData[],MATCH(MainData[[#This Row],[EventID]],IF(MainData[Product]="Date",MainData[EventID],0),0),12),0))</f>
        <v>44582</v>
      </c>
      <c r="F320" s="155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0" s="155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20" t="s">
        <v>85</v>
      </c>
      <c r="J320" t="s">
        <v>20</v>
      </c>
      <c r="K320" s="2" t="s">
        <v>116</v>
      </c>
      <c r="L320" s="2" t="s">
        <v>87</v>
      </c>
      <c r="M320" s="2" t="s">
        <v>188</v>
      </c>
      <c r="N320" s="2" t="s">
        <v>233</v>
      </c>
      <c r="O320" s="109">
        <v>4</v>
      </c>
      <c r="P320" s="109"/>
      <c r="Q320" s="109">
        <v>400</v>
      </c>
    </row>
    <row r="321" spans="2:17" x14ac:dyDescent="0.25">
      <c r="B321" s="114">
        <v>26</v>
      </c>
      <c r="C321" s="114">
        <v>69</v>
      </c>
      <c r="D321" s="114">
        <v>20</v>
      </c>
      <c r="E321" s="154" cm="1">
        <f t="array" ref="E321">IF(ISBLANK(MainData[[#This Row],[EventID]]),0,IFERROR(INDEX(MainData[],MATCH(MainData[[#This Row],[EventID]],IF(MainData[Product]="Date",MainData[EventID],0),0),12),0))</f>
        <v>44582</v>
      </c>
      <c r="F321" s="155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1" s="155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157" t="s">
        <v>85</v>
      </c>
      <c r="J321" t="s">
        <v>20</v>
      </c>
      <c r="K321" s="2" t="s">
        <v>29</v>
      </c>
      <c r="L321" s="2" t="s">
        <v>35</v>
      </c>
      <c r="M321" s="2" t="s">
        <v>382</v>
      </c>
      <c r="N321" s="2" t="s">
        <v>234</v>
      </c>
      <c r="O321" s="109">
        <v>4</v>
      </c>
      <c r="P321" s="109">
        <v>120</v>
      </c>
      <c r="Q321" s="109">
        <v>1190</v>
      </c>
    </row>
    <row r="322" spans="2:17" x14ac:dyDescent="0.25">
      <c r="B322" s="114">
        <v>26</v>
      </c>
      <c r="C322" s="114">
        <v>69</v>
      </c>
      <c r="D322" s="114">
        <v>20</v>
      </c>
      <c r="E322" s="154" cm="1">
        <f t="array" ref="E322">IF(ISBLANK(MainData[[#This Row],[EventID]]),0,IFERROR(INDEX(MainData[],MATCH(MainData[[#This Row],[EventID]],IF(MainData[Product]="Date",MainData[EventID],0),0),12),0))</f>
        <v>44582</v>
      </c>
      <c r="F322" s="155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2" s="155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20" t="s">
        <v>85</v>
      </c>
      <c r="J322" t="s">
        <v>20</v>
      </c>
      <c r="K322" s="2" t="s">
        <v>29</v>
      </c>
      <c r="L322" s="2" t="s">
        <v>36</v>
      </c>
      <c r="M322" s="2" t="s">
        <v>387</v>
      </c>
      <c r="N322" s="2" t="s">
        <v>234</v>
      </c>
      <c r="O322" s="109">
        <v>4</v>
      </c>
      <c r="P322" s="109">
        <v>281.7</v>
      </c>
      <c r="Q322" s="109">
        <v>2704.65</v>
      </c>
    </row>
    <row r="323" spans="2:17" x14ac:dyDescent="0.25">
      <c r="B323" s="114">
        <v>26</v>
      </c>
      <c r="C323" s="114">
        <v>69</v>
      </c>
      <c r="D323" s="114">
        <v>20</v>
      </c>
      <c r="E323" s="154" cm="1">
        <f t="array" ref="E323">IF(ISBLANK(MainData[[#This Row],[EventID]]),0,IFERROR(INDEX(MainData[],MATCH(MainData[[#This Row],[EventID]],IF(MainData[Product]="Date",MainData[EventID],0),0),12),0))</f>
        <v>44582</v>
      </c>
      <c r="F323" s="155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3" s="155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157" t="s">
        <v>85</v>
      </c>
      <c r="J323" t="s">
        <v>20</v>
      </c>
      <c r="K323" s="2" t="s">
        <v>29</v>
      </c>
      <c r="L323" s="2" t="s">
        <v>65</v>
      </c>
      <c r="M323" s="2" t="s">
        <v>383</v>
      </c>
      <c r="N323" s="2" t="s">
        <v>234</v>
      </c>
      <c r="O323" s="109">
        <v>4</v>
      </c>
      <c r="P323" s="109">
        <v>4</v>
      </c>
      <c r="Q323" s="109">
        <v>80</v>
      </c>
    </row>
    <row r="324" spans="2:17" x14ac:dyDescent="0.25">
      <c r="B324" s="114">
        <v>26</v>
      </c>
      <c r="C324" s="114">
        <v>69</v>
      </c>
      <c r="D324" s="114">
        <v>20</v>
      </c>
      <c r="E324" s="154" cm="1">
        <f t="array" ref="E324">IF(ISBLANK(MainData[[#This Row],[EventID]]),0,IFERROR(INDEX(MainData[],MATCH(MainData[[#This Row],[EventID]],IF(MainData[Product]="Date",MainData[EventID],0),0),12),0))</f>
        <v>44582</v>
      </c>
      <c r="F324" s="155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4" s="155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157" t="s">
        <v>85</v>
      </c>
      <c r="J324" t="s">
        <v>20</v>
      </c>
      <c r="K324" s="2" t="s">
        <v>29</v>
      </c>
      <c r="L324" s="2" t="s">
        <v>25</v>
      </c>
      <c r="M324" s="2" t="s">
        <v>388</v>
      </c>
      <c r="N324" s="2" t="s">
        <v>234</v>
      </c>
      <c r="O324" s="109">
        <v>4</v>
      </c>
      <c r="P324" s="109">
        <v>168</v>
      </c>
      <c r="Q324" s="109">
        <v>1680</v>
      </c>
    </row>
    <row r="325" spans="2:17" x14ac:dyDescent="0.25">
      <c r="B325" s="114">
        <v>26</v>
      </c>
      <c r="C325" s="114">
        <v>70</v>
      </c>
      <c r="D325" s="114">
        <v>21</v>
      </c>
      <c r="E325" s="154" cm="1">
        <f t="array" ref="E325">IF(ISBLANK(MainData[[#This Row],[EventID]]),0,IFERROR(INDEX(MainData[],MATCH(MainData[[#This Row],[EventID]],IF(MainData[Product]="Date",MainData[EventID],0),0),12),0))</f>
        <v>44582</v>
      </c>
      <c r="F325" s="155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5" s="155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157" t="s">
        <v>84</v>
      </c>
      <c r="J325" t="s">
        <v>187</v>
      </c>
      <c r="K325" s="2" t="s">
        <v>157</v>
      </c>
      <c r="L325" s="2" t="s">
        <v>81</v>
      </c>
      <c r="M325" s="2">
        <v>1</v>
      </c>
      <c r="N325" s="2"/>
      <c r="O325" s="109"/>
      <c r="P325" s="109"/>
      <c r="Q325" s="109"/>
    </row>
    <row r="326" spans="2:17" x14ac:dyDescent="0.25">
      <c r="B326" s="114">
        <v>26</v>
      </c>
      <c r="C326" s="114">
        <v>70</v>
      </c>
      <c r="D326" s="114">
        <v>21</v>
      </c>
      <c r="E326" s="154" cm="1">
        <f t="array" ref="E326">IF(ISBLANK(MainData[[#This Row],[EventID]]),0,IFERROR(INDEX(MainData[],MATCH(MainData[[#This Row],[EventID]],IF(MainData[Product]="Date",MainData[EventID],0),0),12),0))</f>
        <v>44582</v>
      </c>
      <c r="F326" s="155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6" s="155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157" t="s">
        <v>84</v>
      </c>
      <c r="J326" t="s">
        <v>187</v>
      </c>
      <c r="K326" s="2" t="s">
        <v>157</v>
      </c>
      <c r="L326" s="2" t="s">
        <v>0</v>
      </c>
      <c r="M326" s="158">
        <v>44582</v>
      </c>
      <c r="N326" s="2"/>
      <c r="O326" s="109"/>
      <c r="P326" s="109"/>
      <c r="Q326" s="109"/>
    </row>
    <row r="327" spans="2:17" x14ac:dyDescent="0.25">
      <c r="B327" s="114">
        <v>26</v>
      </c>
      <c r="C327" s="114">
        <v>70</v>
      </c>
      <c r="D327" s="114">
        <v>21</v>
      </c>
      <c r="E327" s="154" cm="1">
        <f t="array" ref="E327">IF(ISBLANK(MainData[[#This Row],[EventID]]),0,IFERROR(INDEX(MainData[],MATCH(MainData[[#This Row],[EventID]],IF(MainData[Product]="Date",MainData[EventID],0),0),12),0))</f>
        <v>44582</v>
      </c>
      <c r="F327" s="155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7" s="155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157" t="s">
        <v>84</v>
      </c>
      <c r="J327" t="s">
        <v>187</v>
      </c>
      <c r="K327" s="2" t="s">
        <v>157</v>
      </c>
      <c r="L327" s="2" t="s">
        <v>82</v>
      </c>
      <c r="M327" s="2">
        <v>217679</v>
      </c>
      <c r="N327" s="2"/>
      <c r="O327" s="109"/>
      <c r="P327" s="109"/>
      <c r="Q327" s="109"/>
    </row>
    <row r="328" spans="2:17" x14ac:dyDescent="0.25">
      <c r="B328" s="114">
        <v>26</v>
      </c>
      <c r="C328" s="114">
        <v>70</v>
      </c>
      <c r="D328" s="114">
        <v>21</v>
      </c>
      <c r="E328" s="154" cm="1">
        <f t="array" ref="E328">IF(ISBLANK(MainData[[#This Row],[EventID]]),0,IFERROR(INDEX(MainData[],MATCH(MainData[[#This Row],[EventID]],IF(MainData[Product]="Date",MainData[EventID],0),0),12),0))</f>
        <v>44582</v>
      </c>
      <c r="F328" s="155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8" s="155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157" t="s">
        <v>84</v>
      </c>
      <c r="J328" t="s">
        <v>187</v>
      </c>
      <c r="K328" s="2" t="s">
        <v>157</v>
      </c>
      <c r="L328" s="2" t="s">
        <v>175</v>
      </c>
      <c r="M328" s="2" t="s">
        <v>455</v>
      </c>
      <c r="N328" s="2"/>
      <c r="O328" s="109"/>
      <c r="P328" s="109"/>
      <c r="Q328" s="109"/>
    </row>
    <row r="329" spans="2:17" x14ac:dyDescent="0.25">
      <c r="B329" s="114">
        <v>26</v>
      </c>
      <c r="C329" s="114">
        <v>70</v>
      </c>
      <c r="D329" s="114">
        <v>21</v>
      </c>
      <c r="E329" s="154" cm="1">
        <f t="array" ref="E329">IF(ISBLANK(MainData[[#This Row],[EventID]]),0,IFERROR(INDEX(MainData[],MATCH(MainData[[#This Row],[EventID]],IF(MainData[Product]="Date",MainData[EventID],0),0),12),0))</f>
        <v>44582</v>
      </c>
      <c r="F329" s="155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9" s="155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157" t="s">
        <v>84</v>
      </c>
      <c r="J329" t="s">
        <v>187</v>
      </c>
      <c r="K329" s="2" t="s">
        <v>157</v>
      </c>
      <c r="L329" s="2" t="s">
        <v>138</v>
      </c>
      <c r="M329" s="2">
        <v>1200</v>
      </c>
      <c r="N329" s="2"/>
      <c r="O329" s="109"/>
      <c r="P329" s="109"/>
      <c r="Q329" s="109"/>
    </row>
    <row r="330" spans="2:17" x14ac:dyDescent="0.25">
      <c r="B330" s="114">
        <v>26</v>
      </c>
      <c r="C330" s="114">
        <v>70</v>
      </c>
      <c r="D330" s="114">
        <v>21</v>
      </c>
      <c r="E330" s="154" cm="1">
        <f t="array" ref="E330">IF(ISBLANK(MainData[[#This Row],[EventID]]),0,IFERROR(INDEX(MainData[],MATCH(MainData[[#This Row],[EventID]],IF(MainData[Product]="Date",MainData[EventID],0),0),12),0))</f>
        <v>44582</v>
      </c>
      <c r="F330" s="155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0" s="155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157" t="s">
        <v>84</v>
      </c>
      <c r="J330" t="s">
        <v>187</v>
      </c>
      <c r="K330" s="2" t="s">
        <v>157</v>
      </c>
      <c r="L330" s="2" t="s">
        <v>86</v>
      </c>
      <c r="M330" s="2">
        <v>1.5</v>
      </c>
      <c r="N330" s="2"/>
      <c r="O330" s="109"/>
      <c r="P330" s="109"/>
      <c r="Q330" s="109"/>
    </row>
    <row r="331" spans="2:17" x14ac:dyDescent="0.25">
      <c r="B331" s="114">
        <v>26</v>
      </c>
      <c r="C331" s="114">
        <v>70</v>
      </c>
      <c r="D331" s="114">
        <v>21</v>
      </c>
      <c r="E331" s="154" cm="1">
        <f t="array" ref="E331">IF(ISBLANK(MainData[[#This Row],[EventID]]),0,IFERROR(INDEX(MainData[],MATCH(MainData[[#This Row],[EventID]],IF(MainData[Product]="Date",MainData[EventID],0),0),12),0))</f>
        <v>44582</v>
      </c>
      <c r="F331" s="155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1" s="155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157" t="s">
        <v>84</v>
      </c>
      <c r="J331" t="s">
        <v>187</v>
      </c>
      <c r="K331" s="2" t="s">
        <v>157</v>
      </c>
      <c r="L331" s="2" t="s">
        <v>118</v>
      </c>
      <c r="M331" s="2" t="s">
        <v>492</v>
      </c>
      <c r="N331" s="2"/>
      <c r="O331" s="109"/>
      <c r="P331" s="109"/>
      <c r="Q331" s="109"/>
    </row>
    <row r="332" spans="2:17" x14ac:dyDescent="0.25">
      <c r="B332" s="114">
        <v>26</v>
      </c>
      <c r="C332" s="114">
        <v>70</v>
      </c>
      <c r="D332" s="114">
        <v>21</v>
      </c>
      <c r="E332" s="154" cm="1">
        <f t="array" ref="E332">IF(ISBLANK(MainData[[#This Row],[EventID]]),0,IFERROR(INDEX(MainData[],MATCH(MainData[[#This Row],[EventID]],IF(MainData[Product]="Date",MainData[EventID],0),0),12),0))</f>
        <v>44582</v>
      </c>
      <c r="F332" s="155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2" s="155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20" t="s">
        <v>85</v>
      </c>
      <c r="J332" t="s">
        <v>20</v>
      </c>
      <c r="K332" s="2" t="s">
        <v>116</v>
      </c>
      <c r="L332" s="2" t="s">
        <v>88</v>
      </c>
      <c r="M332" s="2" t="s">
        <v>189</v>
      </c>
      <c r="N332" s="2" t="s">
        <v>233</v>
      </c>
      <c r="O332" s="109">
        <v>6</v>
      </c>
      <c r="P332" s="109"/>
      <c r="Q332" s="109"/>
    </row>
    <row r="333" spans="2:17" x14ac:dyDescent="0.25">
      <c r="B333" s="114">
        <v>26</v>
      </c>
      <c r="C333" s="114">
        <v>70</v>
      </c>
      <c r="D333" s="114">
        <v>21</v>
      </c>
      <c r="E333" s="154" cm="1">
        <f t="array" ref="E333">IF(ISBLANK(MainData[[#This Row],[EventID]]),0,IFERROR(INDEX(MainData[],MATCH(MainData[[#This Row],[EventID]],IF(MainData[Product]="Date",MainData[EventID],0),0),12),0))</f>
        <v>44582</v>
      </c>
      <c r="F333" s="155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3" s="155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20" t="s">
        <v>85</v>
      </c>
      <c r="J333" t="s">
        <v>20</v>
      </c>
      <c r="K333" s="2" t="s">
        <v>116</v>
      </c>
      <c r="L333" s="2" t="s">
        <v>87</v>
      </c>
      <c r="M333" s="2" t="s">
        <v>188</v>
      </c>
      <c r="N333" s="2" t="s">
        <v>233</v>
      </c>
      <c r="O333" s="109">
        <v>14</v>
      </c>
      <c r="P333" s="109"/>
      <c r="Q333" s="109">
        <v>1400</v>
      </c>
    </row>
    <row r="334" spans="2:17" x14ac:dyDescent="0.25">
      <c r="B334" s="114">
        <v>26</v>
      </c>
      <c r="C334" s="114">
        <v>70</v>
      </c>
      <c r="D334" s="114">
        <v>21</v>
      </c>
      <c r="E334" s="154" cm="1">
        <f t="array" ref="E334">IF(ISBLANK(MainData[[#This Row],[EventID]]),0,IFERROR(INDEX(MainData[],MATCH(MainData[[#This Row],[EventID]],IF(MainData[Product]="Date",MainData[EventID],0),0),12),0))</f>
        <v>44582</v>
      </c>
      <c r="F334" s="155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4" s="155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157" t="s">
        <v>85</v>
      </c>
      <c r="J334" t="s">
        <v>20</v>
      </c>
      <c r="K334" s="2" t="s">
        <v>29</v>
      </c>
      <c r="L334" s="2" t="s">
        <v>35</v>
      </c>
      <c r="M334" s="2" t="s">
        <v>382</v>
      </c>
      <c r="N334" s="2" t="s">
        <v>234</v>
      </c>
      <c r="O334" s="109">
        <v>14</v>
      </c>
      <c r="P334" s="109">
        <v>890</v>
      </c>
      <c r="Q334" s="109">
        <v>8990.11</v>
      </c>
    </row>
    <row r="335" spans="2:17" x14ac:dyDescent="0.25">
      <c r="B335" s="114">
        <v>26</v>
      </c>
      <c r="C335" s="114">
        <v>70</v>
      </c>
      <c r="D335" s="114">
        <v>21</v>
      </c>
      <c r="E335" s="154" cm="1">
        <f t="array" ref="E335">IF(ISBLANK(MainData[[#This Row],[EventID]]),0,IFERROR(INDEX(MainData[],MATCH(MainData[[#This Row],[EventID]],IF(MainData[Product]="Date",MainData[EventID],0),0),12),0))</f>
        <v>44582</v>
      </c>
      <c r="F335" s="155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5" s="155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20" t="s">
        <v>85</v>
      </c>
      <c r="J335" t="s">
        <v>20</v>
      </c>
      <c r="K335" s="2" t="s">
        <v>29</v>
      </c>
      <c r="L335" s="2" t="s">
        <v>36</v>
      </c>
      <c r="M335" s="2" t="s">
        <v>387</v>
      </c>
      <c r="N335" s="2" t="s">
        <v>234</v>
      </c>
      <c r="O335" s="109">
        <v>14</v>
      </c>
      <c r="P335" s="109">
        <v>1323.2</v>
      </c>
      <c r="Q335" s="109">
        <v>14326.97</v>
      </c>
    </row>
    <row r="336" spans="2:17" x14ac:dyDescent="0.25">
      <c r="B336" s="114">
        <v>26</v>
      </c>
      <c r="C336" s="114">
        <v>70</v>
      </c>
      <c r="D336" s="114">
        <v>21</v>
      </c>
      <c r="E336" s="154" cm="1">
        <f t="array" ref="E336">IF(ISBLANK(MainData[[#This Row],[EventID]]),0,IFERROR(INDEX(MainData[],MATCH(MainData[[#This Row],[EventID]],IF(MainData[Product]="Date",MainData[EventID],0),0),12),0))</f>
        <v>44582</v>
      </c>
      <c r="F336" s="155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6" s="155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157" t="s">
        <v>85</v>
      </c>
      <c r="J336" t="s">
        <v>20</v>
      </c>
      <c r="K336" s="2" t="s">
        <v>29</v>
      </c>
      <c r="L336" s="2" t="s">
        <v>65</v>
      </c>
      <c r="M336" s="2" t="s">
        <v>383</v>
      </c>
      <c r="N336" s="2" t="s">
        <v>234</v>
      </c>
      <c r="O336" s="109">
        <v>14</v>
      </c>
      <c r="P336" s="109">
        <v>65</v>
      </c>
      <c r="Q336" s="109">
        <v>1124.98</v>
      </c>
    </row>
    <row r="337" spans="2:17" x14ac:dyDescent="0.25">
      <c r="B337" s="114">
        <v>26</v>
      </c>
      <c r="C337" s="114">
        <v>70</v>
      </c>
      <c r="D337" s="114">
        <v>21</v>
      </c>
      <c r="E337" s="154" cm="1">
        <f t="array" ref="E337">IF(ISBLANK(MainData[[#This Row],[EventID]]),0,IFERROR(INDEX(MainData[],MATCH(MainData[[#This Row],[EventID]],IF(MainData[Product]="Date",MainData[EventID],0),0),12),0))</f>
        <v>44582</v>
      </c>
      <c r="F337" s="155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7" s="155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157" t="s">
        <v>85</v>
      </c>
      <c r="J337" t="s">
        <v>20</v>
      </c>
      <c r="K337" s="2" t="s">
        <v>29</v>
      </c>
      <c r="L337" s="2" t="s">
        <v>25</v>
      </c>
      <c r="M337" s="2" t="s">
        <v>388</v>
      </c>
      <c r="N337" s="2" t="s">
        <v>234</v>
      </c>
      <c r="O337" s="109">
        <v>14</v>
      </c>
      <c r="P337" s="109">
        <v>1110</v>
      </c>
      <c r="Q337" s="109">
        <v>11149.23</v>
      </c>
    </row>
    <row r="338" spans="2:17" x14ac:dyDescent="0.25">
      <c r="B338" s="114">
        <v>26</v>
      </c>
      <c r="C338" s="114">
        <v>77</v>
      </c>
      <c r="D338" s="114">
        <v>22</v>
      </c>
      <c r="E338" s="154" cm="1">
        <f t="array" ref="E338">IF(ISBLANK(MainData[[#This Row],[EventID]]),0,IFERROR(INDEX(MainData[],MATCH(MainData[[#This Row],[EventID]],IF(MainData[Product]="Date",MainData[EventID],0),0),12),0))</f>
        <v>44582</v>
      </c>
      <c r="F338" s="155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8" s="155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157" t="s">
        <v>84</v>
      </c>
      <c r="J338" t="s">
        <v>187</v>
      </c>
      <c r="K338" s="2" t="s">
        <v>157</v>
      </c>
      <c r="L338" s="2" t="s">
        <v>81</v>
      </c>
      <c r="M338" s="2">
        <v>1</v>
      </c>
      <c r="N338" s="2"/>
      <c r="O338" s="109"/>
      <c r="P338" s="109"/>
      <c r="Q338" s="109"/>
    </row>
    <row r="339" spans="2:17" x14ac:dyDescent="0.25">
      <c r="B339" s="114">
        <v>26</v>
      </c>
      <c r="C339" s="114">
        <v>77</v>
      </c>
      <c r="D339" s="114">
        <v>22</v>
      </c>
      <c r="E339" s="154" cm="1">
        <f t="array" ref="E339">IF(ISBLANK(MainData[[#This Row],[EventID]]),0,IFERROR(INDEX(MainData[],MATCH(MainData[[#This Row],[EventID]],IF(MainData[Product]="Date",MainData[EventID],0),0),12),0))</f>
        <v>44582</v>
      </c>
      <c r="F339" s="155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9" s="155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157" t="s">
        <v>84</v>
      </c>
      <c r="J339" t="s">
        <v>187</v>
      </c>
      <c r="K339" s="2" t="s">
        <v>157</v>
      </c>
      <c r="L339" s="2" t="s">
        <v>0</v>
      </c>
      <c r="M339" s="158">
        <v>44582</v>
      </c>
      <c r="N339" s="2"/>
      <c r="O339" s="109"/>
      <c r="P339" s="109"/>
      <c r="Q339" s="109"/>
    </row>
    <row r="340" spans="2:17" x14ac:dyDescent="0.25">
      <c r="B340" s="114">
        <v>26</v>
      </c>
      <c r="C340" s="114">
        <v>77</v>
      </c>
      <c r="D340" s="114">
        <v>22</v>
      </c>
      <c r="E340" s="154" cm="1">
        <f t="array" ref="E340">IF(ISBLANK(MainData[[#This Row],[EventID]]),0,IFERROR(INDEX(MainData[],MATCH(MainData[[#This Row],[EventID]],IF(MainData[Product]="Date",MainData[EventID],0),0),12),0))</f>
        <v>44582</v>
      </c>
      <c r="F340" s="155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0" s="155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157" t="s">
        <v>84</v>
      </c>
      <c r="J340" t="s">
        <v>187</v>
      </c>
      <c r="K340" s="2" t="s">
        <v>157</v>
      </c>
      <c r="L340" s="2" t="s">
        <v>82</v>
      </c>
      <c r="M340" s="2">
        <v>854185</v>
      </c>
      <c r="N340" s="2"/>
      <c r="O340" s="109"/>
      <c r="P340" s="109"/>
      <c r="Q340" s="109"/>
    </row>
    <row r="341" spans="2:17" x14ac:dyDescent="0.25">
      <c r="B341" s="114">
        <v>26</v>
      </c>
      <c r="C341" s="114">
        <v>77</v>
      </c>
      <c r="D341" s="114">
        <v>22</v>
      </c>
      <c r="E341" s="154" cm="1">
        <f t="array" ref="E341">IF(ISBLANK(MainData[[#This Row],[EventID]]),0,IFERROR(INDEX(MainData[],MATCH(MainData[[#This Row],[EventID]],IF(MainData[Product]="Date",MainData[EventID],0),0),12),0))</f>
        <v>44582</v>
      </c>
      <c r="F341" s="155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1" s="155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157" t="s">
        <v>84</v>
      </c>
      <c r="J341" t="s">
        <v>187</v>
      </c>
      <c r="K341" s="2" t="s">
        <v>157</v>
      </c>
      <c r="L341" s="2" t="s">
        <v>175</v>
      </c>
      <c r="M341" s="2" t="s">
        <v>482</v>
      </c>
      <c r="N341" s="2"/>
      <c r="O341" s="109"/>
      <c r="P341" s="109"/>
      <c r="Q341" s="109"/>
    </row>
    <row r="342" spans="2:17" x14ac:dyDescent="0.25">
      <c r="B342" s="114">
        <v>26</v>
      </c>
      <c r="C342" s="114">
        <v>77</v>
      </c>
      <c r="D342" s="114">
        <v>22</v>
      </c>
      <c r="E342" s="154" cm="1">
        <f t="array" ref="E342">IF(ISBLANK(MainData[[#This Row],[EventID]]),0,IFERROR(INDEX(MainData[],MATCH(MainData[[#This Row],[EventID]],IF(MainData[Product]="Date",MainData[EventID],0),0),12),0))</f>
        <v>44582</v>
      </c>
      <c r="F342" s="155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2" s="155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157" t="s">
        <v>84</v>
      </c>
      <c r="J342" t="s">
        <v>187</v>
      </c>
      <c r="K342" s="2" t="s">
        <v>157</v>
      </c>
      <c r="L342" s="2" t="s">
        <v>138</v>
      </c>
      <c r="M342" s="2">
        <v>1200</v>
      </c>
      <c r="N342" s="2"/>
      <c r="O342" s="109"/>
      <c r="P342" s="109"/>
      <c r="Q342" s="109"/>
    </row>
    <row r="343" spans="2:17" x14ac:dyDescent="0.25">
      <c r="B343" s="114">
        <v>26</v>
      </c>
      <c r="C343" s="114">
        <v>77</v>
      </c>
      <c r="D343" s="114">
        <v>22</v>
      </c>
      <c r="E343" s="154" cm="1">
        <f t="array" ref="E343">IF(ISBLANK(MainData[[#This Row],[EventID]]),0,IFERROR(INDEX(MainData[],MATCH(MainData[[#This Row],[EventID]],IF(MainData[Product]="Date",MainData[EventID],0),0),12),0))</f>
        <v>44582</v>
      </c>
      <c r="F343" s="155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3" s="155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157" t="s">
        <v>84</v>
      </c>
      <c r="J343" t="s">
        <v>187</v>
      </c>
      <c r="K343" s="2" t="s">
        <v>157</v>
      </c>
      <c r="L343" s="2" t="s">
        <v>86</v>
      </c>
      <c r="M343" s="2">
        <v>2</v>
      </c>
      <c r="N343" s="2"/>
      <c r="O343" s="109"/>
      <c r="P343" s="109"/>
      <c r="Q343" s="109"/>
    </row>
    <row r="344" spans="2:17" x14ac:dyDescent="0.25">
      <c r="B344" s="114">
        <v>26</v>
      </c>
      <c r="C344" s="114">
        <v>77</v>
      </c>
      <c r="D344" s="114">
        <v>22</v>
      </c>
      <c r="E344" s="154" cm="1">
        <f t="array" ref="E344">IF(ISBLANK(MainData[[#This Row],[EventID]]),0,IFERROR(INDEX(MainData[],MATCH(MainData[[#This Row],[EventID]],IF(MainData[Product]="Date",MainData[EventID],0),0),12),0))</f>
        <v>44582</v>
      </c>
      <c r="F344" s="155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4" s="155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157" t="s">
        <v>84</v>
      </c>
      <c r="J344" t="s">
        <v>187</v>
      </c>
      <c r="K344" s="2" t="s">
        <v>157</v>
      </c>
      <c r="L344" s="2" t="s">
        <v>118</v>
      </c>
      <c r="M344" s="2" t="s">
        <v>463</v>
      </c>
      <c r="N344" s="2"/>
      <c r="O344" s="109"/>
      <c r="P344" s="109"/>
      <c r="Q344" s="109"/>
    </row>
    <row r="345" spans="2:17" x14ac:dyDescent="0.25">
      <c r="B345" s="114">
        <v>26</v>
      </c>
      <c r="C345" s="114">
        <v>77</v>
      </c>
      <c r="D345" s="114">
        <v>22</v>
      </c>
      <c r="E345" s="154" cm="1">
        <f t="array" ref="E345">IF(ISBLANK(MainData[[#This Row],[EventID]]),0,IFERROR(INDEX(MainData[],MATCH(MainData[[#This Row],[EventID]],IF(MainData[Product]="Date",MainData[EventID],0),0),12),0))</f>
        <v>44582</v>
      </c>
      <c r="F345" s="155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5" s="155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20" t="s">
        <v>85</v>
      </c>
      <c r="J345" t="s">
        <v>20</v>
      </c>
      <c r="K345" s="2" t="s">
        <v>116</v>
      </c>
      <c r="L345" s="2" t="s">
        <v>88</v>
      </c>
      <c r="M345" s="2" t="s">
        <v>189</v>
      </c>
      <c r="N345" s="2" t="s">
        <v>233</v>
      </c>
      <c r="O345" s="109">
        <v>1</v>
      </c>
      <c r="P345" s="109"/>
      <c r="Q345" s="109"/>
    </row>
    <row r="346" spans="2:17" x14ac:dyDescent="0.25">
      <c r="B346" s="114">
        <v>26</v>
      </c>
      <c r="C346" s="114">
        <v>77</v>
      </c>
      <c r="D346" s="114">
        <v>22</v>
      </c>
      <c r="E346" s="154" cm="1">
        <f t="array" ref="E346">IF(ISBLANK(MainData[[#This Row],[EventID]]),0,IFERROR(INDEX(MainData[],MATCH(MainData[[#This Row],[EventID]],IF(MainData[Product]="Date",MainData[EventID],0),0),12),0))</f>
        <v>44582</v>
      </c>
      <c r="F346" s="155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6" s="155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20" t="s">
        <v>85</v>
      </c>
      <c r="J346" t="s">
        <v>20</v>
      </c>
      <c r="K346" s="2" t="s">
        <v>116</v>
      </c>
      <c r="L346" s="2" t="s">
        <v>87</v>
      </c>
      <c r="M346" s="2" t="s">
        <v>188</v>
      </c>
      <c r="N346" s="2" t="s">
        <v>233</v>
      </c>
      <c r="O346" s="109">
        <v>1</v>
      </c>
      <c r="P346" s="109"/>
      <c r="Q346" s="109">
        <v>100</v>
      </c>
    </row>
    <row r="347" spans="2:17" x14ac:dyDescent="0.25">
      <c r="B347" s="114">
        <v>26</v>
      </c>
      <c r="C347" s="114">
        <v>77</v>
      </c>
      <c r="D347" s="114">
        <v>22</v>
      </c>
      <c r="E347" s="154" cm="1">
        <f t="array" ref="E347">IF(ISBLANK(MainData[[#This Row],[EventID]]),0,IFERROR(INDEX(MainData[],MATCH(MainData[[#This Row],[EventID]],IF(MainData[Product]="Date",MainData[EventID],0),0),12),0))</f>
        <v>44582</v>
      </c>
      <c r="F347" s="155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7" s="155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20" t="s">
        <v>85</v>
      </c>
      <c r="J347" t="s">
        <v>20</v>
      </c>
      <c r="K347" s="2" t="s">
        <v>29</v>
      </c>
      <c r="L347" s="2" t="s">
        <v>25</v>
      </c>
      <c r="M347" s="2" t="s">
        <v>388</v>
      </c>
      <c r="N347" s="2" t="s">
        <v>234</v>
      </c>
      <c r="O347" s="109">
        <v>1</v>
      </c>
      <c r="P347" s="109">
        <v>827.4</v>
      </c>
      <c r="Q347" s="109">
        <v>9456</v>
      </c>
    </row>
    <row r="348" spans="2:17" x14ac:dyDescent="0.25">
      <c r="B348" s="114">
        <v>26</v>
      </c>
      <c r="C348" s="114">
        <v>68</v>
      </c>
      <c r="D348" s="114">
        <v>23</v>
      </c>
      <c r="E348" s="154" cm="1">
        <f t="array" ref="E348">IF(ISBLANK(MainData[[#This Row],[EventID]]),0,IFERROR(INDEX(MainData[],MATCH(MainData[[#This Row],[EventID]],IF(MainData[Product]="Date",MainData[EventID],0),0),12),0))</f>
        <v>44583</v>
      </c>
      <c r="F348" s="155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8" s="155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157" t="s">
        <v>84</v>
      </c>
      <c r="J348" t="s">
        <v>187</v>
      </c>
      <c r="K348" s="2" t="s">
        <v>157</v>
      </c>
      <c r="L348" s="2" t="s">
        <v>81</v>
      </c>
      <c r="M348" s="2">
        <v>1</v>
      </c>
      <c r="N348" s="2"/>
      <c r="O348" s="109"/>
      <c r="P348" s="109"/>
      <c r="Q348" s="109"/>
    </row>
    <row r="349" spans="2:17" x14ac:dyDescent="0.25">
      <c r="B349" s="114">
        <v>26</v>
      </c>
      <c r="C349" s="114">
        <v>68</v>
      </c>
      <c r="D349" s="114">
        <v>23</v>
      </c>
      <c r="E349" s="154" cm="1">
        <f t="array" ref="E349">IF(ISBLANK(MainData[[#This Row],[EventID]]),0,IFERROR(INDEX(MainData[],MATCH(MainData[[#This Row],[EventID]],IF(MainData[Product]="Date",MainData[EventID],0),0),12),0))</f>
        <v>44583</v>
      </c>
      <c r="F349" s="155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9" s="155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157" t="s">
        <v>84</v>
      </c>
      <c r="J349" t="s">
        <v>187</v>
      </c>
      <c r="K349" s="2" t="s">
        <v>157</v>
      </c>
      <c r="L349" s="2" t="s">
        <v>164</v>
      </c>
      <c r="M349" s="2" t="s">
        <v>431</v>
      </c>
      <c r="N349" s="2"/>
      <c r="O349" s="109"/>
      <c r="P349" s="109"/>
      <c r="Q349" s="109"/>
    </row>
    <row r="350" spans="2:17" x14ac:dyDescent="0.25">
      <c r="B350" s="114">
        <v>26</v>
      </c>
      <c r="C350" s="114">
        <v>68</v>
      </c>
      <c r="D350" s="114">
        <v>23</v>
      </c>
      <c r="E350" s="154" cm="1">
        <f t="array" ref="E350">IF(ISBLANK(MainData[[#This Row],[EventID]]),0,IFERROR(INDEX(MainData[],MATCH(MainData[[#This Row],[EventID]],IF(MainData[Product]="Date",MainData[EventID],0),0),12),0))</f>
        <v>44583</v>
      </c>
      <c r="F350" s="155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0" s="155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157" t="s">
        <v>84</v>
      </c>
      <c r="J350" t="s">
        <v>187</v>
      </c>
      <c r="K350" s="2" t="s">
        <v>157</v>
      </c>
      <c r="L350" s="2" t="s">
        <v>0</v>
      </c>
      <c r="M350" s="158">
        <v>44583</v>
      </c>
      <c r="N350" s="2"/>
      <c r="O350" s="109"/>
      <c r="P350" s="109"/>
      <c r="Q350" s="109"/>
    </row>
    <row r="351" spans="2:17" x14ac:dyDescent="0.25">
      <c r="B351" s="114">
        <v>26</v>
      </c>
      <c r="C351" s="114">
        <v>68</v>
      </c>
      <c r="D351" s="114">
        <v>23</v>
      </c>
      <c r="E351" s="154" cm="1">
        <f t="array" ref="E351">IF(ISBLANK(MainData[[#This Row],[EventID]]),0,IFERROR(INDEX(MainData[],MATCH(MainData[[#This Row],[EventID]],IF(MainData[Product]="Date",MainData[EventID],0),0),12),0))</f>
        <v>44583</v>
      </c>
      <c r="F351" s="155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1" s="155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157" t="s">
        <v>84</v>
      </c>
      <c r="J351" t="s">
        <v>187</v>
      </c>
      <c r="K351" s="2" t="s">
        <v>157</v>
      </c>
      <c r="L351" s="2" t="s">
        <v>82</v>
      </c>
      <c r="M351" s="2">
        <v>81574</v>
      </c>
      <c r="N351" s="2"/>
      <c r="O351" s="109"/>
      <c r="P351" s="109"/>
      <c r="Q351" s="109"/>
    </row>
    <row r="352" spans="2:17" x14ac:dyDescent="0.25">
      <c r="B352" s="114">
        <v>26</v>
      </c>
      <c r="C352" s="114">
        <v>68</v>
      </c>
      <c r="D352" s="114">
        <v>23</v>
      </c>
      <c r="E352" s="154" cm="1">
        <f t="array" ref="E352">IF(ISBLANK(MainData[[#This Row],[EventID]]),0,IFERROR(INDEX(MainData[],MATCH(MainData[[#This Row],[EventID]],IF(MainData[Product]="Date",MainData[EventID],0),0),12),0))</f>
        <v>44583</v>
      </c>
      <c r="F352" s="155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2" s="155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157" t="s">
        <v>84</v>
      </c>
      <c r="J352" t="s">
        <v>187</v>
      </c>
      <c r="K352" s="2" t="s">
        <v>157</v>
      </c>
      <c r="L352" s="2" t="s">
        <v>175</v>
      </c>
      <c r="M352" s="2" t="s">
        <v>495</v>
      </c>
      <c r="N352" s="2"/>
      <c r="O352" s="109"/>
      <c r="P352" s="109"/>
      <c r="Q352" s="109"/>
    </row>
    <row r="353" spans="2:17" x14ac:dyDescent="0.25">
      <c r="B353" s="114">
        <v>26</v>
      </c>
      <c r="C353" s="114">
        <v>68</v>
      </c>
      <c r="D353" s="114">
        <v>23</v>
      </c>
      <c r="E353" s="154" cm="1">
        <f t="array" ref="E353">IF(ISBLANK(MainData[[#This Row],[EventID]]),0,IFERROR(INDEX(MainData[],MATCH(MainData[[#This Row],[EventID]],IF(MainData[Product]="Date",MainData[EventID],0),0),12),0))</f>
        <v>44583</v>
      </c>
      <c r="F353" s="155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3" s="155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157" t="s">
        <v>84</v>
      </c>
      <c r="J353" t="s">
        <v>187</v>
      </c>
      <c r="K353" s="2" t="s">
        <v>157</v>
      </c>
      <c r="L353" s="2" t="s">
        <v>20</v>
      </c>
      <c r="M353" s="2" t="s">
        <v>346</v>
      </c>
      <c r="N353" s="2"/>
      <c r="O353" s="109"/>
      <c r="P353" s="109"/>
      <c r="Q353" s="109"/>
    </row>
    <row r="354" spans="2:17" x14ac:dyDescent="0.25">
      <c r="B354" s="114">
        <v>26</v>
      </c>
      <c r="C354" s="114">
        <v>68</v>
      </c>
      <c r="D354" s="114">
        <v>23</v>
      </c>
      <c r="E354" s="154" cm="1">
        <f t="array" ref="E354">IF(ISBLANK(MainData[[#This Row],[EventID]]),0,IFERROR(INDEX(MainData[],MATCH(MainData[[#This Row],[EventID]],IF(MainData[Product]="Date",MainData[EventID],0),0),12),0))</f>
        <v>44583</v>
      </c>
      <c r="F354" s="155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4" s="155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157" t="s">
        <v>84</v>
      </c>
      <c r="J354" t="s">
        <v>187</v>
      </c>
      <c r="K354" s="2" t="s">
        <v>157</v>
      </c>
      <c r="L354" s="2" t="s">
        <v>138</v>
      </c>
      <c r="M354" s="2">
        <v>125</v>
      </c>
      <c r="N354" s="2"/>
      <c r="O354" s="109"/>
      <c r="P354" s="109"/>
      <c r="Q354" s="109"/>
    </row>
    <row r="355" spans="2:17" x14ac:dyDescent="0.25">
      <c r="B355" s="114">
        <v>26</v>
      </c>
      <c r="C355" s="114">
        <v>68</v>
      </c>
      <c r="D355" s="114">
        <v>23</v>
      </c>
      <c r="E355" s="154" cm="1">
        <f t="array" ref="E355">IF(ISBLANK(MainData[[#This Row],[EventID]]),0,IFERROR(INDEX(MainData[],MATCH(MainData[[#This Row],[EventID]],IF(MainData[Product]="Date",MainData[EventID],0),0),12),0))</f>
        <v>44583</v>
      </c>
      <c r="F355" s="155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5" s="155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157" t="s">
        <v>84</v>
      </c>
      <c r="J355" t="s">
        <v>187</v>
      </c>
      <c r="K355" s="2" t="s">
        <v>157</v>
      </c>
      <c r="L355" s="2" t="s">
        <v>86</v>
      </c>
      <c r="M355" s="2">
        <v>1</v>
      </c>
      <c r="N355" s="2"/>
      <c r="O355" s="109"/>
      <c r="P355" s="109"/>
      <c r="Q355" s="109"/>
    </row>
    <row r="356" spans="2:17" x14ac:dyDescent="0.25">
      <c r="B356" s="114">
        <v>26</v>
      </c>
      <c r="C356" s="114">
        <v>68</v>
      </c>
      <c r="D356" s="114">
        <v>23</v>
      </c>
      <c r="E356" s="154" cm="1">
        <f t="array" ref="E356">IF(ISBLANK(MainData[[#This Row],[EventID]]),0,IFERROR(INDEX(MainData[],MATCH(MainData[[#This Row],[EventID]],IF(MainData[Product]="Date",MainData[EventID],0),0),12),0))</f>
        <v>44583</v>
      </c>
      <c r="F356" s="155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6" s="155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157" t="s">
        <v>84</v>
      </c>
      <c r="J356" t="s">
        <v>187</v>
      </c>
      <c r="K356" s="2" t="s">
        <v>157</v>
      </c>
      <c r="L356" s="2" t="s">
        <v>118</v>
      </c>
      <c r="M356" s="2" t="s">
        <v>456</v>
      </c>
      <c r="N356" s="2"/>
      <c r="O356" s="109"/>
      <c r="P356" s="109"/>
      <c r="Q356" s="109"/>
    </row>
    <row r="357" spans="2:17" x14ac:dyDescent="0.25">
      <c r="B357" s="114">
        <v>26</v>
      </c>
      <c r="C357" s="114">
        <v>68</v>
      </c>
      <c r="D357" s="114">
        <v>23</v>
      </c>
      <c r="E357" s="154" cm="1">
        <f t="array" ref="E357">IF(ISBLANK(MainData[[#This Row],[EventID]]),0,IFERROR(INDEX(MainData[],MATCH(MainData[[#This Row],[EventID]],IF(MainData[Product]="Date",MainData[EventID],0),0),12),0))</f>
        <v>44583</v>
      </c>
      <c r="F357" s="155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7" s="155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157" t="s">
        <v>84</v>
      </c>
      <c r="J357" t="s">
        <v>187</v>
      </c>
      <c r="K357" s="2" t="s">
        <v>157</v>
      </c>
      <c r="L357" s="2" t="s">
        <v>165</v>
      </c>
      <c r="M357" s="2" t="s">
        <v>403</v>
      </c>
      <c r="N357" s="2"/>
      <c r="O357" s="109"/>
      <c r="P357" s="109"/>
      <c r="Q357" s="109"/>
    </row>
    <row r="358" spans="2:17" x14ac:dyDescent="0.25">
      <c r="B358" s="114">
        <v>26</v>
      </c>
      <c r="C358" s="114">
        <v>68</v>
      </c>
      <c r="D358" s="114">
        <v>23</v>
      </c>
      <c r="E358" s="154" cm="1">
        <f t="array" ref="E358">IF(ISBLANK(MainData[[#This Row],[EventID]]),0,IFERROR(INDEX(MainData[],MATCH(MainData[[#This Row],[EventID]],IF(MainData[Product]="Date",MainData[EventID],0),0),12),0))</f>
        <v>44583</v>
      </c>
      <c r="F358" s="155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8" s="155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20" t="s">
        <v>85</v>
      </c>
      <c r="J358" t="s">
        <v>20</v>
      </c>
      <c r="K358" s="2" t="s">
        <v>116</v>
      </c>
      <c r="L358" s="2" t="s">
        <v>88</v>
      </c>
      <c r="M358" s="2" t="s">
        <v>189</v>
      </c>
      <c r="N358" s="2" t="s">
        <v>233</v>
      </c>
      <c r="O358" s="109">
        <v>1</v>
      </c>
      <c r="P358" s="109"/>
      <c r="Q358" s="109"/>
    </row>
    <row r="359" spans="2:17" x14ac:dyDescent="0.25">
      <c r="B359" s="114">
        <v>26</v>
      </c>
      <c r="C359" s="114">
        <v>68</v>
      </c>
      <c r="D359" s="114">
        <v>23</v>
      </c>
      <c r="E359" s="154" cm="1">
        <f t="array" ref="E359">IF(ISBLANK(MainData[[#This Row],[EventID]]),0,IFERROR(INDEX(MainData[],MATCH(MainData[[#This Row],[EventID]],IF(MainData[Product]="Date",MainData[EventID],0),0),12),0))</f>
        <v>44583</v>
      </c>
      <c r="F359" s="155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9" s="155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20" t="s">
        <v>85</v>
      </c>
      <c r="J359" t="s">
        <v>20</v>
      </c>
      <c r="K359" s="2" t="s">
        <v>116</v>
      </c>
      <c r="L359" s="2" t="s">
        <v>87</v>
      </c>
      <c r="M359" s="2" t="s">
        <v>188</v>
      </c>
      <c r="N359" s="2" t="s">
        <v>233</v>
      </c>
      <c r="O359" s="109">
        <v>1</v>
      </c>
      <c r="P359" s="109"/>
      <c r="Q359" s="109">
        <v>100</v>
      </c>
    </row>
    <row r="360" spans="2:17" x14ac:dyDescent="0.25">
      <c r="B360" s="114">
        <v>26</v>
      </c>
      <c r="C360" s="114">
        <v>68</v>
      </c>
      <c r="D360" s="114">
        <v>23</v>
      </c>
      <c r="E360" s="154" cm="1">
        <f t="array" ref="E360">IF(ISBLANK(MainData[[#This Row],[EventID]]),0,IFERROR(INDEX(MainData[],MATCH(MainData[[#This Row],[EventID]],IF(MainData[Product]="Date",MainData[EventID],0),0),12),0))</f>
        <v>44583</v>
      </c>
      <c r="F360" s="155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0" s="155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157" t="s">
        <v>85</v>
      </c>
      <c r="J360" t="s">
        <v>20</v>
      </c>
      <c r="K360" s="2" t="s">
        <v>29</v>
      </c>
      <c r="L360" s="2" t="s">
        <v>35</v>
      </c>
      <c r="M360" s="2" t="s">
        <v>382</v>
      </c>
      <c r="N360" s="2" t="s">
        <v>234</v>
      </c>
      <c r="O360" s="109">
        <v>1</v>
      </c>
      <c r="P360" s="109">
        <v>4</v>
      </c>
      <c r="Q360" s="109">
        <v>40</v>
      </c>
    </row>
    <row r="361" spans="2:17" x14ac:dyDescent="0.25">
      <c r="B361" s="114">
        <v>26</v>
      </c>
      <c r="C361" s="114">
        <v>68</v>
      </c>
      <c r="D361" s="114">
        <v>23</v>
      </c>
      <c r="E361" s="154" cm="1">
        <f t="array" ref="E361">IF(ISBLANK(MainData[[#This Row],[EventID]]),0,IFERROR(INDEX(MainData[],MATCH(MainData[[#This Row],[EventID]],IF(MainData[Product]="Date",MainData[EventID],0),0),12),0))</f>
        <v>44583</v>
      </c>
      <c r="F361" s="155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1" s="155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157" t="s">
        <v>85</v>
      </c>
      <c r="J361" t="s">
        <v>20</v>
      </c>
      <c r="K361" s="2" t="s">
        <v>29</v>
      </c>
      <c r="L361" s="2" t="s">
        <v>65</v>
      </c>
      <c r="M361" s="2" t="s">
        <v>383</v>
      </c>
      <c r="N361" s="2" t="s">
        <v>234</v>
      </c>
      <c r="O361" s="109">
        <v>1</v>
      </c>
      <c r="P361" s="109">
        <v>1.25</v>
      </c>
      <c r="Q361" s="109">
        <v>25</v>
      </c>
    </row>
    <row r="362" spans="2:17" x14ac:dyDescent="0.25">
      <c r="B362" s="114">
        <v>26</v>
      </c>
      <c r="C362" s="114">
        <v>68</v>
      </c>
      <c r="D362" s="114">
        <v>23</v>
      </c>
      <c r="E362" s="154" cm="1">
        <f t="array" ref="E362">IF(ISBLANK(MainData[[#This Row],[EventID]]),0,IFERROR(INDEX(MainData[],MATCH(MainData[[#This Row],[EventID]],IF(MainData[Product]="Date",MainData[EventID],0),0),12),0))</f>
        <v>44583</v>
      </c>
      <c r="F362" s="155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2" s="155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20" t="s">
        <v>85</v>
      </c>
      <c r="J362" t="s">
        <v>20</v>
      </c>
      <c r="K362" s="2" t="s">
        <v>29</v>
      </c>
      <c r="L362" s="2" t="s">
        <v>25</v>
      </c>
      <c r="M362" s="2" t="s">
        <v>391</v>
      </c>
      <c r="N362" s="2" t="s">
        <v>237</v>
      </c>
      <c r="O362" s="109">
        <v>1</v>
      </c>
      <c r="P362" s="109">
        <v>50.75</v>
      </c>
      <c r="Q362" s="109">
        <v>155</v>
      </c>
    </row>
    <row r="363" spans="2:17" x14ac:dyDescent="0.25">
      <c r="B363" s="114">
        <v>26</v>
      </c>
      <c r="C363" s="114">
        <v>74</v>
      </c>
      <c r="D363" s="114">
        <v>24</v>
      </c>
      <c r="E363" s="154" cm="1">
        <f t="array" ref="E363">IF(ISBLANK(MainData[[#This Row],[EventID]]),0,IFERROR(INDEX(MainData[],MATCH(MainData[[#This Row],[EventID]],IF(MainData[Product]="Date",MainData[EventID],0),0),12),0))</f>
        <v>44583</v>
      </c>
      <c r="F363" s="155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3" s="155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157" t="s">
        <v>84</v>
      </c>
      <c r="J363" t="s">
        <v>187</v>
      </c>
      <c r="K363" s="2" t="s">
        <v>157</v>
      </c>
      <c r="L363" s="2" t="s">
        <v>81</v>
      </c>
      <c r="M363" s="2">
        <v>1</v>
      </c>
      <c r="N363" s="2"/>
      <c r="O363" s="109"/>
      <c r="P363" s="109"/>
      <c r="Q363" s="109"/>
    </row>
    <row r="364" spans="2:17" x14ac:dyDescent="0.25">
      <c r="B364" s="114">
        <v>26</v>
      </c>
      <c r="C364" s="114">
        <v>74</v>
      </c>
      <c r="D364" s="114">
        <v>24</v>
      </c>
      <c r="E364" s="154" cm="1">
        <f t="array" ref="E364">IF(ISBLANK(MainData[[#This Row],[EventID]]),0,IFERROR(INDEX(MainData[],MATCH(MainData[[#This Row],[EventID]],IF(MainData[Product]="Date",MainData[EventID],0),0),12),0))</f>
        <v>44583</v>
      </c>
      <c r="F364" s="155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4" s="155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157" t="s">
        <v>84</v>
      </c>
      <c r="J364" t="s">
        <v>187</v>
      </c>
      <c r="K364" s="2" t="s">
        <v>157</v>
      </c>
      <c r="L364" s="2" t="s">
        <v>0</v>
      </c>
      <c r="M364" s="158">
        <v>44583</v>
      </c>
      <c r="N364" s="2"/>
      <c r="O364" s="109"/>
      <c r="P364" s="109"/>
      <c r="Q364" s="109"/>
    </row>
    <row r="365" spans="2:17" x14ac:dyDescent="0.25">
      <c r="B365" s="114">
        <v>26</v>
      </c>
      <c r="C365" s="114">
        <v>74</v>
      </c>
      <c r="D365" s="114">
        <v>24</v>
      </c>
      <c r="E365" s="154" cm="1">
        <f t="array" ref="E365">IF(ISBLANK(MainData[[#This Row],[EventID]]),0,IFERROR(INDEX(MainData[],MATCH(MainData[[#This Row],[EventID]],IF(MainData[Product]="Date",MainData[EventID],0),0),12),0))</f>
        <v>44583</v>
      </c>
      <c r="F365" s="155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5" s="155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157" t="s">
        <v>84</v>
      </c>
      <c r="J365" t="s">
        <v>187</v>
      </c>
      <c r="K365" s="2" t="s">
        <v>157</v>
      </c>
      <c r="L365" s="2" t="s">
        <v>82</v>
      </c>
      <c r="M365" s="2">
        <v>652421</v>
      </c>
      <c r="N365" s="2"/>
      <c r="O365" s="109"/>
      <c r="P365" s="109"/>
      <c r="Q365" s="109"/>
    </row>
    <row r="366" spans="2:17" x14ac:dyDescent="0.25">
      <c r="B366" s="114">
        <v>26</v>
      </c>
      <c r="C366" s="114">
        <v>74</v>
      </c>
      <c r="D366" s="114">
        <v>24</v>
      </c>
      <c r="E366" s="154" cm="1">
        <f t="array" ref="E366">IF(ISBLANK(MainData[[#This Row],[EventID]]),0,IFERROR(INDEX(MainData[],MATCH(MainData[[#This Row],[EventID]],IF(MainData[Product]="Date",MainData[EventID],0),0),12),0))</f>
        <v>44583</v>
      </c>
      <c r="F366" s="155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6" s="155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157" t="s">
        <v>84</v>
      </c>
      <c r="J366" t="s">
        <v>187</v>
      </c>
      <c r="K366" s="2" t="s">
        <v>157</v>
      </c>
      <c r="L366" s="2" t="s">
        <v>175</v>
      </c>
      <c r="M366" s="2" t="s">
        <v>495</v>
      </c>
      <c r="N366" s="2"/>
      <c r="O366" s="109"/>
      <c r="P366" s="109"/>
      <c r="Q366" s="109"/>
    </row>
    <row r="367" spans="2:17" x14ac:dyDescent="0.25">
      <c r="B367" s="114">
        <v>26</v>
      </c>
      <c r="C367" s="114">
        <v>74</v>
      </c>
      <c r="D367" s="114">
        <v>24</v>
      </c>
      <c r="E367" s="154" cm="1">
        <f t="array" ref="E367">IF(ISBLANK(MainData[[#This Row],[EventID]]),0,IFERROR(INDEX(MainData[],MATCH(MainData[[#This Row],[EventID]],IF(MainData[Product]="Date",MainData[EventID],0),0),12),0))</f>
        <v>44583</v>
      </c>
      <c r="F367" s="155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7" s="155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157" t="s">
        <v>84</v>
      </c>
      <c r="J367" t="s">
        <v>187</v>
      </c>
      <c r="K367" s="2" t="s">
        <v>157</v>
      </c>
      <c r="L367" s="2" t="s">
        <v>138</v>
      </c>
      <c r="M367" s="2">
        <v>135</v>
      </c>
      <c r="N367" s="2"/>
      <c r="O367" s="109"/>
      <c r="P367" s="109"/>
      <c r="Q367" s="109"/>
    </row>
    <row r="368" spans="2:17" x14ac:dyDescent="0.25">
      <c r="B368" s="114">
        <v>26</v>
      </c>
      <c r="C368" s="114">
        <v>74</v>
      </c>
      <c r="D368" s="114">
        <v>24</v>
      </c>
      <c r="E368" s="154" cm="1">
        <f t="array" ref="E368">IF(ISBLANK(MainData[[#This Row],[EventID]]),0,IFERROR(INDEX(MainData[],MATCH(MainData[[#This Row],[EventID]],IF(MainData[Product]="Date",MainData[EventID],0),0),12),0))</f>
        <v>44583</v>
      </c>
      <c r="F368" s="155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8" s="155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157" t="s">
        <v>84</v>
      </c>
      <c r="J368" t="s">
        <v>187</v>
      </c>
      <c r="K368" s="2" t="s">
        <v>157</v>
      </c>
      <c r="L368" s="2" t="s">
        <v>86</v>
      </c>
      <c r="M368" s="2">
        <v>1</v>
      </c>
      <c r="N368" s="2"/>
      <c r="O368" s="109"/>
      <c r="P368" s="109"/>
      <c r="Q368" s="109"/>
    </row>
    <row r="369" spans="2:17" x14ac:dyDescent="0.25">
      <c r="B369" s="114">
        <v>26</v>
      </c>
      <c r="C369" s="114">
        <v>74</v>
      </c>
      <c r="D369" s="114">
        <v>24</v>
      </c>
      <c r="E369" s="154" cm="1">
        <f t="array" ref="E369">IF(ISBLANK(MainData[[#This Row],[EventID]]),0,IFERROR(INDEX(MainData[],MATCH(MainData[[#This Row],[EventID]],IF(MainData[Product]="Date",MainData[EventID],0),0),12),0))</f>
        <v>44583</v>
      </c>
      <c r="F369" s="155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9" s="155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157" t="s">
        <v>84</v>
      </c>
      <c r="J369" t="s">
        <v>187</v>
      </c>
      <c r="K369" s="2" t="s">
        <v>157</v>
      </c>
      <c r="L369" s="2" t="s">
        <v>118</v>
      </c>
      <c r="M369" s="2" t="s">
        <v>491</v>
      </c>
      <c r="N369" s="2"/>
      <c r="O369" s="109"/>
      <c r="P369" s="109"/>
      <c r="Q369" s="109"/>
    </row>
    <row r="370" spans="2:17" x14ac:dyDescent="0.25">
      <c r="B370" s="114">
        <v>26</v>
      </c>
      <c r="C370" s="114">
        <v>74</v>
      </c>
      <c r="D370" s="114">
        <v>24</v>
      </c>
      <c r="E370" s="154" cm="1">
        <f t="array" ref="E370">IF(ISBLANK(MainData[[#This Row],[EventID]]),0,IFERROR(INDEX(MainData[],MATCH(MainData[[#This Row],[EventID]],IF(MainData[Product]="Date",MainData[EventID],0),0),12),0))</f>
        <v>44583</v>
      </c>
      <c r="F370" s="155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0" s="155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20" t="s">
        <v>85</v>
      </c>
      <c r="J370" t="s">
        <v>20</v>
      </c>
      <c r="K370" s="2" t="s">
        <v>116</v>
      </c>
      <c r="L370" s="2" t="s">
        <v>88</v>
      </c>
      <c r="M370" s="2" t="s">
        <v>189</v>
      </c>
      <c r="N370" s="2" t="s">
        <v>233</v>
      </c>
      <c r="O370" s="109">
        <v>1</v>
      </c>
      <c r="P370" s="109"/>
      <c r="Q370" s="109"/>
    </row>
    <row r="371" spans="2:17" x14ac:dyDescent="0.25">
      <c r="B371" s="114">
        <v>26</v>
      </c>
      <c r="C371" s="114">
        <v>74</v>
      </c>
      <c r="D371" s="114">
        <v>24</v>
      </c>
      <c r="E371" s="154" cm="1">
        <f t="array" ref="E371">IF(ISBLANK(MainData[[#This Row],[EventID]]),0,IFERROR(INDEX(MainData[],MATCH(MainData[[#This Row],[EventID]],IF(MainData[Product]="Date",MainData[EventID],0),0),12),0))</f>
        <v>44583</v>
      </c>
      <c r="F371" s="155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1" s="155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20" t="s">
        <v>85</v>
      </c>
      <c r="J371" t="s">
        <v>20</v>
      </c>
      <c r="K371" s="2" t="s">
        <v>116</v>
      </c>
      <c r="L371" s="2" t="s">
        <v>87</v>
      </c>
      <c r="M371" s="2" t="s">
        <v>188</v>
      </c>
      <c r="N371" s="2" t="s">
        <v>233</v>
      </c>
      <c r="O371" s="109">
        <v>1</v>
      </c>
      <c r="P371" s="109"/>
      <c r="Q371" s="109">
        <v>100</v>
      </c>
    </row>
    <row r="372" spans="2:17" x14ac:dyDescent="0.25">
      <c r="B372" s="114">
        <v>26</v>
      </c>
      <c r="C372" s="114">
        <v>74</v>
      </c>
      <c r="D372" s="114">
        <v>24</v>
      </c>
      <c r="E372" s="154" cm="1">
        <f t="array" ref="E372">IF(ISBLANK(MainData[[#This Row],[EventID]]),0,IFERROR(INDEX(MainData[],MATCH(MainData[[#This Row],[EventID]],IF(MainData[Product]="Date",MainData[EventID],0),0),12),0))</f>
        <v>44583</v>
      </c>
      <c r="F372" s="155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2" s="155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157" t="s">
        <v>85</v>
      </c>
      <c r="J372" t="s">
        <v>20</v>
      </c>
      <c r="K372" s="2" t="s">
        <v>29</v>
      </c>
      <c r="L372" s="2" t="s">
        <v>35</v>
      </c>
      <c r="M372" s="2" t="s">
        <v>382</v>
      </c>
      <c r="N372" s="2" t="s">
        <v>234</v>
      </c>
      <c r="O372" s="109">
        <v>1</v>
      </c>
      <c r="P372" s="109">
        <v>89</v>
      </c>
      <c r="Q372" s="109">
        <v>890</v>
      </c>
    </row>
    <row r="373" spans="2:17" x14ac:dyDescent="0.25">
      <c r="B373" s="114">
        <v>26</v>
      </c>
      <c r="C373" s="114">
        <v>74</v>
      </c>
      <c r="D373" s="114">
        <v>24</v>
      </c>
      <c r="E373" s="154" cm="1">
        <f t="array" ref="E373">IF(ISBLANK(MainData[[#This Row],[EventID]]),0,IFERROR(INDEX(MainData[],MATCH(MainData[[#This Row],[EventID]],IF(MainData[Product]="Date",MainData[EventID],0),0),12),0))</f>
        <v>44583</v>
      </c>
      <c r="F373" s="155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3" s="155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157" t="s">
        <v>85</v>
      </c>
      <c r="J373" t="s">
        <v>20</v>
      </c>
      <c r="K373" s="2" t="s">
        <v>29</v>
      </c>
      <c r="L373" s="2" t="s">
        <v>65</v>
      </c>
      <c r="M373" s="2" t="s">
        <v>383</v>
      </c>
      <c r="N373" s="2" t="s">
        <v>234</v>
      </c>
      <c r="O373" s="109">
        <v>1</v>
      </c>
      <c r="P373" s="109">
        <v>20</v>
      </c>
      <c r="Q373" s="109">
        <v>400</v>
      </c>
    </row>
    <row r="374" spans="2:17" x14ac:dyDescent="0.25">
      <c r="B374" s="114">
        <v>26</v>
      </c>
      <c r="C374" s="114">
        <v>74</v>
      </c>
      <c r="D374" s="114">
        <v>24</v>
      </c>
      <c r="E374" s="154" cm="1">
        <f t="array" ref="E374">IF(ISBLANK(MainData[[#This Row],[EventID]]),0,IFERROR(INDEX(MainData[],MATCH(MainData[[#This Row],[EventID]],IF(MainData[Product]="Date",MainData[EventID],0),0),12),0))</f>
        <v>44583</v>
      </c>
      <c r="F374" s="155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4" s="155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20" t="s">
        <v>85</v>
      </c>
      <c r="J374" t="s">
        <v>20</v>
      </c>
      <c r="K374" s="2" t="s">
        <v>29</v>
      </c>
      <c r="L374" s="2" t="s">
        <v>25</v>
      </c>
      <c r="M374" s="2" t="s">
        <v>391</v>
      </c>
      <c r="N374" s="2" t="s">
        <v>237</v>
      </c>
      <c r="O374" s="109">
        <v>1</v>
      </c>
      <c r="P374" s="109">
        <v>26.66</v>
      </c>
      <c r="Q374" s="109">
        <v>143.68</v>
      </c>
    </row>
    <row r="375" spans="2:17" x14ac:dyDescent="0.25">
      <c r="B375" s="114">
        <v>26</v>
      </c>
      <c r="C375" s="114">
        <v>75</v>
      </c>
      <c r="D375" s="114">
        <v>25</v>
      </c>
      <c r="E375" s="154" cm="1">
        <f t="array" ref="E375">IF(ISBLANK(MainData[[#This Row],[EventID]]),0,IFERROR(INDEX(MainData[],MATCH(MainData[[#This Row],[EventID]],IF(MainData[Product]="Date",MainData[EventID],0),0),12),0))</f>
        <v>44583</v>
      </c>
      <c r="F375" s="155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5" s="155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5" s="157" t="s">
        <v>84</v>
      </c>
      <c r="J375" t="s">
        <v>187</v>
      </c>
      <c r="K375" s="2" t="s">
        <v>157</v>
      </c>
      <c r="L375" s="2" t="s">
        <v>81</v>
      </c>
      <c r="M375" s="2">
        <v>1</v>
      </c>
      <c r="N375" s="2"/>
      <c r="O375" s="109"/>
      <c r="P375" s="109"/>
      <c r="Q375" s="109"/>
    </row>
    <row r="376" spans="2:17" x14ac:dyDescent="0.25">
      <c r="B376" s="114">
        <v>26</v>
      </c>
      <c r="C376" s="114">
        <v>75</v>
      </c>
      <c r="D376" s="114">
        <v>25</v>
      </c>
      <c r="E376" s="154" cm="1">
        <f t="array" ref="E376">IF(ISBLANK(MainData[[#This Row],[EventID]]),0,IFERROR(INDEX(MainData[],MATCH(MainData[[#This Row],[EventID]],IF(MainData[Product]="Date",MainData[EventID],0),0),12),0))</f>
        <v>44583</v>
      </c>
      <c r="F376" s="155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6" s="155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6" s="157" t="s">
        <v>84</v>
      </c>
      <c r="J376" t="s">
        <v>187</v>
      </c>
      <c r="K376" s="2" t="s">
        <v>157</v>
      </c>
      <c r="L376" s="2" t="s">
        <v>0</v>
      </c>
      <c r="M376" s="158">
        <v>44583</v>
      </c>
      <c r="N376" s="2"/>
      <c r="O376" s="109"/>
      <c r="P376" s="109"/>
      <c r="Q376" s="109"/>
    </row>
    <row r="377" spans="2:17" x14ac:dyDescent="0.25">
      <c r="B377" s="114">
        <v>26</v>
      </c>
      <c r="C377" s="114">
        <v>75</v>
      </c>
      <c r="D377" s="114">
        <v>25</v>
      </c>
      <c r="E377" s="154" cm="1">
        <f t="array" ref="E377">IF(ISBLANK(MainData[[#This Row],[EventID]]),0,IFERROR(INDEX(MainData[],MATCH(MainData[[#This Row],[EventID]],IF(MainData[Product]="Date",MainData[EventID],0),0),12),0))</f>
        <v>44583</v>
      </c>
      <c r="F377" s="155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7" s="155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7" s="157" t="s">
        <v>84</v>
      </c>
      <c r="J377" t="s">
        <v>187</v>
      </c>
      <c r="K377" s="2" t="s">
        <v>157</v>
      </c>
      <c r="L377" s="2" t="s">
        <v>82</v>
      </c>
      <c r="M377" s="2">
        <v>834406</v>
      </c>
      <c r="N377" s="2"/>
      <c r="O377" s="109"/>
      <c r="P377" s="109"/>
      <c r="Q377" s="109"/>
    </row>
    <row r="378" spans="2:17" x14ac:dyDescent="0.25">
      <c r="B378" s="114">
        <v>26</v>
      </c>
      <c r="C378" s="114">
        <v>75</v>
      </c>
      <c r="D378" s="114">
        <v>25</v>
      </c>
      <c r="E378" s="154" cm="1">
        <f t="array" ref="E378">IF(ISBLANK(MainData[[#This Row],[EventID]]),0,IFERROR(INDEX(MainData[],MATCH(MainData[[#This Row],[EventID]],IF(MainData[Product]="Date",MainData[EventID],0),0),12),0))</f>
        <v>44583</v>
      </c>
      <c r="F378" s="155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8" s="155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8" s="157" t="s">
        <v>84</v>
      </c>
      <c r="J378" t="s">
        <v>187</v>
      </c>
      <c r="K378" s="2" t="s">
        <v>157</v>
      </c>
      <c r="L378" s="2" t="s">
        <v>175</v>
      </c>
      <c r="M378" s="2" t="s">
        <v>495</v>
      </c>
      <c r="N378" s="2"/>
      <c r="O378" s="109"/>
      <c r="P378" s="109"/>
      <c r="Q378" s="109"/>
    </row>
    <row r="379" spans="2:17" x14ac:dyDescent="0.25">
      <c r="B379" s="114">
        <v>26</v>
      </c>
      <c r="C379" s="114">
        <v>75</v>
      </c>
      <c r="D379" s="114">
        <v>25</v>
      </c>
      <c r="E379" s="154" cm="1">
        <f t="array" ref="E379">IF(ISBLANK(MainData[[#This Row],[EventID]]),0,IFERROR(INDEX(MainData[],MATCH(MainData[[#This Row],[EventID]],IF(MainData[Product]="Date",MainData[EventID],0),0),12),0))</f>
        <v>44583</v>
      </c>
      <c r="F379" s="155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9" s="155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9" s="157" t="s">
        <v>84</v>
      </c>
      <c r="J379" t="s">
        <v>187</v>
      </c>
      <c r="K379" s="2" t="s">
        <v>157</v>
      </c>
      <c r="L379" s="2" t="s">
        <v>138</v>
      </c>
      <c r="M379" s="2">
        <v>115</v>
      </c>
      <c r="N379" s="2"/>
      <c r="O379" s="109"/>
      <c r="P379" s="109"/>
      <c r="Q379" s="109"/>
    </row>
    <row r="380" spans="2:17" x14ac:dyDescent="0.25">
      <c r="B380" s="114">
        <v>26</v>
      </c>
      <c r="C380" s="114">
        <v>75</v>
      </c>
      <c r="D380" s="114">
        <v>25</v>
      </c>
      <c r="E380" s="154" cm="1">
        <f t="array" ref="E380">IF(ISBLANK(MainData[[#This Row],[EventID]]),0,IFERROR(INDEX(MainData[],MATCH(MainData[[#This Row],[EventID]],IF(MainData[Product]="Date",MainData[EventID],0),0),12),0))</f>
        <v>44583</v>
      </c>
      <c r="F380" s="155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0" s="155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0" s="157" t="s">
        <v>84</v>
      </c>
      <c r="J380" t="s">
        <v>187</v>
      </c>
      <c r="K380" s="2" t="s">
        <v>157</v>
      </c>
      <c r="L380" s="2" t="s">
        <v>86</v>
      </c>
      <c r="M380" s="2">
        <v>1</v>
      </c>
      <c r="N380" s="2"/>
      <c r="O380" s="109"/>
      <c r="P380" s="109"/>
      <c r="Q380" s="109"/>
    </row>
    <row r="381" spans="2:17" x14ac:dyDescent="0.25">
      <c r="B381" s="114">
        <v>26</v>
      </c>
      <c r="C381" s="114">
        <v>75</v>
      </c>
      <c r="D381" s="114">
        <v>25</v>
      </c>
      <c r="E381" s="154" cm="1">
        <f t="array" ref="E381">IF(ISBLANK(MainData[[#This Row],[EventID]]),0,IFERROR(INDEX(MainData[],MATCH(MainData[[#This Row],[EventID]],IF(MainData[Product]="Date",MainData[EventID],0),0),12),0))</f>
        <v>44583</v>
      </c>
      <c r="F381" s="155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1" s="155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1" s="157" t="s">
        <v>84</v>
      </c>
      <c r="J381" t="s">
        <v>187</v>
      </c>
      <c r="K381" s="2" t="s">
        <v>157</v>
      </c>
      <c r="L381" s="2" t="s">
        <v>118</v>
      </c>
      <c r="M381" s="2" t="s">
        <v>493</v>
      </c>
      <c r="N381" s="2"/>
      <c r="O381" s="109"/>
      <c r="P381" s="109"/>
      <c r="Q381" s="109"/>
    </row>
    <row r="382" spans="2:17" x14ac:dyDescent="0.25">
      <c r="B382" s="114">
        <v>26</v>
      </c>
      <c r="C382" s="114">
        <v>75</v>
      </c>
      <c r="D382" s="114">
        <v>25</v>
      </c>
      <c r="E382" s="154" cm="1">
        <f t="array" ref="E382">IF(ISBLANK(MainData[[#This Row],[EventID]]),0,IFERROR(INDEX(MainData[],MATCH(MainData[[#This Row],[EventID]],IF(MainData[Product]="Date",MainData[EventID],0),0),12),0))</f>
        <v>44583</v>
      </c>
      <c r="F382" s="155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2" s="155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2" s="20" t="s">
        <v>85</v>
      </c>
      <c r="J382" t="s">
        <v>20</v>
      </c>
      <c r="K382" s="2" t="s">
        <v>116</v>
      </c>
      <c r="L382" s="2" t="s">
        <v>88</v>
      </c>
      <c r="M382" s="2" t="s">
        <v>189</v>
      </c>
      <c r="N382" s="2" t="s">
        <v>233</v>
      </c>
      <c r="O382" s="109">
        <v>1</v>
      </c>
      <c r="P382" s="109"/>
      <c r="Q382" s="109"/>
    </row>
    <row r="383" spans="2:17" x14ac:dyDescent="0.25">
      <c r="B383" s="114">
        <v>26</v>
      </c>
      <c r="C383" s="114">
        <v>75</v>
      </c>
      <c r="D383" s="114">
        <v>25</v>
      </c>
      <c r="E383" s="154" cm="1">
        <f t="array" ref="E383">IF(ISBLANK(MainData[[#This Row],[EventID]]),0,IFERROR(INDEX(MainData[],MATCH(MainData[[#This Row],[EventID]],IF(MainData[Product]="Date",MainData[EventID],0),0),12),0))</f>
        <v>44583</v>
      </c>
      <c r="F383" s="155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3" s="155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3" s="20" t="s">
        <v>85</v>
      </c>
      <c r="J383" t="s">
        <v>20</v>
      </c>
      <c r="K383" s="2" t="s">
        <v>116</v>
      </c>
      <c r="L383" s="2" t="s">
        <v>87</v>
      </c>
      <c r="M383" s="2" t="s">
        <v>188</v>
      </c>
      <c r="N383" s="2" t="s">
        <v>233</v>
      </c>
      <c r="O383" s="109">
        <v>1</v>
      </c>
      <c r="P383" s="109"/>
      <c r="Q383" s="109">
        <v>100</v>
      </c>
    </row>
    <row r="384" spans="2:17" x14ac:dyDescent="0.25">
      <c r="B384" s="114">
        <v>26</v>
      </c>
      <c r="C384" s="114">
        <v>75</v>
      </c>
      <c r="D384" s="114">
        <v>25</v>
      </c>
      <c r="E384" s="154" cm="1">
        <f t="array" ref="E384">IF(ISBLANK(MainData[[#This Row],[EventID]]),0,IFERROR(INDEX(MainData[],MATCH(MainData[[#This Row],[EventID]],IF(MainData[Product]="Date",MainData[EventID],0),0),12),0))</f>
        <v>44583</v>
      </c>
      <c r="F384" s="155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4" s="155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4" s="157" t="s">
        <v>85</v>
      </c>
      <c r="J384" t="s">
        <v>20</v>
      </c>
      <c r="K384" s="2" t="s">
        <v>29</v>
      </c>
      <c r="L384" s="2" t="s">
        <v>35</v>
      </c>
      <c r="M384" s="2" t="s">
        <v>382</v>
      </c>
      <c r="N384" s="2" t="s">
        <v>234</v>
      </c>
      <c r="O384" s="109">
        <v>1</v>
      </c>
      <c r="P384" s="109">
        <v>25</v>
      </c>
      <c r="Q384" s="109">
        <v>249.95</v>
      </c>
    </row>
    <row r="385" spans="2:17" x14ac:dyDescent="0.25">
      <c r="B385" s="114">
        <v>26</v>
      </c>
      <c r="C385" s="114">
        <v>75</v>
      </c>
      <c r="D385" s="114">
        <v>25</v>
      </c>
      <c r="E385" s="154" cm="1">
        <f t="array" ref="E385">IF(ISBLANK(MainData[[#This Row],[EventID]]),0,IFERROR(INDEX(MainData[],MATCH(MainData[[#This Row],[EventID]],IF(MainData[Product]="Date",MainData[EventID],0),0),12),0))</f>
        <v>44583</v>
      </c>
      <c r="F385" s="155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5" s="155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5" s="157" t="s">
        <v>85</v>
      </c>
      <c r="J385" t="s">
        <v>20</v>
      </c>
      <c r="K385" s="2" t="s">
        <v>29</v>
      </c>
      <c r="L385" s="2" t="s">
        <v>65</v>
      </c>
      <c r="M385" s="2" t="s">
        <v>383</v>
      </c>
      <c r="N385" s="2" t="s">
        <v>234</v>
      </c>
      <c r="O385" s="109">
        <v>1</v>
      </c>
      <c r="P385" s="109">
        <v>3</v>
      </c>
      <c r="Q385" s="109">
        <v>65.06</v>
      </c>
    </row>
    <row r="386" spans="2:17" x14ac:dyDescent="0.25">
      <c r="B386" s="114">
        <v>26</v>
      </c>
      <c r="C386" s="114">
        <v>75</v>
      </c>
      <c r="D386" s="114">
        <v>25</v>
      </c>
      <c r="E386" s="154" cm="1">
        <f t="array" ref="E386">IF(ISBLANK(MainData[[#This Row],[EventID]]),0,IFERROR(INDEX(MainData[],MATCH(MainData[[#This Row],[EventID]],IF(MainData[Product]="Date",MainData[EventID],0),0),12),0))</f>
        <v>44583</v>
      </c>
      <c r="F386" s="155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6" s="155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6" s="20" t="s">
        <v>85</v>
      </c>
      <c r="J386" t="s">
        <v>20</v>
      </c>
      <c r="K386" s="2" t="s">
        <v>29</v>
      </c>
      <c r="L386" s="2" t="s">
        <v>25</v>
      </c>
      <c r="M386" s="2" t="s">
        <v>391</v>
      </c>
      <c r="N386" s="2" t="s">
        <v>237</v>
      </c>
      <c r="O386" s="109">
        <v>1</v>
      </c>
      <c r="P386" s="109">
        <v>70.97</v>
      </c>
      <c r="Q386" s="109">
        <v>287.89999999999998</v>
      </c>
    </row>
    <row r="387" spans="2:17" x14ac:dyDescent="0.25">
      <c r="B387" s="114">
        <v>26</v>
      </c>
      <c r="C387" s="114">
        <v>79</v>
      </c>
      <c r="D387" s="114">
        <v>26</v>
      </c>
      <c r="E387" s="154" cm="1">
        <f t="array" ref="E387">IF(ISBLANK(MainData[[#This Row],[EventID]]),0,IFERROR(INDEX(MainData[],MATCH(MainData[[#This Row],[EventID]],IF(MainData[Product]="Date",MainData[EventID],0),0),12),0))</f>
        <v>44583</v>
      </c>
      <c r="F387" s="155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7" s="155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7" s="157" t="s">
        <v>84</v>
      </c>
      <c r="J387" t="s">
        <v>187</v>
      </c>
      <c r="K387" s="2" t="s">
        <v>157</v>
      </c>
      <c r="L387" s="2" t="s">
        <v>81</v>
      </c>
      <c r="M387" s="2">
        <v>1</v>
      </c>
      <c r="N387" s="2"/>
      <c r="O387" s="109"/>
      <c r="P387" s="109"/>
      <c r="Q387" s="109"/>
    </row>
    <row r="388" spans="2:17" x14ac:dyDescent="0.25">
      <c r="B388" s="114">
        <v>26</v>
      </c>
      <c r="C388" s="114">
        <v>79</v>
      </c>
      <c r="D388" s="114">
        <v>26</v>
      </c>
      <c r="E388" s="154" cm="1">
        <f t="array" ref="E388">IF(ISBLANK(MainData[[#This Row],[EventID]]),0,IFERROR(INDEX(MainData[],MATCH(MainData[[#This Row],[EventID]],IF(MainData[Product]="Date",MainData[EventID],0),0),12),0))</f>
        <v>44583</v>
      </c>
      <c r="F388" s="155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8" s="155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8" s="157" t="s">
        <v>84</v>
      </c>
      <c r="J388" t="s">
        <v>187</v>
      </c>
      <c r="K388" s="2" t="s">
        <v>157</v>
      </c>
      <c r="L388" s="2" t="s">
        <v>0</v>
      </c>
      <c r="M388" s="158">
        <v>44583</v>
      </c>
      <c r="N388" s="2"/>
      <c r="O388" s="109"/>
      <c r="P388" s="109"/>
      <c r="Q388" s="109"/>
    </row>
    <row r="389" spans="2:17" x14ac:dyDescent="0.25">
      <c r="B389" s="114">
        <v>26</v>
      </c>
      <c r="C389" s="114">
        <v>79</v>
      </c>
      <c r="D389" s="114">
        <v>26</v>
      </c>
      <c r="E389" s="154" cm="1">
        <f t="array" ref="E389">IF(ISBLANK(MainData[[#This Row],[EventID]]),0,IFERROR(INDEX(MainData[],MATCH(MainData[[#This Row],[EventID]],IF(MainData[Product]="Date",MainData[EventID],0),0),12),0))</f>
        <v>44583</v>
      </c>
      <c r="F389" s="155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9" s="155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9" s="157" t="s">
        <v>84</v>
      </c>
      <c r="J389" t="s">
        <v>187</v>
      </c>
      <c r="K389" s="2" t="s">
        <v>157</v>
      </c>
      <c r="L389" s="2" t="s">
        <v>82</v>
      </c>
      <c r="M389" s="2">
        <v>957871</v>
      </c>
      <c r="N389" s="2"/>
      <c r="O389" s="109"/>
      <c r="P389" s="109"/>
      <c r="Q389" s="109"/>
    </row>
    <row r="390" spans="2:17" x14ac:dyDescent="0.25">
      <c r="B390" s="114">
        <v>26</v>
      </c>
      <c r="C390" s="114">
        <v>79</v>
      </c>
      <c r="D390" s="114">
        <v>26</v>
      </c>
      <c r="E390" s="154" cm="1">
        <f t="array" ref="E390">IF(ISBLANK(MainData[[#This Row],[EventID]]),0,IFERROR(INDEX(MainData[],MATCH(MainData[[#This Row],[EventID]],IF(MainData[Product]="Date",MainData[EventID],0),0),12),0))</f>
        <v>44583</v>
      </c>
      <c r="F390" s="155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0" s="155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0" s="157" t="s">
        <v>84</v>
      </c>
      <c r="J390" t="s">
        <v>187</v>
      </c>
      <c r="K390" s="2" t="s">
        <v>157</v>
      </c>
      <c r="L390" s="2" t="s">
        <v>175</v>
      </c>
      <c r="M390" s="2" t="s">
        <v>495</v>
      </c>
      <c r="N390" s="2"/>
      <c r="O390" s="109"/>
      <c r="P390" s="109"/>
      <c r="Q390" s="109"/>
    </row>
    <row r="391" spans="2:17" x14ac:dyDescent="0.25">
      <c r="B391" s="114">
        <v>26</v>
      </c>
      <c r="C391" s="114">
        <v>79</v>
      </c>
      <c r="D391" s="114">
        <v>26</v>
      </c>
      <c r="E391" s="154" cm="1">
        <f t="array" ref="E391">IF(ISBLANK(MainData[[#This Row],[EventID]]),0,IFERROR(INDEX(MainData[],MATCH(MainData[[#This Row],[EventID]],IF(MainData[Product]="Date",MainData[EventID],0),0),12),0))</f>
        <v>44583</v>
      </c>
      <c r="F391" s="155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1" s="155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1" s="157" t="s">
        <v>84</v>
      </c>
      <c r="J391" t="s">
        <v>187</v>
      </c>
      <c r="K391" s="2" t="s">
        <v>157</v>
      </c>
      <c r="L391" s="2" t="s">
        <v>138</v>
      </c>
      <c r="M391" s="2">
        <v>120</v>
      </c>
      <c r="N391" s="2"/>
      <c r="O391" s="109"/>
      <c r="P391" s="109"/>
      <c r="Q391" s="109"/>
    </row>
    <row r="392" spans="2:17" x14ac:dyDescent="0.25">
      <c r="B392" s="114">
        <v>26</v>
      </c>
      <c r="C392" s="114">
        <v>79</v>
      </c>
      <c r="D392" s="114">
        <v>26</v>
      </c>
      <c r="E392" s="154" cm="1">
        <f t="array" ref="E392">IF(ISBLANK(MainData[[#This Row],[EventID]]),0,IFERROR(INDEX(MainData[],MATCH(MainData[[#This Row],[EventID]],IF(MainData[Product]="Date",MainData[EventID],0),0),12),0))</f>
        <v>44583</v>
      </c>
      <c r="F392" s="155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2" s="155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2" s="157" t="s">
        <v>84</v>
      </c>
      <c r="J392" t="s">
        <v>187</v>
      </c>
      <c r="K392" s="2" t="s">
        <v>157</v>
      </c>
      <c r="L392" s="2" t="s">
        <v>86</v>
      </c>
      <c r="M392" s="2">
        <v>1</v>
      </c>
      <c r="N392" s="2"/>
      <c r="O392" s="109"/>
      <c r="P392" s="109"/>
      <c r="Q392" s="109"/>
    </row>
    <row r="393" spans="2:17" x14ac:dyDescent="0.25">
      <c r="B393" s="114">
        <v>26</v>
      </c>
      <c r="C393" s="114">
        <v>79</v>
      </c>
      <c r="D393" s="114">
        <v>26</v>
      </c>
      <c r="E393" s="154" cm="1">
        <f t="array" ref="E393">IF(ISBLANK(MainData[[#This Row],[EventID]]),0,IFERROR(INDEX(MainData[],MATCH(MainData[[#This Row],[EventID]],IF(MainData[Product]="Date",MainData[EventID],0),0),12),0))</f>
        <v>44583</v>
      </c>
      <c r="F393" s="155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3" s="155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3" s="157" t="s">
        <v>84</v>
      </c>
      <c r="J393" t="s">
        <v>187</v>
      </c>
      <c r="K393" s="2" t="s">
        <v>157</v>
      </c>
      <c r="L393" s="2" t="s">
        <v>118</v>
      </c>
      <c r="M393" s="2" t="s">
        <v>494</v>
      </c>
      <c r="N393" s="2"/>
      <c r="O393" s="109"/>
      <c r="P393" s="109"/>
      <c r="Q393" s="109"/>
    </row>
    <row r="394" spans="2:17" x14ac:dyDescent="0.25">
      <c r="B394" s="114">
        <v>26</v>
      </c>
      <c r="C394" s="114">
        <v>79</v>
      </c>
      <c r="D394" s="114">
        <v>26</v>
      </c>
      <c r="E394" s="154" cm="1">
        <f t="array" ref="E394">IF(ISBLANK(MainData[[#This Row],[EventID]]),0,IFERROR(INDEX(MainData[],MATCH(MainData[[#This Row],[EventID]],IF(MainData[Product]="Date",MainData[EventID],0),0),12),0))</f>
        <v>44583</v>
      </c>
      <c r="F394" s="155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4" s="155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4" s="20" t="s">
        <v>85</v>
      </c>
      <c r="J394" t="s">
        <v>20</v>
      </c>
      <c r="K394" s="2" t="s">
        <v>116</v>
      </c>
      <c r="L394" s="2" t="s">
        <v>88</v>
      </c>
      <c r="M394" s="2" t="s">
        <v>189</v>
      </c>
      <c r="N394" s="2" t="s">
        <v>233</v>
      </c>
      <c r="O394" s="109">
        <v>1</v>
      </c>
      <c r="P394" s="109"/>
      <c r="Q394" s="109"/>
    </row>
    <row r="395" spans="2:17" x14ac:dyDescent="0.25">
      <c r="B395" s="114">
        <v>26</v>
      </c>
      <c r="C395" s="114">
        <v>79</v>
      </c>
      <c r="D395" s="114">
        <v>26</v>
      </c>
      <c r="E395" s="154" cm="1">
        <f t="array" ref="E395">IF(ISBLANK(MainData[[#This Row],[EventID]]),0,IFERROR(INDEX(MainData[],MATCH(MainData[[#This Row],[EventID]],IF(MainData[Product]="Date",MainData[EventID],0),0),12),0))</f>
        <v>44583</v>
      </c>
      <c r="F395" s="155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5" s="155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5" s="20" t="s">
        <v>85</v>
      </c>
      <c r="J395" t="s">
        <v>20</v>
      </c>
      <c r="K395" s="2" t="s">
        <v>116</v>
      </c>
      <c r="L395" s="2" t="s">
        <v>87</v>
      </c>
      <c r="M395" s="2" t="s">
        <v>188</v>
      </c>
      <c r="N395" s="2" t="s">
        <v>233</v>
      </c>
      <c r="O395" s="109">
        <v>1</v>
      </c>
      <c r="P395" s="109"/>
      <c r="Q395" s="109">
        <v>100</v>
      </c>
    </row>
    <row r="396" spans="2:17" x14ac:dyDescent="0.25">
      <c r="B396" s="114">
        <v>26</v>
      </c>
      <c r="C396" s="114">
        <v>79</v>
      </c>
      <c r="D396" s="114">
        <v>26</v>
      </c>
      <c r="E396" s="154" cm="1">
        <f t="array" ref="E396">IF(ISBLANK(MainData[[#This Row],[EventID]]),0,IFERROR(INDEX(MainData[],MATCH(MainData[[#This Row],[EventID]],IF(MainData[Product]="Date",MainData[EventID],0),0),12),0))</f>
        <v>44583</v>
      </c>
      <c r="F396" s="155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6" s="155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6" s="157" t="s">
        <v>85</v>
      </c>
      <c r="J396" t="s">
        <v>20</v>
      </c>
      <c r="K396" s="2" t="s">
        <v>29</v>
      </c>
      <c r="L396" s="2" t="s">
        <v>35</v>
      </c>
      <c r="M396" s="2" t="s">
        <v>382</v>
      </c>
      <c r="N396" s="2" t="s">
        <v>234</v>
      </c>
      <c r="O396" s="109">
        <v>1</v>
      </c>
      <c r="P396" s="109">
        <v>12.5</v>
      </c>
      <c r="Q396" s="109">
        <v>125</v>
      </c>
    </row>
    <row r="397" spans="2:17" x14ac:dyDescent="0.25">
      <c r="B397" s="114">
        <v>26</v>
      </c>
      <c r="C397" s="114">
        <v>79</v>
      </c>
      <c r="D397" s="114">
        <v>26</v>
      </c>
      <c r="E397" s="154" cm="1">
        <f t="array" ref="E397">IF(ISBLANK(MainData[[#This Row],[EventID]]),0,IFERROR(INDEX(MainData[],MATCH(MainData[[#This Row],[EventID]],IF(MainData[Product]="Date",MainData[EventID],0),0),12),0))</f>
        <v>44583</v>
      </c>
      <c r="F397" s="155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7" s="155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7" s="157" t="s">
        <v>85</v>
      </c>
      <c r="J397" t="s">
        <v>20</v>
      </c>
      <c r="K397" s="2" t="s">
        <v>29</v>
      </c>
      <c r="L397" s="2" t="s">
        <v>65</v>
      </c>
      <c r="M397" s="2" t="s">
        <v>383</v>
      </c>
      <c r="N397" s="2" t="s">
        <v>234</v>
      </c>
      <c r="O397" s="109">
        <v>1</v>
      </c>
      <c r="P397" s="109">
        <v>2.5</v>
      </c>
      <c r="Q397" s="109">
        <v>55</v>
      </c>
    </row>
    <row r="398" spans="2:17" x14ac:dyDescent="0.25">
      <c r="B398" s="114">
        <v>26</v>
      </c>
      <c r="C398" s="114">
        <v>79</v>
      </c>
      <c r="D398" s="114">
        <v>26</v>
      </c>
      <c r="E398" s="154" cm="1">
        <f t="array" ref="E398">IF(ISBLANK(MainData[[#This Row],[EventID]]),0,IFERROR(INDEX(MainData[],MATCH(MainData[[#This Row],[EventID]],IF(MainData[Product]="Date",MainData[EventID],0),0),12),0))</f>
        <v>44583</v>
      </c>
      <c r="F398" s="155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8" s="155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8" s="20" t="s">
        <v>85</v>
      </c>
      <c r="J398" t="s">
        <v>20</v>
      </c>
      <c r="K398" s="2" t="s">
        <v>29</v>
      </c>
      <c r="L398" s="2" t="s">
        <v>25</v>
      </c>
      <c r="M398" s="2" t="s">
        <v>391</v>
      </c>
      <c r="N398" s="2" t="s">
        <v>237</v>
      </c>
      <c r="O398" s="109">
        <v>1</v>
      </c>
      <c r="P398" s="109">
        <v>60</v>
      </c>
      <c r="Q398" s="109">
        <v>276</v>
      </c>
    </row>
    <row r="399" spans="2:17" x14ac:dyDescent="0.25">
      <c r="B399" s="114">
        <v>26</v>
      </c>
      <c r="C399" s="114">
        <v>72</v>
      </c>
      <c r="D399" s="114">
        <v>28</v>
      </c>
      <c r="E399" s="154" cm="1">
        <f t="array" ref="E399">IF(ISBLANK(MainData[[#This Row],[EventID]]),0,IFERROR(INDEX(MainData[],MATCH(MainData[[#This Row],[EventID]],IF(MainData[Product]="Date",MainData[EventID],0),0),12),0))</f>
        <v>44584</v>
      </c>
      <c r="F399" s="155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9" s="155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9" s="157" t="s">
        <v>84</v>
      </c>
      <c r="J399" t="s">
        <v>187</v>
      </c>
      <c r="K399" s="2" t="s">
        <v>157</v>
      </c>
      <c r="L399" s="2" t="s">
        <v>81</v>
      </c>
      <c r="M399" s="2">
        <v>1</v>
      </c>
      <c r="N399" s="2"/>
      <c r="O399" s="109"/>
      <c r="P399" s="109"/>
      <c r="Q399" s="109"/>
    </row>
    <row r="400" spans="2:17" x14ac:dyDescent="0.25">
      <c r="B400" s="114">
        <v>26</v>
      </c>
      <c r="C400" s="114">
        <v>72</v>
      </c>
      <c r="D400" s="114">
        <v>28</v>
      </c>
      <c r="E400" s="154" cm="1">
        <f t="array" ref="E400">IF(ISBLANK(MainData[[#This Row],[EventID]]),0,IFERROR(INDEX(MainData[],MATCH(MainData[[#This Row],[EventID]],IF(MainData[Product]="Date",MainData[EventID],0),0),12),0))</f>
        <v>44584</v>
      </c>
      <c r="F400" s="155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0" s="155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0" s="157" t="s">
        <v>84</v>
      </c>
      <c r="J400" t="s">
        <v>187</v>
      </c>
      <c r="K400" s="2" t="s">
        <v>157</v>
      </c>
      <c r="L400" s="2" t="s">
        <v>0</v>
      </c>
      <c r="M400" s="158">
        <v>44584</v>
      </c>
      <c r="N400" s="2"/>
      <c r="O400" s="109"/>
      <c r="P400" s="109"/>
      <c r="Q400" s="109"/>
    </row>
    <row r="401" spans="2:17" x14ac:dyDescent="0.25">
      <c r="B401" s="114">
        <v>26</v>
      </c>
      <c r="C401" s="114">
        <v>72</v>
      </c>
      <c r="D401" s="114">
        <v>28</v>
      </c>
      <c r="E401" s="154" cm="1">
        <f t="array" ref="E401">IF(ISBLANK(MainData[[#This Row],[EventID]]),0,IFERROR(INDEX(MainData[],MATCH(MainData[[#This Row],[EventID]],IF(MainData[Product]="Date",MainData[EventID],0),0),12),0))</f>
        <v>44584</v>
      </c>
      <c r="F401" s="155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1" s="155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1" s="157" t="s">
        <v>84</v>
      </c>
      <c r="J401" t="s">
        <v>187</v>
      </c>
      <c r="K401" s="2" t="s">
        <v>157</v>
      </c>
      <c r="L401" s="2" t="s">
        <v>82</v>
      </c>
      <c r="M401" s="2">
        <v>440714</v>
      </c>
      <c r="N401" s="2"/>
      <c r="O401" s="109"/>
      <c r="P401" s="109"/>
      <c r="Q401" s="109"/>
    </row>
    <row r="402" spans="2:17" x14ac:dyDescent="0.25">
      <c r="B402" s="114">
        <v>26</v>
      </c>
      <c r="C402" s="114">
        <v>72</v>
      </c>
      <c r="D402" s="114">
        <v>28</v>
      </c>
      <c r="E402" s="154" cm="1">
        <f t="array" ref="E402">IF(ISBLANK(MainData[[#This Row],[EventID]]),0,IFERROR(INDEX(MainData[],MATCH(MainData[[#This Row],[EventID]],IF(MainData[Product]="Date",MainData[EventID],0),0),12),0))</f>
        <v>44584</v>
      </c>
      <c r="F402" s="155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2" s="155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2" s="157" t="s">
        <v>84</v>
      </c>
      <c r="J402" t="s">
        <v>187</v>
      </c>
      <c r="K402" s="2" t="s">
        <v>157</v>
      </c>
      <c r="L402" s="2" t="s">
        <v>175</v>
      </c>
      <c r="M402" s="2" t="s">
        <v>455</v>
      </c>
      <c r="N402" s="2"/>
      <c r="O402" s="109"/>
      <c r="P402" s="109"/>
      <c r="Q402" s="109"/>
    </row>
    <row r="403" spans="2:17" x14ac:dyDescent="0.25">
      <c r="B403" s="114">
        <v>26</v>
      </c>
      <c r="C403" s="114">
        <v>72</v>
      </c>
      <c r="D403" s="114">
        <v>28</v>
      </c>
      <c r="E403" s="154" cm="1">
        <f t="array" ref="E403">IF(ISBLANK(MainData[[#This Row],[EventID]]),0,IFERROR(INDEX(MainData[],MATCH(MainData[[#This Row],[EventID]],IF(MainData[Product]="Date",MainData[EventID],0),0),12),0))</f>
        <v>44584</v>
      </c>
      <c r="F403" s="155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3" s="155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3" s="157" t="s">
        <v>84</v>
      </c>
      <c r="J403" t="s">
        <v>187</v>
      </c>
      <c r="K403" s="2" t="s">
        <v>157</v>
      </c>
      <c r="L403" s="2" t="s">
        <v>138</v>
      </c>
      <c r="M403" s="2">
        <v>795</v>
      </c>
      <c r="N403" s="2"/>
      <c r="O403" s="109"/>
      <c r="P403" s="109"/>
      <c r="Q403" s="109"/>
    </row>
    <row r="404" spans="2:17" x14ac:dyDescent="0.25">
      <c r="B404" s="114">
        <v>26</v>
      </c>
      <c r="C404" s="114">
        <v>72</v>
      </c>
      <c r="D404" s="114">
        <v>28</v>
      </c>
      <c r="E404" s="154" cm="1">
        <f t="array" ref="E404">IF(ISBLANK(MainData[[#This Row],[EventID]]),0,IFERROR(INDEX(MainData[],MATCH(MainData[[#This Row],[EventID]],IF(MainData[Product]="Date",MainData[EventID],0),0),12),0))</f>
        <v>44584</v>
      </c>
      <c r="F404" s="155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4" s="155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4" s="157" t="s">
        <v>84</v>
      </c>
      <c r="J404" t="s">
        <v>187</v>
      </c>
      <c r="K404" s="2" t="s">
        <v>157</v>
      </c>
      <c r="L404" s="2" t="s">
        <v>86</v>
      </c>
      <c r="M404" s="2">
        <v>2.5</v>
      </c>
      <c r="N404" s="2"/>
      <c r="O404" s="109"/>
      <c r="P404" s="109"/>
      <c r="Q404" s="109"/>
    </row>
    <row r="405" spans="2:17" x14ac:dyDescent="0.25">
      <c r="B405" s="114">
        <v>26</v>
      </c>
      <c r="C405" s="114">
        <v>72</v>
      </c>
      <c r="D405" s="114">
        <v>28</v>
      </c>
      <c r="E405" s="154" cm="1">
        <f t="array" ref="E405">IF(ISBLANK(MainData[[#This Row],[EventID]]),0,IFERROR(INDEX(MainData[],MATCH(MainData[[#This Row],[EventID]],IF(MainData[Product]="Date",MainData[EventID],0),0),12),0))</f>
        <v>44584</v>
      </c>
      <c r="F405" s="155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5" s="155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5" s="157" t="s">
        <v>84</v>
      </c>
      <c r="J405" t="s">
        <v>187</v>
      </c>
      <c r="K405" s="2" t="s">
        <v>157</v>
      </c>
      <c r="L405" s="2" t="s">
        <v>118</v>
      </c>
      <c r="M405" s="2" t="s">
        <v>463</v>
      </c>
      <c r="N405" s="2"/>
      <c r="O405" s="109"/>
      <c r="P405" s="109"/>
      <c r="Q405" s="109"/>
    </row>
    <row r="406" spans="2:17" x14ac:dyDescent="0.25">
      <c r="B406" s="114">
        <v>26</v>
      </c>
      <c r="C406" s="114">
        <v>72</v>
      </c>
      <c r="D406" s="114">
        <v>28</v>
      </c>
      <c r="E406" s="154" cm="1">
        <f t="array" ref="E406">IF(ISBLANK(MainData[[#This Row],[EventID]]),0,IFERROR(INDEX(MainData[],MATCH(MainData[[#This Row],[EventID]],IF(MainData[Product]="Date",MainData[EventID],0),0),12),0))</f>
        <v>44584</v>
      </c>
      <c r="F406" s="155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6" s="155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6" s="20" t="s">
        <v>85</v>
      </c>
      <c r="J406" t="s">
        <v>20</v>
      </c>
      <c r="K406" s="2" t="s">
        <v>116</v>
      </c>
      <c r="L406" s="2" t="s">
        <v>88</v>
      </c>
      <c r="M406" s="2" t="s">
        <v>189</v>
      </c>
      <c r="N406" s="2" t="s">
        <v>233</v>
      </c>
      <c r="O406" s="109">
        <v>4</v>
      </c>
      <c r="P406" s="109"/>
      <c r="Q406" s="109"/>
    </row>
    <row r="407" spans="2:17" x14ac:dyDescent="0.25">
      <c r="B407" s="114">
        <v>26</v>
      </c>
      <c r="C407" s="114">
        <v>72</v>
      </c>
      <c r="D407" s="114">
        <v>28</v>
      </c>
      <c r="E407" s="154" cm="1">
        <f t="array" ref="E407">IF(ISBLANK(MainData[[#This Row],[EventID]]),0,IFERROR(INDEX(MainData[],MATCH(MainData[[#This Row],[EventID]],IF(MainData[Product]="Date",MainData[EventID],0),0),12),0))</f>
        <v>44584</v>
      </c>
      <c r="F407" s="155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7" s="155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7" s="20" t="s">
        <v>85</v>
      </c>
      <c r="J407" t="s">
        <v>20</v>
      </c>
      <c r="K407" s="2" t="s">
        <v>116</v>
      </c>
      <c r="L407" s="2" t="s">
        <v>87</v>
      </c>
      <c r="M407" s="2" t="s">
        <v>188</v>
      </c>
      <c r="N407" s="2" t="s">
        <v>233</v>
      </c>
      <c r="O407" s="109">
        <v>9</v>
      </c>
      <c r="P407" s="109"/>
      <c r="Q407" s="109">
        <v>900</v>
      </c>
    </row>
    <row r="408" spans="2:17" x14ac:dyDescent="0.25">
      <c r="B408" s="114">
        <v>26</v>
      </c>
      <c r="C408" s="114">
        <v>72</v>
      </c>
      <c r="D408" s="114">
        <v>28</v>
      </c>
      <c r="E408" s="154" cm="1">
        <f t="array" ref="E408">IF(ISBLANK(MainData[[#This Row],[EventID]]),0,IFERROR(INDEX(MainData[],MATCH(MainData[[#This Row],[EventID]],IF(MainData[Product]="Date",MainData[EventID],0),0),12),0))</f>
        <v>44584</v>
      </c>
      <c r="F408" s="155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8" s="155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8" s="157" t="s">
        <v>85</v>
      </c>
      <c r="J408" t="s">
        <v>20</v>
      </c>
      <c r="K408" s="2" t="s">
        <v>29</v>
      </c>
      <c r="L408" s="2" t="s">
        <v>35</v>
      </c>
      <c r="M408" s="2" t="s">
        <v>382</v>
      </c>
      <c r="N408" s="2" t="s">
        <v>234</v>
      </c>
      <c r="O408" s="109">
        <v>9</v>
      </c>
      <c r="P408" s="109">
        <v>120</v>
      </c>
      <c r="Q408" s="109">
        <v>11001</v>
      </c>
    </row>
    <row r="409" spans="2:17" x14ac:dyDescent="0.25">
      <c r="B409" s="114">
        <v>26</v>
      </c>
      <c r="C409" s="114">
        <v>72</v>
      </c>
      <c r="D409" s="114">
        <v>28</v>
      </c>
      <c r="E409" s="154" cm="1">
        <f t="array" ref="E409">IF(ISBLANK(MainData[[#This Row],[EventID]]),0,IFERROR(INDEX(MainData[],MATCH(MainData[[#This Row],[EventID]],IF(MainData[Product]="Date",MainData[EventID],0),0),12),0))</f>
        <v>44584</v>
      </c>
      <c r="F409" s="155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9" s="155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9" s="20" t="s">
        <v>85</v>
      </c>
      <c r="J409" t="s">
        <v>20</v>
      </c>
      <c r="K409" s="2" t="s">
        <v>29</v>
      </c>
      <c r="L409" s="2" t="s">
        <v>36</v>
      </c>
      <c r="M409" s="2" t="s">
        <v>384</v>
      </c>
      <c r="N409" s="2" t="s">
        <v>234</v>
      </c>
      <c r="O409" s="109">
        <v>9</v>
      </c>
      <c r="P409" s="109">
        <v>1778.4</v>
      </c>
      <c r="Q409" s="109">
        <v>13326</v>
      </c>
    </row>
    <row r="410" spans="2:17" x14ac:dyDescent="0.25">
      <c r="B410" s="114">
        <v>26</v>
      </c>
      <c r="C410" s="114">
        <v>72</v>
      </c>
      <c r="D410" s="114">
        <v>28</v>
      </c>
      <c r="E410" s="154" cm="1">
        <f t="array" ref="E410">IF(ISBLANK(MainData[[#This Row],[EventID]]),0,IFERROR(INDEX(MainData[],MATCH(MainData[[#This Row],[EventID]],IF(MainData[Product]="Date",MainData[EventID],0),0),12),0))</f>
        <v>44584</v>
      </c>
      <c r="F410" s="155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10" s="155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0" s="157" t="s">
        <v>85</v>
      </c>
      <c r="J410" t="s">
        <v>20</v>
      </c>
      <c r="K410" s="2" t="s">
        <v>29</v>
      </c>
      <c r="L410" s="2" t="s">
        <v>65</v>
      </c>
      <c r="M410" s="2" t="s">
        <v>383</v>
      </c>
      <c r="N410" s="2" t="s">
        <v>234</v>
      </c>
      <c r="O410" s="109">
        <v>9</v>
      </c>
      <c r="P410" s="109">
        <v>120</v>
      </c>
      <c r="Q410" s="109">
        <v>2400.84</v>
      </c>
    </row>
    <row r="411" spans="2:17" x14ac:dyDescent="0.25">
      <c r="B411" s="114">
        <v>26</v>
      </c>
      <c r="C411" s="114">
        <v>72</v>
      </c>
      <c r="D411" s="114">
        <v>28</v>
      </c>
      <c r="E411" s="154" cm="1">
        <f t="array" ref="E411">IF(ISBLANK(MainData[[#This Row],[EventID]]),0,IFERROR(INDEX(MainData[],MATCH(MainData[[#This Row],[EventID]],IF(MainData[Product]="Date",MainData[EventID],0),0),12),0))</f>
        <v>44584</v>
      </c>
      <c r="F411" s="155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11" s="155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1" s="157" t="s">
        <v>85</v>
      </c>
      <c r="J411" t="s">
        <v>20</v>
      </c>
      <c r="K411" s="2" t="s">
        <v>29</v>
      </c>
      <c r="L411" s="2" t="s">
        <v>25</v>
      </c>
      <c r="M411" s="2" t="s">
        <v>391</v>
      </c>
      <c r="N411" s="2" t="s">
        <v>237</v>
      </c>
      <c r="O411" s="109">
        <v>9</v>
      </c>
      <c r="P411" s="109">
        <v>1500</v>
      </c>
      <c r="Q411" s="109">
        <v>9800</v>
      </c>
    </row>
    <row r="412" spans="2:17" x14ac:dyDescent="0.25">
      <c r="B412" s="114">
        <v>26</v>
      </c>
      <c r="C412" s="114">
        <v>73</v>
      </c>
      <c r="D412" s="114">
        <v>29</v>
      </c>
      <c r="E412" s="154" cm="1">
        <f t="array" ref="E412">IF(ISBLANK(MainData[[#This Row],[EventID]]),0,IFERROR(INDEX(MainData[],MATCH(MainData[[#This Row],[EventID]],IF(MainData[Product]="Date",MainData[EventID],0),0),12),0))</f>
        <v>44584</v>
      </c>
      <c r="F412" s="155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2" s="155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2" s="157" t="s">
        <v>84</v>
      </c>
      <c r="J412" t="s">
        <v>187</v>
      </c>
      <c r="K412" s="2" t="s">
        <v>157</v>
      </c>
      <c r="L412" s="2" t="s">
        <v>81</v>
      </c>
      <c r="M412" s="2">
        <v>1</v>
      </c>
      <c r="N412" s="2"/>
      <c r="O412" s="109"/>
      <c r="P412" s="109"/>
      <c r="Q412" s="109"/>
    </row>
    <row r="413" spans="2:17" x14ac:dyDescent="0.25">
      <c r="B413" s="114">
        <v>26</v>
      </c>
      <c r="C413" s="114">
        <v>73</v>
      </c>
      <c r="D413" s="114">
        <v>29</v>
      </c>
      <c r="E413" s="154" cm="1">
        <f t="array" ref="E413">IF(ISBLANK(MainData[[#This Row],[EventID]]),0,IFERROR(INDEX(MainData[],MATCH(MainData[[#This Row],[EventID]],IF(MainData[Product]="Date",MainData[EventID],0),0),12),0))</f>
        <v>44584</v>
      </c>
      <c r="F413" s="155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3" s="155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3" s="157" t="s">
        <v>84</v>
      </c>
      <c r="J413" t="s">
        <v>187</v>
      </c>
      <c r="K413" s="2" t="s">
        <v>157</v>
      </c>
      <c r="L413" s="2" t="s">
        <v>0</v>
      </c>
      <c r="M413" s="158">
        <v>44584</v>
      </c>
      <c r="N413" s="2"/>
      <c r="O413" s="109"/>
      <c r="P413" s="109"/>
      <c r="Q413" s="109"/>
    </row>
    <row r="414" spans="2:17" x14ac:dyDescent="0.25">
      <c r="B414" s="114">
        <v>26</v>
      </c>
      <c r="C414" s="114">
        <v>73</v>
      </c>
      <c r="D414" s="114">
        <v>29</v>
      </c>
      <c r="E414" s="154" cm="1">
        <f t="array" ref="E414">IF(ISBLANK(MainData[[#This Row],[EventID]]),0,IFERROR(INDEX(MainData[],MATCH(MainData[[#This Row],[EventID]],IF(MainData[Product]="Date",MainData[EventID],0),0),12),0))</f>
        <v>44584</v>
      </c>
      <c r="F414" s="155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4" s="155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4" s="157" t="s">
        <v>84</v>
      </c>
      <c r="J414" t="s">
        <v>187</v>
      </c>
      <c r="K414" s="2" t="s">
        <v>157</v>
      </c>
      <c r="L414" s="2" t="s">
        <v>82</v>
      </c>
      <c r="M414" s="2">
        <v>638797</v>
      </c>
      <c r="N414" s="2"/>
      <c r="O414" s="109"/>
      <c r="P414" s="109"/>
      <c r="Q414" s="109"/>
    </row>
    <row r="415" spans="2:17" x14ac:dyDescent="0.25">
      <c r="B415" s="114">
        <v>26</v>
      </c>
      <c r="C415" s="114">
        <v>73</v>
      </c>
      <c r="D415" s="114">
        <v>29</v>
      </c>
      <c r="E415" s="154" cm="1">
        <f t="array" ref="E415">IF(ISBLANK(MainData[[#This Row],[EventID]]),0,IFERROR(INDEX(MainData[],MATCH(MainData[[#This Row],[EventID]],IF(MainData[Product]="Date",MainData[EventID],0),0),12),0))</f>
        <v>44584</v>
      </c>
      <c r="F415" s="155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5" s="155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5" s="157" t="s">
        <v>84</v>
      </c>
      <c r="J415" t="s">
        <v>187</v>
      </c>
      <c r="K415" s="2" t="s">
        <v>157</v>
      </c>
      <c r="L415" s="2" t="s">
        <v>175</v>
      </c>
      <c r="M415" s="2" t="s">
        <v>455</v>
      </c>
      <c r="N415" s="2"/>
      <c r="O415" s="109"/>
      <c r="P415" s="109"/>
      <c r="Q415" s="109"/>
    </row>
    <row r="416" spans="2:17" x14ac:dyDescent="0.25">
      <c r="B416" s="114">
        <v>26</v>
      </c>
      <c r="C416" s="114">
        <v>73</v>
      </c>
      <c r="D416" s="114">
        <v>29</v>
      </c>
      <c r="E416" s="154" cm="1">
        <f t="array" ref="E416">IF(ISBLANK(MainData[[#This Row],[EventID]]),0,IFERROR(INDEX(MainData[],MATCH(MainData[[#This Row],[EventID]],IF(MainData[Product]="Date",MainData[EventID],0),0),12),0))</f>
        <v>44584</v>
      </c>
      <c r="F416" s="155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6" s="155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6" s="157" t="s">
        <v>84</v>
      </c>
      <c r="J416" t="s">
        <v>187</v>
      </c>
      <c r="K416" s="2" t="s">
        <v>157</v>
      </c>
      <c r="L416" s="2" t="s">
        <v>138</v>
      </c>
      <c r="M416" s="2">
        <v>65</v>
      </c>
      <c r="N416" s="2"/>
      <c r="O416" s="109"/>
      <c r="P416" s="109"/>
      <c r="Q416" s="109"/>
    </row>
    <row r="417" spans="2:17" x14ac:dyDescent="0.25">
      <c r="B417" s="114">
        <v>26</v>
      </c>
      <c r="C417" s="114">
        <v>73</v>
      </c>
      <c r="D417" s="114">
        <v>29</v>
      </c>
      <c r="E417" s="154" cm="1">
        <f t="array" ref="E417">IF(ISBLANK(MainData[[#This Row],[EventID]]),0,IFERROR(INDEX(MainData[],MATCH(MainData[[#This Row],[EventID]],IF(MainData[Product]="Date",MainData[EventID],0),0),12),0))</f>
        <v>44584</v>
      </c>
      <c r="F417" s="155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7" s="155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7" s="157" t="s">
        <v>84</v>
      </c>
      <c r="J417" t="s">
        <v>187</v>
      </c>
      <c r="K417" s="2" t="s">
        <v>157</v>
      </c>
      <c r="L417" s="2" t="s">
        <v>86</v>
      </c>
      <c r="M417" s="2">
        <v>0.5</v>
      </c>
      <c r="N417" s="2"/>
      <c r="O417" s="109"/>
      <c r="P417" s="109"/>
      <c r="Q417" s="109"/>
    </row>
    <row r="418" spans="2:17" x14ac:dyDescent="0.25">
      <c r="B418" s="114">
        <v>26</v>
      </c>
      <c r="C418" s="114">
        <v>73</v>
      </c>
      <c r="D418" s="114">
        <v>29</v>
      </c>
      <c r="E418" s="154" cm="1">
        <f t="array" ref="E418">IF(ISBLANK(MainData[[#This Row],[EventID]]),0,IFERROR(INDEX(MainData[],MATCH(MainData[[#This Row],[EventID]],IF(MainData[Product]="Date",MainData[EventID],0),0),12),0))</f>
        <v>44584</v>
      </c>
      <c r="F418" s="155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8" s="155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8" s="157" t="s">
        <v>84</v>
      </c>
      <c r="J418" t="s">
        <v>187</v>
      </c>
      <c r="K418" s="2" t="s">
        <v>157</v>
      </c>
      <c r="L418" s="2" t="s">
        <v>118</v>
      </c>
      <c r="M418" s="2" t="s">
        <v>504</v>
      </c>
      <c r="N418" s="2"/>
      <c r="O418" s="109"/>
      <c r="P418" s="109"/>
      <c r="Q418" s="109"/>
    </row>
    <row r="419" spans="2:17" x14ac:dyDescent="0.25">
      <c r="B419" s="114">
        <v>26</v>
      </c>
      <c r="C419" s="114">
        <v>73</v>
      </c>
      <c r="D419" s="114">
        <v>29</v>
      </c>
      <c r="E419" s="154" cm="1">
        <f t="array" ref="E419">IF(ISBLANK(MainData[[#This Row],[EventID]]),0,IFERROR(INDEX(MainData[],MATCH(MainData[[#This Row],[EventID]],IF(MainData[Product]="Date",MainData[EventID],0),0),12),0))</f>
        <v>44584</v>
      </c>
      <c r="F419" s="155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9" s="155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9" s="20" t="s">
        <v>85</v>
      </c>
      <c r="J419" t="s">
        <v>20</v>
      </c>
      <c r="K419" s="2" t="s">
        <v>116</v>
      </c>
      <c r="L419" s="2" t="s">
        <v>88</v>
      </c>
      <c r="M419" s="2" t="s">
        <v>189</v>
      </c>
      <c r="N419" s="2" t="s">
        <v>233</v>
      </c>
      <c r="O419" s="109">
        <v>1</v>
      </c>
      <c r="P419" s="109"/>
      <c r="Q419" s="109"/>
    </row>
    <row r="420" spans="2:17" x14ac:dyDescent="0.25">
      <c r="B420" s="114">
        <v>26</v>
      </c>
      <c r="C420" s="114">
        <v>73</v>
      </c>
      <c r="D420" s="114">
        <v>29</v>
      </c>
      <c r="E420" s="154" cm="1">
        <f t="array" ref="E420">IF(ISBLANK(MainData[[#This Row],[EventID]]),0,IFERROR(INDEX(MainData[],MATCH(MainData[[#This Row],[EventID]],IF(MainData[Product]="Date",MainData[EventID],0),0),12),0))</f>
        <v>44584</v>
      </c>
      <c r="F420" s="155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0" s="155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0" s="20" t="s">
        <v>85</v>
      </c>
      <c r="J420" t="s">
        <v>20</v>
      </c>
      <c r="K420" s="2" t="s">
        <v>116</v>
      </c>
      <c r="L420" s="2" t="s">
        <v>87</v>
      </c>
      <c r="M420" s="2" t="s">
        <v>188</v>
      </c>
      <c r="N420" s="2" t="s">
        <v>233</v>
      </c>
      <c r="O420" s="109">
        <v>1</v>
      </c>
      <c r="P420" s="109"/>
      <c r="Q420" s="109">
        <v>100</v>
      </c>
    </row>
    <row r="421" spans="2:17" x14ac:dyDescent="0.25">
      <c r="B421" s="114">
        <v>26</v>
      </c>
      <c r="C421" s="114">
        <v>73</v>
      </c>
      <c r="D421" s="114">
        <v>29</v>
      </c>
      <c r="E421" s="154" cm="1">
        <f t="array" ref="E421">IF(ISBLANK(MainData[[#This Row],[EventID]]),0,IFERROR(INDEX(MainData[],MATCH(MainData[[#This Row],[EventID]],IF(MainData[Product]="Date",MainData[EventID],0),0),12),0))</f>
        <v>44584</v>
      </c>
      <c r="F421" s="155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1" s="155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1" s="157" t="s">
        <v>85</v>
      </c>
      <c r="J421" t="s">
        <v>20</v>
      </c>
      <c r="K421" s="2" t="s">
        <v>29</v>
      </c>
      <c r="L421" s="2" t="s">
        <v>35</v>
      </c>
      <c r="M421" s="2" t="s">
        <v>382</v>
      </c>
      <c r="N421" s="2" t="s">
        <v>234</v>
      </c>
      <c r="O421" s="109">
        <v>1</v>
      </c>
      <c r="P421" s="109">
        <v>49</v>
      </c>
      <c r="Q421" s="109">
        <v>450</v>
      </c>
    </row>
    <row r="422" spans="2:17" x14ac:dyDescent="0.25">
      <c r="B422" s="114">
        <v>26</v>
      </c>
      <c r="C422" s="114">
        <v>73</v>
      </c>
      <c r="D422" s="114">
        <v>29</v>
      </c>
      <c r="E422" s="154" cm="1">
        <f t="array" ref="E422">IF(ISBLANK(MainData[[#This Row],[EventID]]),0,IFERROR(INDEX(MainData[],MATCH(MainData[[#This Row],[EventID]],IF(MainData[Product]="Date",MainData[EventID],0),0),12),0))</f>
        <v>44584</v>
      </c>
      <c r="F422" s="155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2" s="155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2" s="157" t="s">
        <v>85</v>
      </c>
      <c r="J422" t="s">
        <v>20</v>
      </c>
      <c r="K422" s="2" t="s">
        <v>29</v>
      </c>
      <c r="L422" s="2" t="s">
        <v>65</v>
      </c>
      <c r="M422" s="2" t="s">
        <v>383</v>
      </c>
      <c r="N422" s="2" t="s">
        <v>234</v>
      </c>
      <c r="O422" s="109">
        <v>1</v>
      </c>
      <c r="P422" s="109">
        <v>13</v>
      </c>
      <c r="Q422" s="109">
        <v>260</v>
      </c>
    </row>
    <row r="423" spans="2:17" x14ac:dyDescent="0.25">
      <c r="B423" s="114">
        <v>26</v>
      </c>
      <c r="C423" s="114">
        <v>73</v>
      </c>
      <c r="D423" s="114">
        <v>29</v>
      </c>
      <c r="E423" s="154" cm="1">
        <f t="array" ref="E423">IF(ISBLANK(MainData[[#This Row],[EventID]]),0,IFERROR(INDEX(MainData[],MATCH(MainData[[#This Row],[EventID]],IF(MainData[Product]="Date",MainData[EventID],0),0),12),0))</f>
        <v>44584</v>
      </c>
      <c r="F423" s="155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3" s="155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3" s="20" t="s">
        <v>85</v>
      </c>
      <c r="J423" t="s">
        <v>20</v>
      </c>
      <c r="K423" s="2" t="s">
        <v>29</v>
      </c>
      <c r="L423" s="2" t="s">
        <v>25</v>
      </c>
      <c r="M423" s="2" t="s">
        <v>391</v>
      </c>
      <c r="N423" s="2" t="s">
        <v>237</v>
      </c>
      <c r="O423" s="109">
        <v>1</v>
      </c>
      <c r="P423" s="109">
        <v>44.34</v>
      </c>
      <c r="Q423" s="109">
        <v>521.58000000000004</v>
      </c>
    </row>
    <row r="424" spans="2:17" x14ac:dyDescent="0.25">
      <c r="B424" s="114">
        <v>26</v>
      </c>
      <c r="C424" s="114">
        <v>76</v>
      </c>
      <c r="D424" s="114">
        <v>30</v>
      </c>
      <c r="E424" s="154" cm="1">
        <f t="array" ref="E424">IF(ISBLANK(MainData[[#This Row],[EventID]]),0,IFERROR(INDEX(MainData[],MATCH(MainData[[#This Row],[EventID]],IF(MainData[Product]="Date",MainData[EventID],0),0),12),0))</f>
        <v>44584</v>
      </c>
      <c r="F424" s="155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4" s="155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4" s="157" t="s">
        <v>84</v>
      </c>
      <c r="J424" t="s">
        <v>187</v>
      </c>
      <c r="K424" s="2" t="s">
        <v>157</v>
      </c>
      <c r="L424" s="2" t="s">
        <v>81</v>
      </c>
      <c r="M424" s="2">
        <v>1</v>
      </c>
      <c r="N424" s="2"/>
      <c r="O424" s="109"/>
      <c r="P424" s="109"/>
      <c r="Q424" s="109"/>
    </row>
    <row r="425" spans="2:17" x14ac:dyDescent="0.25">
      <c r="B425" s="114">
        <v>26</v>
      </c>
      <c r="C425" s="114">
        <v>76</v>
      </c>
      <c r="D425" s="114">
        <v>30</v>
      </c>
      <c r="E425" s="154" cm="1">
        <f t="array" ref="E425">IF(ISBLANK(MainData[[#This Row],[EventID]]),0,IFERROR(INDEX(MainData[],MATCH(MainData[[#This Row],[EventID]],IF(MainData[Product]="Date",MainData[EventID],0),0),12),0))</f>
        <v>44584</v>
      </c>
      <c r="F425" s="155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5" s="155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5" s="157" t="s">
        <v>84</v>
      </c>
      <c r="J425" t="s">
        <v>187</v>
      </c>
      <c r="K425" s="2" t="s">
        <v>157</v>
      </c>
      <c r="L425" s="2" t="s">
        <v>0</v>
      </c>
      <c r="M425" s="158">
        <v>44584</v>
      </c>
      <c r="N425" s="2"/>
      <c r="O425" s="109"/>
      <c r="P425" s="109"/>
      <c r="Q425" s="109"/>
    </row>
    <row r="426" spans="2:17" x14ac:dyDescent="0.25">
      <c r="B426" s="114">
        <v>26</v>
      </c>
      <c r="C426" s="114">
        <v>76</v>
      </c>
      <c r="D426" s="114">
        <v>30</v>
      </c>
      <c r="E426" s="154" cm="1">
        <f t="array" ref="E426">IF(ISBLANK(MainData[[#This Row],[EventID]]),0,IFERROR(INDEX(MainData[],MATCH(MainData[[#This Row],[EventID]],IF(MainData[Product]="Date",MainData[EventID],0),0),12),0))</f>
        <v>44584</v>
      </c>
      <c r="F426" s="155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6" s="155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6" s="157" t="s">
        <v>84</v>
      </c>
      <c r="J426" t="s">
        <v>187</v>
      </c>
      <c r="K426" s="2" t="s">
        <v>157</v>
      </c>
      <c r="L426" s="2" t="s">
        <v>82</v>
      </c>
      <c r="M426" s="2">
        <v>840579</v>
      </c>
      <c r="N426" s="2"/>
      <c r="O426" s="109"/>
      <c r="P426" s="109"/>
      <c r="Q426" s="109"/>
    </row>
    <row r="427" spans="2:17" x14ac:dyDescent="0.25">
      <c r="B427" s="114">
        <v>26</v>
      </c>
      <c r="C427" s="114">
        <v>76</v>
      </c>
      <c r="D427" s="114">
        <v>30</v>
      </c>
      <c r="E427" s="154" cm="1">
        <f t="array" ref="E427">IF(ISBLANK(MainData[[#This Row],[EventID]]),0,IFERROR(INDEX(MainData[],MATCH(MainData[[#This Row],[EventID]],IF(MainData[Product]="Date",MainData[EventID],0),0),12),0))</f>
        <v>44584</v>
      </c>
      <c r="F427" s="155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7" s="155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7" s="157" t="s">
        <v>84</v>
      </c>
      <c r="J427" t="s">
        <v>187</v>
      </c>
      <c r="K427" s="2" t="s">
        <v>157</v>
      </c>
      <c r="L427" s="2" t="s">
        <v>175</v>
      </c>
      <c r="M427" s="2" t="s">
        <v>495</v>
      </c>
      <c r="N427" s="2"/>
      <c r="O427" s="109"/>
      <c r="P427" s="109"/>
      <c r="Q427" s="109"/>
    </row>
    <row r="428" spans="2:17" x14ac:dyDescent="0.25">
      <c r="B428" s="114">
        <v>26</v>
      </c>
      <c r="C428" s="114">
        <v>76</v>
      </c>
      <c r="D428" s="114">
        <v>30</v>
      </c>
      <c r="E428" s="154" cm="1">
        <f t="array" ref="E428">IF(ISBLANK(MainData[[#This Row],[EventID]]),0,IFERROR(INDEX(MainData[],MATCH(MainData[[#This Row],[EventID]],IF(MainData[Product]="Date",MainData[EventID],0),0),12),0))</f>
        <v>44584</v>
      </c>
      <c r="F428" s="155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8" s="155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8" s="157" t="s">
        <v>84</v>
      </c>
      <c r="J428" t="s">
        <v>187</v>
      </c>
      <c r="K428" s="2" t="s">
        <v>157</v>
      </c>
      <c r="L428" s="2" t="s">
        <v>138</v>
      </c>
      <c r="M428" s="2">
        <v>65</v>
      </c>
      <c r="N428" s="2"/>
      <c r="O428" s="109"/>
      <c r="P428" s="109"/>
      <c r="Q428" s="109"/>
    </row>
    <row r="429" spans="2:17" x14ac:dyDescent="0.25">
      <c r="B429" s="114">
        <v>26</v>
      </c>
      <c r="C429" s="114">
        <v>76</v>
      </c>
      <c r="D429" s="114">
        <v>30</v>
      </c>
      <c r="E429" s="154" cm="1">
        <f t="array" ref="E429">IF(ISBLANK(MainData[[#This Row],[EventID]]),0,IFERROR(INDEX(MainData[],MATCH(MainData[[#This Row],[EventID]],IF(MainData[Product]="Date",MainData[EventID],0),0),12),0))</f>
        <v>44584</v>
      </c>
      <c r="F429" s="155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9" s="155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9" s="157" t="s">
        <v>84</v>
      </c>
      <c r="J429" t="s">
        <v>187</v>
      </c>
      <c r="K429" s="2" t="s">
        <v>157</v>
      </c>
      <c r="L429" s="2" t="s">
        <v>86</v>
      </c>
      <c r="M429" s="2">
        <v>1.5</v>
      </c>
      <c r="N429" s="2"/>
      <c r="O429" s="109"/>
      <c r="P429" s="109"/>
      <c r="Q429" s="109"/>
    </row>
    <row r="430" spans="2:17" x14ac:dyDescent="0.25">
      <c r="B430" s="114">
        <v>26</v>
      </c>
      <c r="C430" s="114">
        <v>76</v>
      </c>
      <c r="D430" s="114">
        <v>30</v>
      </c>
      <c r="E430" s="154" cm="1">
        <f t="array" ref="E430">IF(ISBLANK(MainData[[#This Row],[EventID]]),0,IFERROR(INDEX(MainData[],MATCH(MainData[[#This Row],[EventID]],IF(MainData[Product]="Date",MainData[EventID],0),0),12),0))</f>
        <v>44584</v>
      </c>
      <c r="F430" s="155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0" s="155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0" s="157" t="s">
        <v>84</v>
      </c>
      <c r="J430" t="s">
        <v>187</v>
      </c>
      <c r="K430" s="2" t="s">
        <v>157</v>
      </c>
      <c r="L430" s="2" t="s">
        <v>118</v>
      </c>
      <c r="M430" s="2" t="s">
        <v>462</v>
      </c>
      <c r="N430" s="2"/>
      <c r="O430" s="109"/>
      <c r="P430" s="109"/>
      <c r="Q430" s="109"/>
    </row>
    <row r="431" spans="2:17" x14ac:dyDescent="0.25">
      <c r="B431" s="114">
        <v>26</v>
      </c>
      <c r="C431" s="114">
        <v>76</v>
      </c>
      <c r="D431" s="114">
        <v>30</v>
      </c>
      <c r="E431" s="154" cm="1">
        <f t="array" ref="E431">IF(ISBLANK(MainData[[#This Row],[EventID]]),0,IFERROR(INDEX(MainData[],MATCH(MainData[[#This Row],[EventID]],IF(MainData[Product]="Date",MainData[EventID],0),0),12),0))</f>
        <v>44584</v>
      </c>
      <c r="F431" s="155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1" s="155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1" s="20" t="s">
        <v>85</v>
      </c>
      <c r="J431" t="s">
        <v>20</v>
      </c>
      <c r="K431" s="2" t="s">
        <v>116</v>
      </c>
      <c r="L431" s="2" t="s">
        <v>88</v>
      </c>
      <c r="M431" s="2" t="s">
        <v>189</v>
      </c>
      <c r="N431" s="2" t="s">
        <v>233</v>
      </c>
      <c r="O431" s="109">
        <v>1</v>
      </c>
      <c r="P431" s="109"/>
      <c r="Q431" s="109"/>
    </row>
    <row r="432" spans="2:17" x14ac:dyDescent="0.25">
      <c r="B432" s="114">
        <v>26</v>
      </c>
      <c r="C432" s="114">
        <v>76</v>
      </c>
      <c r="D432" s="114">
        <v>30</v>
      </c>
      <c r="E432" s="154" cm="1">
        <f t="array" ref="E432">IF(ISBLANK(MainData[[#This Row],[EventID]]),0,IFERROR(INDEX(MainData[],MATCH(MainData[[#This Row],[EventID]],IF(MainData[Product]="Date",MainData[EventID],0),0),12),0))</f>
        <v>44584</v>
      </c>
      <c r="F432" s="155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2" s="155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2" s="20" t="s">
        <v>85</v>
      </c>
      <c r="J432" t="s">
        <v>20</v>
      </c>
      <c r="K432" s="2" t="s">
        <v>116</v>
      </c>
      <c r="L432" s="2" t="s">
        <v>87</v>
      </c>
      <c r="M432" s="2" t="s">
        <v>188</v>
      </c>
      <c r="N432" s="2" t="s">
        <v>233</v>
      </c>
      <c r="O432" s="109">
        <v>1</v>
      </c>
      <c r="P432" s="109"/>
      <c r="Q432" s="109">
        <v>100</v>
      </c>
    </row>
    <row r="433" spans="2:17" x14ac:dyDescent="0.25">
      <c r="B433" s="114">
        <v>26</v>
      </c>
      <c r="C433" s="114">
        <v>76</v>
      </c>
      <c r="D433" s="114">
        <v>30</v>
      </c>
      <c r="E433" s="154" cm="1">
        <f t="array" ref="E433">IF(ISBLANK(MainData[[#This Row],[EventID]]),0,IFERROR(INDEX(MainData[],MATCH(MainData[[#This Row],[EventID]],IF(MainData[Product]="Date",MainData[EventID],0),0),12),0))</f>
        <v>44584</v>
      </c>
      <c r="F433" s="155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3" s="155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3" s="20" t="s">
        <v>85</v>
      </c>
      <c r="J433" t="s">
        <v>20</v>
      </c>
      <c r="K433" s="2" t="s">
        <v>29</v>
      </c>
      <c r="L433" s="2" t="s">
        <v>25</v>
      </c>
      <c r="M433" s="2" t="s">
        <v>391</v>
      </c>
      <c r="N433" s="2" t="s">
        <v>237</v>
      </c>
      <c r="O433" s="109">
        <v>1</v>
      </c>
      <c r="P433" s="109">
        <v>72</v>
      </c>
      <c r="Q433" s="109">
        <v>448.98</v>
      </c>
    </row>
    <row r="434" spans="2:17" x14ac:dyDescent="0.25">
      <c r="B434" s="114">
        <v>5</v>
      </c>
      <c r="C434" s="114">
        <v>8</v>
      </c>
      <c r="D434" s="114">
        <v>27</v>
      </c>
      <c r="E434" s="154" cm="1">
        <f t="array" ref="E434">IF(ISBLANK(MainData[[#This Row],[EventID]]),0,IFERROR(INDEX(MainData[],MATCH(MainData[[#This Row],[EventID]],IF(MainData[Product]="Date",MainData[EventID],0),0),12),0))</f>
        <v>44584</v>
      </c>
      <c r="F434" s="155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4" s="155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20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4" s="157" t="s">
        <v>84</v>
      </c>
      <c r="J434" t="s">
        <v>187</v>
      </c>
      <c r="K434" s="2" t="s">
        <v>157</v>
      </c>
      <c r="L434" s="2" t="s">
        <v>150</v>
      </c>
      <c r="M434" s="2">
        <v>1</v>
      </c>
      <c r="N434" s="2"/>
      <c r="O434" s="109"/>
      <c r="P434" s="109"/>
      <c r="Q434" s="109"/>
    </row>
    <row r="435" spans="2:17" x14ac:dyDescent="0.25">
      <c r="B435" s="114">
        <v>5</v>
      </c>
      <c r="C435" s="114">
        <v>8</v>
      </c>
      <c r="D435" s="114">
        <v>27</v>
      </c>
      <c r="E435" s="154" cm="1">
        <f t="array" ref="E435">IF(ISBLANK(MainData[[#This Row],[EventID]]),0,IFERROR(INDEX(MainData[],MATCH(MainData[[#This Row],[EventID]],IF(MainData[Product]="Date",MainData[EventID],0),0),12),0))</f>
        <v>44584</v>
      </c>
      <c r="F435" s="155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5" s="155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5" s="157" t="s">
        <v>84</v>
      </c>
      <c r="J435" t="s">
        <v>187</v>
      </c>
      <c r="K435" s="2" t="s">
        <v>157</v>
      </c>
      <c r="L435" s="2" t="s">
        <v>81</v>
      </c>
      <c r="M435" s="2">
        <v>1</v>
      </c>
      <c r="N435" s="2"/>
      <c r="O435" s="109"/>
      <c r="P435" s="109"/>
      <c r="Q435" s="109"/>
    </row>
    <row r="436" spans="2:17" x14ac:dyDescent="0.25">
      <c r="B436" s="114">
        <v>5</v>
      </c>
      <c r="C436" s="114">
        <v>8</v>
      </c>
      <c r="D436" s="114">
        <v>27</v>
      </c>
      <c r="E436" s="154" cm="1">
        <f t="array" ref="E436">IF(ISBLANK(MainData[[#This Row],[EventID]]),0,IFERROR(INDEX(MainData[],MATCH(MainData[[#This Row],[EventID]],IF(MainData[Product]="Date",MainData[EventID],0),0),12),0))</f>
        <v>44584</v>
      </c>
      <c r="F436" s="155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6" s="155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6" s="157" t="s">
        <v>84</v>
      </c>
      <c r="J436" t="s">
        <v>187</v>
      </c>
      <c r="K436" s="2" t="s">
        <v>157</v>
      </c>
      <c r="L436" s="2" t="s">
        <v>164</v>
      </c>
      <c r="M436" s="2" t="s">
        <v>453</v>
      </c>
      <c r="N436" s="2"/>
      <c r="O436" s="109"/>
      <c r="P436" s="109"/>
      <c r="Q436" s="109"/>
    </row>
    <row r="437" spans="2:17" x14ac:dyDescent="0.25">
      <c r="B437" s="114">
        <v>5</v>
      </c>
      <c r="C437" s="114">
        <v>8</v>
      </c>
      <c r="D437" s="114">
        <v>27</v>
      </c>
      <c r="E437" s="154" cm="1">
        <f t="array" ref="E437">IF(ISBLANK(MainData[[#This Row],[EventID]]),0,IFERROR(INDEX(MainData[],MATCH(MainData[[#This Row],[EventID]],IF(MainData[Product]="Date",MainData[EventID],0),0),12),0))</f>
        <v>44584</v>
      </c>
      <c r="F437" s="155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7" s="155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7" s="157" t="s">
        <v>84</v>
      </c>
      <c r="J437" t="s">
        <v>187</v>
      </c>
      <c r="K437" s="2" t="s">
        <v>157</v>
      </c>
      <c r="L437" s="2" t="s">
        <v>0</v>
      </c>
      <c r="M437" s="158">
        <v>44584</v>
      </c>
      <c r="N437" s="2"/>
      <c r="O437" s="109"/>
      <c r="P437" s="109"/>
      <c r="Q437" s="109"/>
    </row>
    <row r="438" spans="2:17" x14ac:dyDescent="0.25">
      <c r="B438" s="114">
        <v>5</v>
      </c>
      <c r="C438" s="114">
        <v>8</v>
      </c>
      <c r="D438" s="114">
        <v>27</v>
      </c>
      <c r="E438" s="154" cm="1">
        <f t="array" ref="E438">IF(ISBLANK(MainData[[#This Row],[EventID]]),0,IFERROR(INDEX(MainData[],MATCH(MainData[[#This Row],[EventID]],IF(MainData[Product]="Date",MainData[EventID],0),0),12),0))</f>
        <v>44584</v>
      </c>
      <c r="F438" s="155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8" s="155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8" s="157" t="s">
        <v>84</v>
      </c>
      <c r="J438" t="s">
        <v>187</v>
      </c>
      <c r="K438" s="2" t="s">
        <v>157</v>
      </c>
      <c r="L438" s="2" t="s">
        <v>82</v>
      </c>
      <c r="M438" s="2">
        <v>745296</v>
      </c>
      <c r="N438" s="2"/>
      <c r="O438" s="109"/>
      <c r="P438" s="109"/>
      <c r="Q438" s="109"/>
    </row>
    <row r="439" spans="2:17" x14ac:dyDescent="0.25">
      <c r="B439" s="114">
        <v>5</v>
      </c>
      <c r="C439" s="114">
        <v>8</v>
      </c>
      <c r="D439" s="114">
        <v>27</v>
      </c>
      <c r="E439" s="154" cm="1">
        <f t="array" ref="E439">IF(ISBLANK(MainData[[#This Row],[EventID]]),0,IFERROR(INDEX(MainData[],MATCH(MainData[[#This Row],[EventID]],IF(MainData[Product]="Date",MainData[EventID],0),0),12),0))</f>
        <v>44584</v>
      </c>
      <c r="F439" s="155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9" s="155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9" s="157" t="s">
        <v>84</v>
      </c>
      <c r="J439" t="s">
        <v>187</v>
      </c>
      <c r="K439" s="2" t="s">
        <v>157</v>
      </c>
      <c r="L439" s="2" t="s">
        <v>175</v>
      </c>
      <c r="M439" s="2" t="s">
        <v>475</v>
      </c>
      <c r="N439" s="2"/>
      <c r="O439" s="109"/>
      <c r="P439" s="109"/>
      <c r="Q439" s="109"/>
    </row>
    <row r="440" spans="2:17" x14ac:dyDescent="0.25">
      <c r="B440" s="114">
        <v>5</v>
      </c>
      <c r="C440" s="114">
        <v>8</v>
      </c>
      <c r="D440" s="114">
        <v>27</v>
      </c>
      <c r="E440" s="154" cm="1">
        <f t="array" ref="E440">IF(ISBLANK(MainData[[#This Row],[EventID]]),0,IFERROR(INDEX(MainData[],MATCH(MainData[[#This Row],[EventID]],IF(MainData[Product]="Date",MainData[EventID],0),0),12),0))</f>
        <v>44584</v>
      </c>
      <c r="F440" s="155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0" s="155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0" s="157" t="s">
        <v>84</v>
      </c>
      <c r="J440" t="s">
        <v>187</v>
      </c>
      <c r="K440" s="2" t="s">
        <v>157</v>
      </c>
      <c r="L440" s="2" t="s">
        <v>20</v>
      </c>
      <c r="M440" s="2" t="s">
        <v>347</v>
      </c>
      <c r="N440" s="2"/>
      <c r="O440" s="109"/>
      <c r="P440" s="109"/>
      <c r="Q440" s="109"/>
    </row>
    <row r="441" spans="2:17" x14ac:dyDescent="0.25">
      <c r="B441" s="114">
        <v>5</v>
      </c>
      <c r="C441" s="114">
        <v>8</v>
      </c>
      <c r="D441" s="114">
        <v>27</v>
      </c>
      <c r="E441" s="154" cm="1">
        <f t="array" ref="E441">IF(ISBLANK(MainData[[#This Row],[EventID]]),0,IFERROR(INDEX(MainData[],MATCH(MainData[[#This Row],[EventID]],IF(MainData[Product]="Date",MainData[EventID],0),0),12),0))</f>
        <v>44584</v>
      </c>
      <c r="F441" s="155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1" s="155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1" s="157" t="s">
        <v>84</v>
      </c>
      <c r="J441" t="s">
        <v>187</v>
      </c>
      <c r="K441" s="2" t="s">
        <v>157</v>
      </c>
      <c r="L441" s="2" t="s">
        <v>138</v>
      </c>
      <c r="M441" s="2">
        <v>18</v>
      </c>
      <c r="N441" s="2"/>
      <c r="O441" s="109"/>
      <c r="P441" s="109"/>
      <c r="Q441" s="109"/>
    </row>
    <row r="442" spans="2:17" x14ac:dyDescent="0.25">
      <c r="B442" s="114">
        <v>5</v>
      </c>
      <c r="C442" s="114">
        <v>8</v>
      </c>
      <c r="D442" s="114">
        <v>27</v>
      </c>
      <c r="E442" s="154" cm="1">
        <f t="array" ref="E442">IF(ISBLANK(MainData[[#This Row],[EventID]]),0,IFERROR(INDEX(MainData[],MATCH(MainData[[#This Row],[EventID]],IF(MainData[Product]="Date",MainData[EventID],0),0),12),0))</f>
        <v>44584</v>
      </c>
      <c r="F442" s="155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2" s="155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2" s="157" t="s">
        <v>84</v>
      </c>
      <c r="J442" t="s">
        <v>187</v>
      </c>
      <c r="K442" s="2" t="s">
        <v>157</v>
      </c>
      <c r="L442" s="2" t="s">
        <v>86</v>
      </c>
      <c r="M442" s="2">
        <v>1</v>
      </c>
      <c r="N442" s="2"/>
      <c r="O442" s="109"/>
      <c r="P442" s="109"/>
      <c r="Q442" s="109"/>
    </row>
    <row r="443" spans="2:17" x14ac:dyDescent="0.25">
      <c r="B443" s="114">
        <v>5</v>
      </c>
      <c r="C443" s="114">
        <v>8</v>
      </c>
      <c r="D443" s="114">
        <v>27</v>
      </c>
      <c r="E443" s="154" cm="1">
        <f t="array" ref="E443">IF(ISBLANK(MainData[[#This Row],[EventID]]),0,IFERROR(INDEX(MainData[],MATCH(MainData[[#This Row],[EventID]],IF(MainData[Product]="Date",MainData[EventID],0),0),12),0))</f>
        <v>44584</v>
      </c>
      <c r="F443" s="155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3" s="155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3" s="157" t="s">
        <v>84</v>
      </c>
      <c r="J443" t="s">
        <v>187</v>
      </c>
      <c r="K443" s="2" t="s">
        <v>157</v>
      </c>
      <c r="L443" s="2" t="s">
        <v>118</v>
      </c>
      <c r="M443" s="2" t="s">
        <v>498</v>
      </c>
      <c r="N443" s="2"/>
      <c r="O443" s="109"/>
      <c r="P443" s="109"/>
      <c r="Q443" s="109"/>
    </row>
    <row r="444" spans="2:17" x14ac:dyDescent="0.25">
      <c r="B444" s="114">
        <v>5</v>
      </c>
      <c r="C444" s="114">
        <v>8</v>
      </c>
      <c r="D444" s="114">
        <v>27</v>
      </c>
      <c r="E444" s="154" cm="1">
        <f t="array" ref="E444">IF(ISBLANK(MainData[[#This Row],[EventID]]),0,IFERROR(INDEX(MainData[],MATCH(MainData[[#This Row],[EventID]],IF(MainData[Product]="Date",MainData[EventID],0),0),12),0))</f>
        <v>44584</v>
      </c>
      <c r="F444" s="155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4" s="155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4" s="157" t="s">
        <v>84</v>
      </c>
      <c r="J444" t="s">
        <v>187</v>
      </c>
      <c r="K444" s="2" t="s">
        <v>157</v>
      </c>
      <c r="L444" s="2" t="s">
        <v>165</v>
      </c>
      <c r="M444" s="2" t="s">
        <v>409</v>
      </c>
      <c r="N444" s="2"/>
      <c r="O444" s="109"/>
      <c r="P444" s="109"/>
      <c r="Q444" s="109"/>
    </row>
    <row r="445" spans="2:17" x14ac:dyDescent="0.25">
      <c r="B445" s="114">
        <v>5</v>
      </c>
      <c r="C445" s="114">
        <v>8</v>
      </c>
      <c r="D445" s="114">
        <v>27</v>
      </c>
      <c r="E445" s="154" cm="1">
        <f t="array" ref="E445">IF(ISBLANK(MainData[[#This Row],[EventID]]),0,IFERROR(INDEX(MainData[],MATCH(MainData[[#This Row],[EventID]],IF(MainData[Product]="Date",MainData[EventID],0),0),12),0))</f>
        <v>44584</v>
      </c>
      <c r="F445" s="155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5" s="155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5" s="157" t="s">
        <v>84</v>
      </c>
      <c r="J445" t="s">
        <v>187</v>
      </c>
      <c r="K445" s="2" t="s">
        <v>157</v>
      </c>
      <c r="L445" s="2" t="s">
        <v>232</v>
      </c>
      <c r="M445" s="2" t="s">
        <v>85</v>
      </c>
      <c r="N445" s="2"/>
      <c r="O445" s="109"/>
      <c r="P445" s="109"/>
      <c r="Q445" s="109"/>
    </row>
    <row r="446" spans="2:17" x14ac:dyDescent="0.25">
      <c r="B446" s="114">
        <v>5</v>
      </c>
      <c r="C446" s="114">
        <v>8</v>
      </c>
      <c r="D446" s="114">
        <v>27</v>
      </c>
      <c r="E446" s="154" cm="1">
        <f t="array" ref="E446">IF(ISBLANK(MainData[[#This Row],[EventID]]),0,IFERROR(INDEX(MainData[],MATCH(MainData[[#This Row],[EventID]],IF(MainData[Product]="Date",MainData[EventID],0),0),12),0))</f>
        <v>44584</v>
      </c>
      <c r="F446" s="155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6" s="155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6" s="20" t="s">
        <v>85</v>
      </c>
      <c r="J446" t="s">
        <v>21</v>
      </c>
      <c r="K446" s="2" t="s">
        <v>116</v>
      </c>
      <c r="L446" s="2" t="s">
        <v>107</v>
      </c>
      <c r="M446" s="2" t="s">
        <v>190</v>
      </c>
      <c r="N446" s="2" t="s">
        <v>233</v>
      </c>
      <c r="O446" s="109">
        <v>1</v>
      </c>
      <c r="P446" s="109"/>
      <c r="Q446" s="109"/>
    </row>
    <row r="447" spans="2:17" x14ac:dyDescent="0.25">
      <c r="B447" s="114">
        <v>5</v>
      </c>
      <c r="C447" s="114">
        <v>8</v>
      </c>
      <c r="D447" s="114">
        <v>27</v>
      </c>
      <c r="E447" s="154" cm="1">
        <f t="array" ref="E447">IF(ISBLANK(MainData[[#This Row],[EventID]]),0,IFERROR(INDEX(MainData[],MATCH(MainData[[#This Row],[EventID]],IF(MainData[Product]="Date",MainData[EventID],0),0),12),0))</f>
        <v>44584</v>
      </c>
      <c r="F447" s="155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7" s="155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7" s="20" t="s">
        <v>85</v>
      </c>
      <c r="J447" t="s">
        <v>21</v>
      </c>
      <c r="K447" s="2" t="s">
        <v>29</v>
      </c>
      <c r="L447" s="2" t="s">
        <v>25</v>
      </c>
      <c r="M447" s="2" t="s">
        <v>6</v>
      </c>
      <c r="N447" s="2" t="s">
        <v>235</v>
      </c>
      <c r="O447" s="109">
        <v>1</v>
      </c>
      <c r="P447" s="109">
        <v>11.5</v>
      </c>
      <c r="Q447" s="109">
        <v>41</v>
      </c>
    </row>
    <row r="448" spans="2:17" x14ac:dyDescent="0.25">
      <c r="B448" s="114">
        <v>37</v>
      </c>
      <c r="C448" s="114">
        <v>93</v>
      </c>
      <c r="D448" s="114">
        <v>33</v>
      </c>
      <c r="E448" s="154" cm="1">
        <f t="array" ref="E448">IF(ISBLANK(MainData[[#This Row],[EventID]]),0,IFERROR(INDEX(MainData[],MATCH(MainData[[#This Row],[EventID]],IF(MainData[Product]="Date",MainData[EventID],0),0),12),0))</f>
        <v>44586</v>
      </c>
      <c r="F448" s="155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8" s="155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8" s="157" t="s">
        <v>84</v>
      </c>
      <c r="J448" t="s">
        <v>187</v>
      </c>
      <c r="K448" s="2" t="s">
        <v>157</v>
      </c>
      <c r="L448" s="2" t="s">
        <v>81</v>
      </c>
      <c r="M448" s="2">
        <v>1</v>
      </c>
      <c r="N448" s="2"/>
      <c r="O448" s="109"/>
      <c r="P448" s="109"/>
      <c r="Q448" s="109"/>
    </row>
    <row r="449" spans="2:17" x14ac:dyDescent="0.25">
      <c r="B449" s="114">
        <v>37</v>
      </c>
      <c r="C449" s="114">
        <v>93</v>
      </c>
      <c r="D449" s="114">
        <v>33</v>
      </c>
      <c r="E449" s="154" cm="1">
        <f t="array" ref="E449">IF(ISBLANK(MainData[[#This Row],[EventID]]),0,IFERROR(INDEX(MainData[],MATCH(MainData[[#This Row],[EventID]],IF(MainData[Product]="Date",MainData[EventID],0),0),12),0))</f>
        <v>44586</v>
      </c>
      <c r="F449" s="155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9" s="155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9" s="157" t="s">
        <v>84</v>
      </c>
      <c r="J449" t="s">
        <v>187</v>
      </c>
      <c r="K449" s="2" t="s">
        <v>157</v>
      </c>
      <c r="L449" s="2" t="s">
        <v>164</v>
      </c>
      <c r="M449" s="2" t="s">
        <v>438</v>
      </c>
      <c r="N449" s="2"/>
      <c r="O449" s="109"/>
      <c r="P449" s="109"/>
      <c r="Q449" s="109"/>
    </row>
    <row r="450" spans="2:17" x14ac:dyDescent="0.25">
      <c r="B450" s="114">
        <v>37</v>
      </c>
      <c r="C450" s="114">
        <v>93</v>
      </c>
      <c r="D450" s="114">
        <v>33</v>
      </c>
      <c r="E450" s="154" cm="1">
        <f t="array" ref="E450">IF(ISBLANK(MainData[[#This Row],[EventID]]),0,IFERROR(INDEX(MainData[],MATCH(MainData[[#This Row],[EventID]],IF(MainData[Product]="Date",MainData[EventID],0),0),12),0))</f>
        <v>44586</v>
      </c>
      <c r="F450" s="155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0" s="155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0" s="157" t="s">
        <v>84</v>
      </c>
      <c r="J450" t="s">
        <v>187</v>
      </c>
      <c r="K450" s="2" t="s">
        <v>157</v>
      </c>
      <c r="L450" s="2" t="s">
        <v>0</v>
      </c>
      <c r="M450" s="158">
        <v>44586</v>
      </c>
      <c r="N450" s="2"/>
      <c r="O450" s="109"/>
      <c r="P450" s="109"/>
      <c r="Q450" s="109"/>
    </row>
    <row r="451" spans="2:17" x14ac:dyDescent="0.25">
      <c r="B451" s="114">
        <v>37</v>
      </c>
      <c r="C451" s="114">
        <v>93</v>
      </c>
      <c r="D451" s="114">
        <v>33</v>
      </c>
      <c r="E451" s="154" cm="1">
        <f t="array" ref="E451">IF(ISBLANK(MainData[[#This Row],[EventID]]),0,IFERROR(INDEX(MainData[],MATCH(MainData[[#This Row],[EventID]],IF(MainData[Product]="Date",MainData[EventID],0),0),12),0))</f>
        <v>44586</v>
      </c>
      <c r="F451" s="155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1" s="155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1" s="157" t="s">
        <v>84</v>
      </c>
      <c r="J451" t="s">
        <v>187</v>
      </c>
      <c r="K451" s="2" t="s">
        <v>157</v>
      </c>
      <c r="L451" s="2" t="s">
        <v>82</v>
      </c>
      <c r="M451" s="2">
        <v>588042</v>
      </c>
      <c r="N451" s="2"/>
      <c r="O451" s="109"/>
      <c r="P451" s="109"/>
      <c r="Q451" s="109"/>
    </row>
    <row r="452" spans="2:17" x14ac:dyDescent="0.25">
      <c r="B452" s="114">
        <v>37</v>
      </c>
      <c r="C452" s="114">
        <v>93</v>
      </c>
      <c r="D452" s="114">
        <v>33</v>
      </c>
      <c r="E452" s="154" cm="1">
        <f t="array" ref="E452">IF(ISBLANK(MainData[[#This Row],[EventID]]),0,IFERROR(INDEX(MainData[],MATCH(MainData[[#This Row],[EventID]],IF(MainData[Product]="Date",MainData[EventID],0),0),12),0))</f>
        <v>44586</v>
      </c>
      <c r="F452" s="155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2" s="155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2" s="157" t="s">
        <v>84</v>
      </c>
      <c r="J452" t="s">
        <v>187</v>
      </c>
      <c r="K452" s="2" t="s">
        <v>157</v>
      </c>
      <c r="L452" s="2" t="s">
        <v>175</v>
      </c>
      <c r="M452" s="2" t="s">
        <v>455</v>
      </c>
      <c r="N452" s="2"/>
      <c r="O452" s="109"/>
      <c r="P452" s="109"/>
      <c r="Q452" s="109"/>
    </row>
    <row r="453" spans="2:17" x14ac:dyDescent="0.25">
      <c r="B453" s="114">
        <v>37</v>
      </c>
      <c r="C453" s="114">
        <v>93</v>
      </c>
      <c r="D453" s="114">
        <v>33</v>
      </c>
      <c r="E453" s="154" cm="1">
        <f t="array" ref="E453">IF(ISBLANK(MainData[[#This Row],[EventID]]),0,IFERROR(INDEX(MainData[],MATCH(MainData[[#This Row],[EventID]],IF(MainData[Product]="Date",MainData[EventID],0),0),12),0))</f>
        <v>44586</v>
      </c>
      <c r="F453" s="155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3" s="155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3" s="157" t="s">
        <v>84</v>
      </c>
      <c r="J453" t="s">
        <v>187</v>
      </c>
      <c r="K453" s="2" t="s">
        <v>157</v>
      </c>
      <c r="L453" s="2" t="s">
        <v>20</v>
      </c>
      <c r="M453" s="2" t="s">
        <v>369</v>
      </c>
      <c r="N453" s="2"/>
      <c r="O453" s="109"/>
      <c r="P453" s="109"/>
      <c r="Q453" s="109"/>
    </row>
    <row r="454" spans="2:17" x14ac:dyDescent="0.25">
      <c r="B454" s="114">
        <v>37</v>
      </c>
      <c r="C454" s="114">
        <v>93</v>
      </c>
      <c r="D454" s="114">
        <v>33</v>
      </c>
      <c r="E454" s="154" cm="1">
        <f t="array" ref="E454">IF(ISBLANK(MainData[[#This Row],[EventID]]),0,IFERROR(INDEX(MainData[],MATCH(MainData[[#This Row],[EventID]],IF(MainData[Product]="Date",MainData[EventID],0),0),12),0))</f>
        <v>44586</v>
      </c>
      <c r="F454" s="155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4" s="155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4" s="157" t="s">
        <v>84</v>
      </c>
      <c r="J454" t="s">
        <v>187</v>
      </c>
      <c r="K454" s="2" t="s">
        <v>157</v>
      </c>
      <c r="L454" s="2" t="s">
        <v>138</v>
      </c>
      <c r="M454" s="2">
        <v>55</v>
      </c>
      <c r="N454" s="2"/>
      <c r="O454" s="109"/>
      <c r="P454" s="109"/>
      <c r="Q454" s="109"/>
    </row>
    <row r="455" spans="2:17" x14ac:dyDescent="0.25">
      <c r="B455" s="114">
        <v>37</v>
      </c>
      <c r="C455" s="114">
        <v>93</v>
      </c>
      <c r="D455" s="114">
        <v>33</v>
      </c>
      <c r="E455" s="154" cm="1">
        <f t="array" ref="E455">IF(ISBLANK(MainData[[#This Row],[EventID]]),0,IFERROR(INDEX(MainData[],MATCH(MainData[[#This Row],[EventID]],IF(MainData[Product]="Date",MainData[EventID],0),0),12),0))</f>
        <v>44586</v>
      </c>
      <c r="F455" s="155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5" s="155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5" s="157" t="s">
        <v>84</v>
      </c>
      <c r="J455" t="s">
        <v>187</v>
      </c>
      <c r="K455" s="2" t="s">
        <v>157</v>
      </c>
      <c r="L455" s="2" t="s">
        <v>86</v>
      </c>
      <c r="M455" s="2">
        <v>1</v>
      </c>
      <c r="N455" s="2"/>
      <c r="O455" s="109"/>
      <c r="P455" s="109"/>
      <c r="Q455" s="109"/>
    </row>
    <row r="456" spans="2:17" x14ac:dyDescent="0.25">
      <c r="B456" s="114">
        <v>37</v>
      </c>
      <c r="C456" s="114">
        <v>93</v>
      </c>
      <c r="D456" s="114">
        <v>33</v>
      </c>
      <c r="E456" s="154" cm="1">
        <f t="array" ref="E456">IF(ISBLANK(MainData[[#This Row],[EventID]]),0,IFERROR(INDEX(MainData[],MATCH(MainData[[#This Row],[EventID]],IF(MainData[Product]="Date",MainData[EventID],0),0),12),0))</f>
        <v>44586</v>
      </c>
      <c r="F456" s="155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6" s="155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6" s="157" t="s">
        <v>84</v>
      </c>
      <c r="J456" t="s">
        <v>187</v>
      </c>
      <c r="K456" s="2" t="s">
        <v>157</v>
      </c>
      <c r="L456" s="2" t="s">
        <v>118</v>
      </c>
      <c r="M456" s="2" t="s">
        <v>503</v>
      </c>
      <c r="N456" s="2"/>
      <c r="O456" s="109"/>
      <c r="P456" s="109"/>
      <c r="Q456" s="109"/>
    </row>
    <row r="457" spans="2:17" x14ac:dyDescent="0.25">
      <c r="B457" s="114">
        <v>37</v>
      </c>
      <c r="C457" s="114">
        <v>93</v>
      </c>
      <c r="D457" s="114">
        <v>33</v>
      </c>
      <c r="E457" s="154" cm="1">
        <f t="array" ref="E457">IF(ISBLANK(MainData[[#This Row],[EventID]]),0,IFERROR(INDEX(MainData[],MATCH(MainData[[#This Row],[EventID]],IF(MainData[Product]="Date",MainData[EventID],0),0),12),0))</f>
        <v>44586</v>
      </c>
      <c r="F457" s="155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7" s="155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7" s="157" t="s">
        <v>84</v>
      </c>
      <c r="J457" t="s">
        <v>187</v>
      </c>
      <c r="K457" s="2" t="s">
        <v>157</v>
      </c>
      <c r="L457" s="2" t="s">
        <v>165</v>
      </c>
      <c r="M457" s="2" t="s">
        <v>409</v>
      </c>
      <c r="N457" s="2"/>
      <c r="O457" s="109"/>
      <c r="P457" s="109"/>
      <c r="Q457" s="109"/>
    </row>
    <row r="458" spans="2:17" x14ac:dyDescent="0.25">
      <c r="B458" s="114">
        <v>37</v>
      </c>
      <c r="C458" s="114">
        <v>93</v>
      </c>
      <c r="D458" s="114">
        <v>33</v>
      </c>
      <c r="E458" s="154" cm="1">
        <f t="array" ref="E458">IF(ISBLANK(MainData[[#This Row],[EventID]]),0,IFERROR(INDEX(MainData[],MATCH(MainData[[#This Row],[EventID]],IF(MainData[Product]="Date",MainData[EventID],0),0),12),0))</f>
        <v>44586</v>
      </c>
      <c r="F458" s="155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8" s="155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8" s="20" t="s">
        <v>85</v>
      </c>
      <c r="J458" t="s">
        <v>20</v>
      </c>
      <c r="K458" s="2" t="s">
        <v>116</v>
      </c>
      <c r="L458" s="2" t="s">
        <v>88</v>
      </c>
      <c r="M458" s="2" t="s">
        <v>189</v>
      </c>
      <c r="N458" s="2" t="s">
        <v>233</v>
      </c>
      <c r="O458" s="109">
        <v>1</v>
      </c>
      <c r="P458" s="109"/>
      <c r="Q458" s="109"/>
    </row>
    <row r="459" spans="2:17" x14ac:dyDescent="0.25">
      <c r="B459" s="114">
        <v>37</v>
      </c>
      <c r="C459" s="114">
        <v>93</v>
      </c>
      <c r="D459" s="114">
        <v>33</v>
      </c>
      <c r="E459" s="154" cm="1">
        <f t="array" ref="E459">IF(ISBLANK(MainData[[#This Row],[EventID]]),0,IFERROR(INDEX(MainData[],MATCH(MainData[[#This Row],[EventID]],IF(MainData[Product]="Date",MainData[EventID],0),0),12),0))</f>
        <v>44586</v>
      </c>
      <c r="F459" s="155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9" s="155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9" s="20" t="s">
        <v>85</v>
      </c>
      <c r="J459" t="s">
        <v>20</v>
      </c>
      <c r="K459" s="2" t="s">
        <v>116</v>
      </c>
      <c r="L459" s="2" t="s">
        <v>87</v>
      </c>
      <c r="M459" s="2" t="s">
        <v>188</v>
      </c>
      <c r="N459" s="2" t="s">
        <v>233</v>
      </c>
      <c r="O459" s="109">
        <v>1</v>
      </c>
      <c r="P459" s="109"/>
      <c r="Q459" s="109">
        <v>100</v>
      </c>
    </row>
    <row r="460" spans="2:17" x14ac:dyDescent="0.25">
      <c r="B460" s="114">
        <v>37</v>
      </c>
      <c r="C460" s="114">
        <v>93</v>
      </c>
      <c r="D460" s="114">
        <v>33</v>
      </c>
      <c r="E460" s="154" cm="1">
        <f t="array" ref="E460">IF(ISBLANK(MainData[[#This Row],[EventID]]),0,IFERROR(INDEX(MainData[],MATCH(MainData[[#This Row],[EventID]],IF(MainData[Product]="Date",MainData[EventID],0),0),12),0))</f>
        <v>44586</v>
      </c>
      <c r="F460" s="155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0" s="155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0" s="157" t="s">
        <v>85</v>
      </c>
      <c r="J460" t="s">
        <v>20</v>
      </c>
      <c r="K460" s="2" t="s">
        <v>29</v>
      </c>
      <c r="L460" s="2" t="s">
        <v>35</v>
      </c>
      <c r="M460" s="2" t="s">
        <v>382</v>
      </c>
      <c r="N460" s="2" t="s">
        <v>234</v>
      </c>
      <c r="O460" s="109">
        <v>1</v>
      </c>
      <c r="P460" s="109">
        <v>12</v>
      </c>
      <c r="Q460" s="109">
        <v>120</v>
      </c>
    </row>
    <row r="461" spans="2:17" x14ac:dyDescent="0.25">
      <c r="B461" s="114">
        <v>37</v>
      </c>
      <c r="C461" s="114">
        <v>93</v>
      </c>
      <c r="D461" s="114">
        <v>33</v>
      </c>
      <c r="E461" s="154" cm="1">
        <f t="array" ref="E461">IF(ISBLANK(MainData[[#This Row],[EventID]]),0,IFERROR(INDEX(MainData[],MATCH(MainData[[#This Row],[EventID]],IF(MainData[Product]="Date",MainData[EventID],0),0),12),0))</f>
        <v>44586</v>
      </c>
      <c r="F461" s="155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1" s="155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1" s="157" t="s">
        <v>85</v>
      </c>
      <c r="J461" t="s">
        <v>20</v>
      </c>
      <c r="K461" s="2" t="s">
        <v>29</v>
      </c>
      <c r="L461" s="2" t="s">
        <v>36</v>
      </c>
      <c r="M461" s="2" t="s">
        <v>384</v>
      </c>
      <c r="N461" s="2" t="s">
        <v>234</v>
      </c>
      <c r="O461" s="109">
        <v>1</v>
      </c>
      <c r="P461" s="109">
        <v>34.950000000000003</v>
      </c>
      <c r="Q461" s="109">
        <v>400</v>
      </c>
    </row>
    <row r="462" spans="2:17" x14ac:dyDescent="0.25">
      <c r="B462" s="114">
        <v>37</v>
      </c>
      <c r="C462" s="114">
        <v>93</v>
      </c>
      <c r="D462" s="114">
        <v>33</v>
      </c>
      <c r="E462" s="154" cm="1">
        <f t="array" ref="E462">IF(ISBLANK(MainData[[#This Row],[EventID]]),0,IFERROR(INDEX(MainData[],MATCH(MainData[[#This Row],[EventID]],IF(MainData[Product]="Date",MainData[EventID],0),0),12),0))</f>
        <v>44586</v>
      </c>
      <c r="F462" s="155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2" s="155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2" s="157" t="s">
        <v>85</v>
      </c>
      <c r="J462" t="s">
        <v>20</v>
      </c>
      <c r="K462" s="2" t="s">
        <v>29</v>
      </c>
      <c r="L462" s="2" t="s">
        <v>65</v>
      </c>
      <c r="M462" s="2" t="s">
        <v>383</v>
      </c>
      <c r="N462" s="2" t="s">
        <v>234</v>
      </c>
      <c r="O462" s="109">
        <v>1</v>
      </c>
      <c r="P462" s="109">
        <v>1.25</v>
      </c>
      <c r="Q462" s="109">
        <v>35</v>
      </c>
    </row>
    <row r="463" spans="2:17" x14ac:dyDescent="0.25">
      <c r="B463" s="114">
        <v>37</v>
      </c>
      <c r="C463" s="114">
        <v>93</v>
      </c>
      <c r="D463" s="114">
        <v>33</v>
      </c>
      <c r="E463" s="154" cm="1">
        <f t="array" ref="E463">IF(ISBLANK(MainData[[#This Row],[EventID]]),0,IFERROR(INDEX(MainData[],MATCH(MainData[[#This Row],[EventID]],IF(MainData[Product]="Date",MainData[EventID],0),0),12),0))</f>
        <v>44586</v>
      </c>
      <c r="F463" s="155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3" s="155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3" s="20" t="s">
        <v>85</v>
      </c>
      <c r="J463" t="s">
        <v>20</v>
      </c>
      <c r="K463" s="2" t="s">
        <v>29</v>
      </c>
      <c r="L463" s="2" t="s">
        <v>25</v>
      </c>
      <c r="M463" s="2" t="s">
        <v>385</v>
      </c>
      <c r="N463" s="2" t="s">
        <v>234</v>
      </c>
      <c r="O463" s="109">
        <v>1</v>
      </c>
      <c r="P463" s="109">
        <v>118.55</v>
      </c>
      <c r="Q463" s="109">
        <v>895</v>
      </c>
    </row>
    <row r="464" spans="2:17" x14ac:dyDescent="0.25">
      <c r="B464" s="114">
        <v>37</v>
      </c>
      <c r="C464" s="114">
        <v>94</v>
      </c>
      <c r="D464" s="114">
        <v>34</v>
      </c>
      <c r="E464" s="154" cm="1">
        <f t="array" ref="E464">IF(ISBLANK(MainData[[#This Row],[EventID]]),0,IFERROR(INDEX(MainData[],MATCH(MainData[[#This Row],[EventID]],IF(MainData[Product]="Date",MainData[EventID],0),0),12),0))</f>
        <v>44586</v>
      </c>
      <c r="F464" s="155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4" s="155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4" s="157" t="s">
        <v>84</v>
      </c>
      <c r="J464" t="s">
        <v>187</v>
      </c>
      <c r="K464" s="2" t="s">
        <v>157</v>
      </c>
      <c r="L464" s="2" t="s">
        <v>81</v>
      </c>
      <c r="M464" s="2">
        <v>1</v>
      </c>
      <c r="N464" s="2"/>
      <c r="O464" s="109"/>
      <c r="P464" s="109"/>
      <c r="Q464" s="109"/>
    </row>
    <row r="465" spans="2:17" x14ac:dyDescent="0.25">
      <c r="B465" s="114">
        <v>37</v>
      </c>
      <c r="C465" s="114">
        <v>94</v>
      </c>
      <c r="D465" s="114">
        <v>35</v>
      </c>
      <c r="E465" s="154" cm="1">
        <f t="array" ref="E465">IF(ISBLANK(MainData[[#This Row],[EventID]]),0,IFERROR(INDEX(MainData[],MATCH(MainData[[#This Row],[EventID]],IF(MainData[Product]="Date",MainData[EventID],0),0),12),0))</f>
        <v>44586</v>
      </c>
      <c r="F465" s="155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5" s="155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5" s="157" t="s">
        <v>84</v>
      </c>
      <c r="J465" t="s">
        <v>187</v>
      </c>
      <c r="K465" s="2" t="s">
        <v>157</v>
      </c>
      <c r="L465" s="2" t="s">
        <v>81</v>
      </c>
      <c r="M465" s="2">
        <v>2</v>
      </c>
      <c r="N465" s="2"/>
      <c r="O465" s="109"/>
      <c r="P465" s="109"/>
      <c r="Q465" s="109"/>
    </row>
    <row r="466" spans="2:17" x14ac:dyDescent="0.25">
      <c r="B466" s="114">
        <v>37</v>
      </c>
      <c r="C466" s="114">
        <v>94</v>
      </c>
      <c r="D466" s="114">
        <v>34</v>
      </c>
      <c r="E466" s="154" cm="1">
        <f t="array" ref="E466">IF(ISBLANK(MainData[[#This Row],[EventID]]),0,IFERROR(INDEX(MainData[],MATCH(MainData[[#This Row],[EventID]],IF(MainData[Product]="Date",MainData[EventID],0),0),12),0))</f>
        <v>44586</v>
      </c>
      <c r="F466" s="155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6" s="155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6" s="157" t="s">
        <v>84</v>
      </c>
      <c r="J466" t="s">
        <v>187</v>
      </c>
      <c r="K466" s="2" t="s">
        <v>157</v>
      </c>
      <c r="L466" s="2" t="s">
        <v>0</v>
      </c>
      <c r="M466" s="158">
        <v>44586</v>
      </c>
      <c r="N466" s="2"/>
      <c r="O466" s="109"/>
      <c r="P466" s="109"/>
      <c r="Q466" s="109"/>
    </row>
    <row r="467" spans="2:17" x14ac:dyDescent="0.25">
      <c r="B467" s="114">
        <v>37</v>
      </c>
      <c r="C467" s="114">
        <v>94</v>
      </c>
      <c r="D467" s="114">
        <v>34</v>
      </c>
      <c r="E467" s="154" cm="1">
        <f t="array" ref="E467">IF(ISBLANK(MainData[[#This Row],[EventID]]),0,IFERROR(INDEX(MainData[],MATCH(MainData[[#This Row],[EventID]],IF(MainData[Product]="Date",MainData[EventID],0),0),12),0))</f>
        <v>44586</v>
      </c>
      <c r="F467" s="155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7" s="155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7" s="157" t="s">
        <v>84</v>
      </c>
      <c r="J467" t="s">
        <v>187</v>
      </c>
      <c r="K467" s="2" t="s">
        <v>157</v>
      </c>
      <c r="L467" s="2" t="s">
        <v>82</v>
      </c>
      <c r="M467" s="2">
        <v>588105</v>
      </c>
      <c r="N467" s="2"/>
      <c r="O467" s="109"/>
      <c r="P467" s="109"/>
      <c r="Q467" s="109"/>
    </row>
    <row r="468" spans="2:17" x14ac:dyDescent="0.25">
      <c r="B468" s="114">
        <v>37</v>
      </c>
      <c r="C468" s="114">
        <v>94</v>
      </c>
      <c r="D468" s="114">
        <v>34</v>
      </c>
      <c r="E468" s="154" cm="1">
        <f t="array" ref="E468">IF(ISBLANK(MainData[[#This Row],[EventID]]),0,IFERROR(INDEX(MainData[],MATCH(MainData[[#This Row],[EventID]],IF(MainData[Product]="Date",MainData[EventID],0),0),12),0))</f>
        <v>44586</v>
      </c>
      <c r="F468" s="155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8" s="155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8" s="157" t="s">
        <v>84</v>
      </c>
      <c r="J468" t="s">
        <v>187</v>
      </c>
      <c r="K468" s="2" t="s">
        <v>157</v>
      </c>
      <c r="L468" s="2" t="s">
        <v>175</v>
      </c>
      <c r="M468" s="2" t="s">
        <v>457</v>
      </c>
      <c r="N468" s="2"/>
      <c r="O468" s="109"/>
      <c r="P468" s="109"/>
      <c r="Q468" s="109"/>
    </row>
    <row r="469" spans="2:17" x14ac:dyDescent="0.25">
      <c r="B469" s="114">
        <v>37</v>
      </c>
      <c r="C469" s="114">
        <v>94</v>
      </c>
      <c r="D469" s="114">
        <v>34</v>
      </c>
      <c r="E469" s="154" cm="1">
        <f t="array" ref="E469">IF(ISBLANK(MainData[[#This Row],[EventID]]),0,IFERROR(INDEX(MainData[],MATCH(MainData[[#This Row],[EventID]],IF(MainData[Product]="Date",MainData[EventID],0),0),12),0))</f>
        <v>44586</v>
      </c>
      <c r="F469" s="155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9" s="155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9" s="157" t="s">
        <v>84</v>
      </c>
      <c r="J469" t="s">
        <v>187</v>
      </c>
      <c r="K469" s="2" t="s">
        <v>157</v>
      </c>
      <c r="L469" s="2" t="s">
        <v>138</v>
      </c>
      <c r="M469" s="2">
        <v>145</v>
      </c>
      <c r="N469" s="2"/>
      <c r="O469" s="109"/>
      <c r="P469" s="109"/>
      <c r="Q469" s="109"/>
    </row>
    <row r="470" spans="2:17" x14ac:dyDescent="0.25">
      <c r="B470" s="114">
        <v>37</v>
      </c>
      <c r="C470" s="114">
        <v>94</v>
      </c>
      <c r="D470" s="114">
        <v>34</v>
      </c>
      <c r="E470" s="154" cm="1">
        <f t="array" ref="E470">IF(ISBLANK(MainData[[#This Row],[EventID]]),0,IFERROR(INDEX(MainData[],MATCH(MainData[[#This Row],[EventID]],IF(MainData[Product]="Date",MainData[EventID],0),0),12),0))</f>
        <v>44586</v>
      </c>
      <c r="F470" s="155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0" s="155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0" s="157" t="s">
        <v>84</v>
      </c>
      <c r="J470" t="s">
        <v>187</v>
      </c>
      <c r="K470" s="2" t="s">
        <v>157</v>
      </c>
      <c r="L470" s="2" t="s">
        <v>86</v>
      </c>
      <c r="M470" s="2">
        <v>2.5</v>
      </c>
      <c r="N470" s="2"/>
      <c r="O470" s="109"/>
      <c r="P470" s="109"/>
      <c r="Q470" s="109"/>
    </row>
    <row r="471" spans="2:17" x14ac:dyDescent="0.25">
      <c r="B471" s="114">
        <v>37</v>
      </c>
      <c r="C471" s="114">
        <v>94</v>
      </c>
      <c r="D471" s="114">
        <v>34</v>
      </c>
      <c r="E471" s="154" cm="1">
        <f t="array" ref="E471">IF(ISBLANK(MainData[[#This Row],[EventID]]),0,IFERROR(INDEX(MainData[],MATCH(MainData[[#This Row],[EventID]],IF(MainData[Product]="Date",MainData[EventID],0),0),12),0))</f>
        <v>44586</v>
      </c>
      <c r="F471" s="155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1" s="155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1" s="157" t="s">
        <v>84</v>
      </c>
      <c r="J471" t="s">
        <v>187</v>
      </c>
      <c r="K471" s="2" t="s">
        <v>157</v>
      </c>
      <c r="L471" s="2" t="s">
        <v>118</v>
      </c>
      <c r="M471" s="2" t="s">
        <v>465</v>
      </c>
      <c r="N471" s="2"/>
      <c r="O471" s="109"/>
      <c r="P471" s="109"/>
      <c r="Q471" s="109"/>
    </row>
    <row r="472" spans="2:17" x14ac:dyDescent="0.25">
      <c r="B472" s="114">
        <v>37</v>
      </c>
      <c r="C472" s="114">
        <v>94</v>
      </c>
      <c r="D472" s="114">
        <v>35</v>
      </c>
      <c r="E472" s="154" cm="1">
        <f t="array" ref="E472">IF(ISBLANK(MainData[[#This Row],[EventID]]),0,IFERROR(INDEX(MainData[],MATCH(MainData[[#This Row],[EventID]],IF(MainData[Product]="Date",MainData[EventID],0),0),12),0))</f>
        <v>44586</v>
      </c>
      <c r="F472" s="155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2" s="155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2" s="20" t="s">
        <v>85</v>
      </c>
      <c r="J472" t="s">
        <v>22</v>
      </c>
      <c r="K472" s="2" t="s">
        <v>29</v>
      </c>
      <c r="L472" s="2" t="s">
        <v>36</v>
      </c>
      <c r="M472" s="2" t="s">
        <v>387</v>
      </c>
      <c r="N472" s="2" t="s">
        <v>234</v>
      </c>
      <c r="O472" s="109">
        <v>2</v>
      </c>
      <c r="P472" s="109">
        <v>45</v>
      </c>
      <c r="Q472" s="109">
        <v>665.75</v>
      </c>
    </row>
    <row r="473" spans="2:17" x14ac:dyDescent="0.25">
      <c r="B473" s="114">
        <v>37</v>
      </c>
      <c r="C473" s="114">
        <v>94</v>
      </c>
      <c r="D473" s="114">
        <v>34</v>
      </c>
      <c r="E473" s="154" cm="1">
        <f t="array" ref="E473">IF(ISBLANK(MainData[[#This Row],[EventID]]),0,IFERROR(INDEX(MainData[],MATCH(MainData[[#This Row],[EventID]],IF(MainData[Product]="Date",MainData[EventID],0),0),12),0))</f>
        <v>44586</v>
      </c>
      <c r="F473" s="155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3" s="155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3" s="20" t="s">
        <v>85</v>
      </c>
      <c r="J473" t="s">
        <v>20</v>
      </c>
      <c r="K473" s="2" t="s">
        <v>116</v>
      </c>
      <c r="L473" s="2" t="s">
        <v>88</v>
      </c>
      <c r="M473" s="2" t="s">
        <v>189</v>
      </c>
      <c r="N473" s="2" t="s">
        <v>233</v>
      </c>
      <c r="O473" s="109">
        <v>1</v>
      </c>
      <c r="P473" s="109"/>
      <c r="Q473" s="109"/>
    </row>
    <row r="474" spans="2:17" x14ac:dyDescent="0.25">
      <c r="B474" s="114">
        <v>37</v>
      </c>
      <c r="C474" s="114">
        <v>94</v>
      </c>
      <c r="D474" s="114">
        <v>34</v>
      </c>
      <c r="E474" s="154" cm="1">
        <f t="array" ref="E474">IF(ISBLANK(MainData[[#This Row],[EventID]]),0,IFERROR(INDEX(MainData[],MATCH(MainData[[#This Row],[EventID]],IF(MainData[Product]="Date",MainData[EventID],0),0),12),0))</f>
        <v>44586</v>
      </c>
      <c r="F474" s="155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4" s="155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4" s="20" t="s">
        <v>85</v>
      </c>
      <c r="J474" t="s">
        <v>20</v>
      </c>
      <c r="K474" s="2" t="s">
        <v>116</v>
      </c>
      <c r="L474" s="2" t="s">
        <v>87</v>
      </c>
      <c r="M474" s="2" t="s">
        <v>188</v>
      </c>
      <c r="N474" s="2" t="s">
        <v>233</v>
      </c>
      <c r="O474" s="109">
        <v>2</v>
      </c>
      <c r="P474" s="109"/>
      <c r="Q474" s="109">
        <v>200</v>
      </c>
    </row>
    <row r="475" spans="2:17" x14ac:dyDescent="0.25">
      <c r="B475" s="114">
        <v>37</v>
      </c>
      <c r="C475" s="114">
        <v>94</v>
      </c>
      <c r="D475" s="114">
        <v>34</v>
      </c>
      <c r="E475" s="154" cm="1">
        <f t="array" ref="E475">IF(ISBLANK(MainData[[#This Row],[EventID]]),0,IFERROR(INDEX(MainData[],MATCH(MainData[[#This Row],[EventID]],IF(MainData[Product]="Date",MainData[EventID],0),0),12),0))</f>
        <v>44586</v>
      </c>
      <c r="F475" s="155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5" s="155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5" s="157" t="s">
        <v>85</v>
      </c>
      <c r="J475" t="s">
        <v>20</v>
      </c>
      <c r="K475" s="2" t="s">
        <v>29</v>
      </c>
      <c r="L475" s="2" t="s">
        <v>35</v>
      </c>
      <c r="M475" s="2" t="s">
        <v>382</v>
      </c>
      <c r="N475" s="2" t="s">
        <v>234</v>
      </c>
      <c r="O475" s="109">
        <v>2</v>
      </c>
      <c r="P475" s="109">
        <v>63</v>
      </c>
      <c r="Q475" s="109">
        <v>635</v>
      </c>
    </row>
    <row r="476" spans="2:17" x14ac:dyDescent="0.25">
      <c r="B476" s="114">
        <v>37</v>
      </c>
      <c r="C476" s="114">
        <v>94</v>
      </c>
      <c r="D476" s="114">
        <v>34</v>
      </c>
      <c r="E476" s="154" cm="1">
        <f t="array" ref="E476">IF(ISBLANK(MainData[[#This Row],[EventID]]),0,IFERROR(INDEX(MainData[],MATCH(MainData[[#This Row],[EventID]],IF(MainData[Product]="Date",MainData[EventID],0),0),12),0))</f>
        <v>44586</v>
      </c>
      <c r="F476" s="155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6" s="155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6" s="157" t="s">
        <v>85</v>
      </c>
      <c r="J476" t="s">
        <v>20</v>
      </c>
      <c r="K476" s="2" t="s">
        <v>29</v>
      </c>
      <c r="L476" s="2" t="s">
        <v>65</v>
      </c>
      <c r="M476" s="2" t="s">
        <v>383</v>
      </c>
      <c r="N476" s="2" t="s">
        <v>234</v>
      </c>
      <c r="O476" s="109">
        <v>2</v>
      </c>
      <c r="P476" s="109">
        <v>6</v>
      </c>
      <c r="Q476" s="109">
        <v>545</v>
      </c>
    </row>
    <row r="477" spans="2:17" x14ac:dyDescent="0.25">
      <c r="B477" s="114">
        <v>37</v>
      </c>
      <c r="C477" s="114">
        <v>94</v>
      </c>
      <c r="D477" s="114">
        <v>34</v>
      </c>
      <c r="E477" s="154" cm="1">
        <f t="array" ref="E477">IF(ISBLANK(MainData[[#This Row],[EventID]]),0,IFERROR(INDEX(MainData[],MATCH(MainData[[#This Row],[EventID]],IF(MainData[Product]="Date",MainData[EventID],0),0),12),0))</f>
        <v>44586</v>
      </c>
      <c r="F477" s="155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7" s="155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7" s="20" t="s">
        <v>85</v>
      </c>
      <c r="J477" t="s">
        <v>20</v>
      </c>
      <c r="K477" s="2" t="s">
        <v>29</v>
      </c>
      <c r="L477" s="2" t="s">
        <v>25</v>
      </c>
      <c r="M477" s="2" t="s">
        <v>388</v>
      </c>
      <c r="N477" s="2" t="s">
        <v>234</v>
      </c>
      <c r="O477" s="109">
        <v>2</v>
      </c>
      <c r="P477" s="109">
        <v>43.35</v>
      </c>
      <c r="Q477" s="109">
        <v>1020</v>
      </c>
    </row>
    <row r="478" spans="2:17" x14ac:dyDescent="0.25">
      <c r="B478" s="114">
        <v>15</v>
      </c>
      <c r="C478" s="114">
        <v>42</v>
      </c>
      <c r="D478" s="114">
        <v>31</v>
      </c>
      <c r="E478" s="154" cm="1">
        <f t="array" ref="E478">IF(ISBLANK(MainData[[#This Row],[EventID]]),0,IFERROR(INDEX(MainData[],MATCH(MainData[[#This Row],[EventID]],IF(MainData[Product]="Date",MainData[EventID],0),0),12),0))</f>
        <v>44586</v>
      </c>
      <c r="F478" s="155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8" s="155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8" s="157" t="s">
        <v>84</v>
      </c>
      <c r="J478" t="s">
        <v>187</v>
      </c>
      <c r="K478" s="2" t="s">
        <v>157</v>
      </c>
      <c r="L478" s="2" t="s">
        <v>81</v>
      </c>
      <c r="M478" s="2">
        <v>1</v>
      </c>
      <c r="N478" s="2"/>
      <c r="O478" s="109"/>
      <c r="P478" s="109"/>
      <c r="Q478" s="109"/>
    </row>
    <row r="479" spans="2:17" x14ac:dyDescent="0.25">
      <c r="B479" s="114">
        <v>15</v>
      </c>
      <c r="C479" s="114">
        <v>42</v>
      </c>
      <c r="D479" s="114">
        <v>32</v>
      </c>
      <c r="E479" s="154" cm="1">
        <f t="array" ref="E479">IF(ISBLANK(MainData[[#This Row],[EventID]]),0,IFERROR(INDEX(MainData[],MATCH(MainData[[#This Row],[EventID]],IF(MainData[Product]="Date",MainData[EventID],0),0),12),0))</f>
        <v>44586</v>
      </c>
      <c r="F479" s="155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9" s="155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9" s="157" t="s">
        <v>84</v>
      </c>
      <c r="J479" t="s">
        <v>187</v>
      </c>
      <c r="K479" s="2" t="s">
        <v>157</v>
      </c>
      <c r="L479" s="2" t="s">
        <v>81</v>
      </c>
      <c r="M479" s="2">
        <v>2</v>
      </c>
      <c r="N479" s="2"/>
      <c r="O479" s="109"/>
      <c r="P479" s="109"/>
      <c r="Q479" s="109"/>
    </row>
    <row r="480" spans="2:17" x14ac:dyDescent="0.25">
      <c r="B480" s="114">
        <v>15</v>
      </c>
      <c r="C480" s="114">
        <v>42</v>
      </c>
      <c r="D480" s="114">
        <v>31</v>
      </c>
      <c r="E480" s="154" cm="1">
        <f t="array" ref="E480">IF(ISBLANK(MainData[[#This Row],[EventID]]),0,IFERROR(INDEX(MainData[],MATCH(MainData[[#This Row],[EventID]],IF(MainData[Product]="Date",MainData[EventID],0),0),12),0))</f>
        <v>44586</v>
      </c>
      <c r="F480" s="155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0" s="155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0" s="157" t="s">
        <v>84</v>
      </c>
      <c r="J480" t="s">
        <v>187</v>
      </c>
      <c r="K480" s="2" t="s">
        <v>157</v>
      </c>
      <c r="L480" s="2" t="s">
        <v>164</v>
      </c>
      <c r="M480" s="2" t="s">
        <v>421</v>
      </c>
      <c r="N480" s="2"/>
      <c r="O480" s="109"/>
      <c r="P480" s="109"/>
      <c r="Q480" s="109"/>
    </row>
    <row r="481" spans="2:17" x14ac:dyDescent="0.25">
      <c r="B481" s="114">
        <v>15</v>
      </c>
      <c r="C481" s="114">
        <v>42</v>
      </c>
      <c r="D481" s="114">
        <v>31</v>
      </c>
      <c r="E481" s="154" cm="1">
        <f t="array" ref="E481">IF(ISBLANK(MainData[[#This Row],[EventID]]),0,IFERROR(INDEX(MainData[],MATCH(MainData[[#This Row],[EventID]],IF(MainData[Product]="Date",MainData[EventID],0),0),12),0))</f>
        <v>44586</v>
      </c>
      <c r="F481" s="155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1" s="155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1" s="157" t="s">
        <v>84</v>
      </c>
      <c r="J481" t="s">
        <v>187</v>
      </c>
      <c r="K481" s="2" t="s">
        <v>157</v>
      </c>
      <c r="L481" s="2" t="s">
        <v>0</v>
      </c>
      <c r="M481" s="158">
        <v>44586</v>
      </c>
      <c r="N481" s="2"/>
      <c r="O481" s="109"/>
      <c r="P481" s="109"/>
      <c r="Q481" s="109"/>
    </row>
    <row r="482" spans="2:17" x14ac:dyDescent="0.25">
      <c r="B482" s="114">
        <v>15</v>
      </c>
      <c r="C482" s="114">
        <v>42</v>
      </c>
      <c r="D482" s="114">
        <v>31</v>
      </c>
      <c r="E482" s="154" cm="1">
        <f t="array" ref="E482">IF(ISBLANK(MainData[[#This Row],[EventID]]),0,IFERROR(INDEX(MainData[],MATCH(MainData[[#This Row],[EventID]],IF(MainData[Product]="Date",MainData[EventID],0),0),12),0))</f>
        <v>44586</v>
      </c>
      <c r="F482" s="155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2" s="155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2" s="157" t="s">
        <v>84</v>
      </c>
      <c r="J482" t="s">
        <v>187</v>
      </c>
      <c r="K482" s="2" t="s">
        <v>157</v>
      </c>
      <c r="L482" s="2" t="s">
        <v>82</v>
      </c>
      <c r="M482" s="2">
        <v>793632</v>
      </c>
      <c r="N482" s="2"/>
      <c r="O482" s="109"/>
      <c r="P482" s="109"/>
      <c r="Q482" s="109"/>
    </row>
    <row r="483" spans="2:17" x14ac:dyDescent="0.25">
      <c r="B483" s="114">
        <v>15</v>
      </c>
      <c r="C483" s="114">
        <v>42</v>
      </c>
      <c r="D483" s="114">
        <v>31</v>
      </c>
      <c r="E483" s="154" cm="1">
        <f t="array" ref="E483">IF(ISBLANK(MainData[[#This Row],[EventID]]),0,IFERROR(INDEX(MainData[],MATCH(MainData[[#This Row],[EventID]],IF(MainData[Product]="Date",MainData[EventID],0),0),12),0))</f>
        <v>44586</v>
      </c>
      <c r="F483" s="155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3" s="155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3" s="157" t="s">
        <v>84</v>
      </c>
      <c r="J483" t="s">
        <v>187</v>
      </c>
      <c r="K483" s="2" t="s">
        <v>157</v>
      </c>
      <c r="L483" s="2" t="s">
        <v>175</v>
      </c>
      <c r="M483" s="2" t="s">
        <v>457</v>
      </c>
      <c r="N483" s="2"/>
      <c r="O483" s="109"/>
      <c r="P483" s="109"/>
      <c r="Q483" s="109"/>
    </row>
    <row r="484" spans="2:17" x14ac:dyDescent="0.25">
      <c r="B484" s="114">
        <v>15</v>
      </c>
      <c r="C484" s="114">
        <v>42</v>
      </c>
      <c r="D484" s="114">
        <v>31</v>
      </c>
      <c r="E484" s="154" cm="1">
        <f t="array" ref="E484">IF(ISBLANK(MainData[[#This Row],[EventID]]),0,IFERROR(INDEX(MainData[],MATCH(MainData[[#This Row],[EventID]],IF(MainData[Product]="Date",MainData[EventID],0),0),12),0))</f>
        <v>44586</v>
      </c>
      <c r="F484" s="155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4" s="155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4" s="157" t="s">
        <v>84</v>
      </c>
      <c r="J484" t="s">
        <v>187</v>
      </c>
      <c r="K484" s="2" t="s">
        <v>157</v>
      </c>
      <c r="L484" s="2" t="s">
        <v>20</v>
      </c>
      <c r="M484" s="2" t="s">
        <v>348</v>
      </c>
      <c r="N484" s="2"/>
      <c r="O484" s="109"/>
      <c r="P484" s="109"/>
      <c r="Q484" s="109"/>
    </row>
    <row r="485" spans="2:17" x14ac:dyDescent="0.25">
      <c r="B485" s="114">
        <v>15</v>
      </c>
      <c r="C485" s="114">
        <v>42</v>
      </c>
      <c r="D485" s="114">
        <v>31</v>
      </c>
      <c r="E485" s="154" cm="1">
        <f t="array" ref="E485">IF(ISBLANK(MainData[[#This Row],[EventID]]),0,IFERROR(INDEX(MainData[],MATCH(MainData[[#This Row],[EventID]],IF(MainData[Product]="Date",MainData[EventID],0),0),12),0))</f>
        <v>44586</v>
      </c>
      <c r="F485" s="155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5" s="155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5" s="157" t="s">
        <v>84</v>
      </c>
      <c r="J485" t="s">
        <v>187</v>
      </c>
      <c r="K485" s="2" t="s">
        <v>157</v>
      </c>
      <c r="L485" s="2" t="s">
        <v>138</v>
      </c>
      <c r="M485" s="2">
        <v>245</v>
      </c>
      <c r="N485" s="2"/>
      <c r="O485" s="109"/>
      <c r="P485" s="109"/>
      <c r="Q485" s="109"/>
    </row>
    <row r="486" spans="2:17" x14ac:dyDescent="0.25">
      <c r="B486" s="114">
        <v>15</v>
      </c>
      <c r="C486" s="114">
        <v>42</v>
      </c>
      <c r="D486" s="114">
        <v>31</v>
      </c>
      <c r="E486" s="154" cm="1">
        <f t="array" ref="E486">IF(ISBLANK(MainData[[#This Row],[EventID]]),0,IFERROR(INDEX(MainData[],MATCH(MainData[[#This Row],[EventID]],IF(MainData[Product]="Date",MainData[EventID],0),0),12),0))</f>
        <v>44586</v>
      </c>
      <c r="F486" s="155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6" s="155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6" s="157" t="s">
        <v>84</v>
      </c>
      <c r="J486" t="s">
        <v>187</v>
      </c>
      <c r="K486" s="2" t="s">
        <v>157</v>
      </c>
      <c r="L486" s="2" t="s">
        <v>86</v>
      </c>
      <c r="M486" s="2">
        <v>2.5</v>
      </c>
      <c r="N486" s="2"/>
      <c r="O486" s="109"/>
      <c r="P486" s="109"/>
      <c r="Q486" s="109"/>
    </row>
    <row r="487" spans="2:17" x14ac:dyDescent="0.25">
      <c r="B487" s="114">
        <v>15</v>
      </c>
      <c r="C487" s="114">
        <v>42</v>
      </c>
      <c r="D487" s="114">
        <v>31</v>
      </c>
      <c r="E487" s="154" cm="1">
        <f t="array" ref="E487">IF(ISBLANK(MainData[[#This Row],[EventID]]),0,IFERROR(INDEX(MainData[],MATCH(MainData[[#This Row],[EventID]],IF(MainData[Product]="Date",MainData[EventID],0),0),12),0))</f>
        <v>44586</v>
      </c>
      <c r="F487" s="155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7" s="155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7" s="157" t="s">
        <v>84</v>
      </c>
      <c r="J487" t="s">
        <v>187</v>
      </c>
      <c r="K487" s="2" t="s">
        <v>157</v>
      </c>
      <c r="L487" s="2" t="s">
        <v>118</v>
      </c>
      <c r="M487" s="2" t="s">
        <v>471</v>
      </c>
      <c r="N487" s="2"/>
      <c r="O487" s="109"/>
      <c r="P487" s="109"/>
      <c r="Q487" s="109"/>
    </row>
    <row r="488" spans="2:17" x14ac:dyDescent="0.25">
      <c r="B488" s="114">
        <v>15</v>
      </c>
      <c r="C488" s="114">
        <v>42</v>
      </c>
      <c r="D488" s="114">
        <v>31</v>
      </c>
      <c r="E488" s="154" cm="1">
        <f t="array" ref="E488">IF(ISBLANK(MainData[[#This Row],[EventID]]),0,IFERROR(INDEX(MainData[],MATCH(MainData[[#This Row],[EventID]],IF(MainData[Product]="Date",MainData[EventID],0),0),12),0))</f>
        <v>44586</v>
      </c>
      <c r="F488" s="155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8" s="155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8" s="157" t="s">
        <v>84</v>
      </c>
      <c r="J488" t="s">
        <v>187</v>
      </c>
      <c r="K488" s="2" t="s">
        <v>157</v>
      </c>
      <c r="L488" s="2" t="s">
        <v>165</v>
      </c>
      <c r="M488" s="2" t="s">
        <v>412</v>
      </c>
      <c r="N488" s="2"/>
      <c r="O488" s="109"/>
      <c r="P488" s="109"/>
      <c r="Q488" s="109"/>
    </row>
    <row r="489" spans="2:17" x14ac:dyDescent="0.25">
      <c r="B489" s="114">
        <v>15</v>
      </c>
      <c r="C489" s="114">
        <v>42</v>
      </c>
      <c r="D489" s="114">
        <v>32</v>
      </c>
      <c r="E489" s="154" cm="1">
        <f t="array" ref="E489">IF(ISBLANK(MainData[[#This Row],[EventID]]),0,IFERROR(INDEX(MainData[],MATCH(MainData[[#This Row],[EventID]],IF(MainData[Product]="Date",MainData[EventID],0),0),12),0))</f>
        <v>44586</v>
      </c>
      <c r="F489" s="155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9" s="155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9" s="20" t="s">
        <v>85</v>
      </c>
      <c r="J489" t="s">
        <v>22</v>
      </c>
      <c r="K489" s="2" t="s">
        <v>29</v>
      </c>
      <c r="L489" s="2" t="s">
        <v>36</v>
      </c>
      <c r="M489" s="2" t="s">
        <v>387</v>
      </c>
      <c r="N489" s="2" t="s">
        <v>234</v>
      </c>
      <c r="O489" s="109">
        <v>3</v>
      </c>
      <c r="P489" s="109">
        <v>20.39</v>
      </c>
      <c r="Q489" s="109">
        <v>254.92</v>
      </c>
    </row>
    <row r="490" spans="2:17" x14ac:dyDescent="0.25">
      <c r="B490" s="114">
        <v>15</v>
      </c>
      <c r="C490" s="114">
        <v>42</v>
      </c>
      <c r="D490" s="114">
        <v>31</v>
      </c>
      <c r="E490" s="154" cm="1">
        <f t="array" ref="E490">IF(ISBLANK(MainData[[#This Row],[EventID]]),0,IFERROR(INDEX(MainData[],MATCH(MainData[[#This Row],[EventID]],IF(MainData[Product]="Date",MainData[EventID],0),0),12),0))</f>
        <v>44586</v>
      </c>
      <c r="F490" s="155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0" s="155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0" s="20" t="s">
        <v>85</v>
      </c>
      <c r="J490" t="s">
        <v>20</v>
      </c>
      <c r="K490" s="2" t="s">
        <v>116</v>
      </c>
      <c r="L490" s="2" t="s">
        <v>88</v>
      </c>
      <c r="M490" s="2" t="s">
        <v>189</v>
      </c>
      <c r="N490" s="2" t="s">
        <v>233</v>
      </c>
      <c r="O490" s="109">
        <v>2</v>
      </c>
      <c r="P490" s="109"/>
      <c r="Q490" s="109"/>
    </row>
    <row r="491" spans="2:17" x14ac:dyDescent="0.25">
      <c r="B491" s="114">
        <v>15</v>
      </c>
      <c r="C491" s="114">
        <v>42</v>
      </c>
      <c r="D491" s="114">
        <v>31</v>
      </c>
      <c r="E491" s="154" cm="1">
        <f t="array" ref="E491">IF(ISBLANK(MainData[[#This Row],[EventID]]),0,IFERROR(INDEX(MainData[],MATCH(MainData[[#This Row],[EventID]],IF(MainData[Product]="Date",MainData[EventID],0),0),12),0))</f>
        <v>44586</v>
      </c>
      <c r="F491" s="155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1" s="155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1" s="20" t="s">
        <v>85</v>
      </c>
      <c r="J491" t="s">
        <v>20</v>
      </c>
      <c r="K491" s="2" t="s">
        <v>116</v>
      </c>
      <c r="L491" s="2" t="s">
        <v>87</v>
      </c>
      <c r="M491" s="2" t="s">
        <v>188</v>
      </c>
      <c r="N491" s="2" t="s">
        <v>233</v>
      </c>
      <c r="O491" s="109">
        <v>3</v>
      </c>
      <c r="P491" s="109"/>
      <c r="Q491" s="109">
        <v>300</v>
      </c>
    </row>
    <row r="492" spans="2:17" x14ac:dyDescent="0.25">
      <c r="B492" s="114">
        <v>15</v>
      </c>
      <c r="C492" s="114">
        <v>42</v>
      </c>
      <c r="D492" s="114">
        <v>31</v>
      </c>
      <c r="E492" s="154" cm="1">
        <f t="array" ref="E492">IF(ISBLANK(MainData[[#This Row],[EventID]]),0,IFERROR(INDEX(MainData[],MATCH(MainData[[#This Row],[EventID]],IF(MainData[Product]="Date",MainData[EventID],0),0),12),0))</f>
        <v>44586</v>
      </c>
      <c r="F492" s="155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2" s="155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2" s="157" t="s">
        <v>85</v>
      </c>
      <c r="J492" t="s">
        <v>20</v>
      </c>
      <c r="K492" s="2" t="s">
        <v>29</v>
      </c>
      <c r="L492" s="2" t="s">
        <v>35</v>
      </c>
      <c r="M492" s="2" t="s">
        <v>382</v>
      </c>
      <c r="N492" s="2" t="s">
        <v>234</v>
      </c>
      <c r="O492" s="109">
        <v>3</v>
      </c>
      <c r="P492" s="109">
        <v>200</v>
      </c>
      <c r="Q492" s="109">
        <v>2400</v>
      </c>
    </row>
    <row r="493" spans="2:17" x14ac:dyDescent="0.25">
      <c r="B493" s="114">
        <v>15</v>
      </c>
      <c r="C493" s="114">
        <v>42</v>
      </c>
      <c r="D493" s="114">
        <v>31</v>
      </c>
      <c r="E493" s="154" cm="1">
        <f t="array" ref="E493">IF(ISBLANK(MainData[[#This Row],[EventID]]),0,IFERROR(INDEX(MainData[],MATCH(MainData[[#This Row],[EventID]],IF(MainData[Product]="Date",MainData[EventID],0),0),12),0))</f>
        <v>44586</v>
      </c>
      <c r="F493" s="155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3" s="155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3" s="157" t="s">
        <v>85</v>
      </c>
      <c r="J493" t="s">
        <v>20</v>
      </c>
      <c r="K493" s="2" t="s">
        <v>29</v>
      </c>
      <c r="L493" s="2" t="s">
        <v>65</v>
      </c>
      <c r="M493" s="2" t="s">
        <v>383</v>
      </c>
      <c r="N493" s="2" t="s">
        <v>234</v>
      </c>
      <c r="O493" s="109">
        <v>3</v>
      </c>
      <c r="P493" s="109">
        <v>10</v>
      </c>
      <c r="Q493" s="109">
        <v>450</v>
      </c>
    </row>
    <row r="494" spans="2:17" x14ac:dyDescent="0.25">
      <c r="B494" s="114">
        <v>15</v>
      </c>
      <c r="C494" s="114">
        <v>42</v>
      </c>
      <c r="D494" s="114">
        <v>31</v>
      </c>
      <c r="E494" s="154" cm="1">
        <f t="array" ref="E494">IF(ISBLANK(MainData[[#This Row],[EventID]]),0,IFERROR(INDEX(MainData[],MATCH(MainData[[#This Row],[EventID]],IF(MainData[Product]="Date",MainData[EventID],0),0),12),0))</f>
        <v>44586</v>
      </c>
      <c r="F494" s="155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4" s="155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4" s="20" t="s">
        <v>85</v>
      </c>
      <c r="J494" t="s">
        <v>20</v>
      </c>
      <c r="K494" s="2" t="s">
        <v>29</v>
      </c>
      <c r="L494" s="2" t="s">
        <v>25</v>
      </c>
      <c r="M494" s="2" t="s">
        <v>388</v>
      </c>
      <c r="N494" s="2" t="s">
        <v>234</v>
      </c>
      <c r="O494" s="109">
        <v>3</v>
      </c>
      <c r="P494" s="109">
        <v>82.46</v>
      </c>
      <c r="Q494" s="109">
        <v>1220</v>
      </c>
    </row>
    <row r="495" spans="2:17" x14ac:dyDescent="0.25">
      <c r="B495" s="114">
        <v>11</v>
      </c>
      <c r="C495" s="114">
        <v>23</v>
      </c>
      <c r="D495" s="114">
        <v>36</v>
      </c>
      <c r="E495" s="154" cm="1">
        <f t="array" ref="E495">IF(ISBLANK(MainData[[#This Row],[EventID]]),0,IFERROR(INDEX(MainData[],MATCH(MainData[[#This Row],[EventID]],IF(MainData[Product]="Date",MainData[EventID],0),0),12),0))</f>
        <v>44587</v>
      </c>
      <c r="F495" s="155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5" s="155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5" s="157" t="s">
        <v>84</v>
      </c>
      <c r="J495" t="s">
        <v>187</v>
      </c>
      <c r="K495" s="2" t="s">
        <v>157</v>
      </c>
      <c r="L495" s="2" t="s">
        <v>81</v>
      </c>
      <c r="M495" s="2">
        <v>1</v>
      </c>
      <c r="N495" s="2"/>
      <c r="O495" s="109"/>
      <c r="P495" s="109"/>
      <c r="Q495" s="109"/>
    </row>
    <row r="496" spans="2:17" x14ac:dyDescent="0.25">
      <c r="B496" s="114">
        <v>11</v>
      </c>
      <c r="C496" s="114">
        <v>23</v>
      </c>
      <c r="D496" s="114">
        <v>36</v>
      </c>
      <c r="E496" s="154" cm="1">
        <f t="array" ref="E496">IF(ISBLANK(MainData[[#This Row],[EventID]]),0,IFERROR(INDEX(MainData[],MATCH(MainData[[#This Row],[EventID]],IF(MainData[Product]="Date",MainData[EventID],0),0),12),0))</f>
        <v>44587</v>
      </c>
      <c r="F496" s="155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6" s="155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6" s="157" t="s">
        <v>84</v>
      </c>
      <c r="J496" t="s">
        <v>187</v>
      </c>
      <c r="K496" s="2" t="s">
        <v>157</v>
      </c>
      <c r="L496" s="2" t="s">
        <v>0</v>
      </c>
      <c r="M496" s="158">
        <v>44587</v>
      </c>
      <c r="N496" s="2"/>
      <c r="O496" s="109"/>
      <c r="P496" s="109"/>
      <c r="Q496" s="109"/>
    </row>
    <row r="497" spans="2:17" x14ac:dyDescent="0.25">
      <c r="B497" s="114">
        <v>11</v>
      </c>
      <c r="C497" s="114">
        <v>23</v>
      </c>
      <c r="D497" s="114">
        <v>36</v>
      </c>
      <c r="E497" s="154" cm="1">
        <f t="array" ref="E497">IF(ISBLANK(MainData[[#This Row],[EventID]]),0,IFERROR(INDEX(MainData[],MATCH(MainData[[#This Row],[EventID]],IF(MainData[Product]="Date",MainData[EventID],0),0),12),0))</f>
        <v>44587</v>
      </c>
      <c r="F497" s="155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7" s="155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7" s="157" t="s">
        <v>84</v>
      </c>
      <c r="J497" t="s">
        <v>187</v>
      </c>
      <c r="K497" s="2" t="s">
        <v>157</v>
      </c>
      <c r="L497" s="2" t="s">
        <v>82</v>
      </c>
      <c r="M497" s="2">
        <v>214731</v>
      </c>
      <c r="N497" s="2"/>
      <c r="O497" s="109"/>
      <c r="P497" s="109"/>
      <c r="Q497" s="109"/>
    </row>
    <row r="498" spans="2:17" x14ac:dyDescent="0.25">
      <c r="B498" s="114">
        <v>11</v>
      </c>
      <c r="C498" s="114">
        <v>23</v>
      </c>
      <c r="D498" s="114">
        <v>36</v>
      </c>
      <c r="E498" s="154" cm="1">
        <f t="array" ref="E498">IF(ISBLANK(MainData[[#This Row],[EventID]]),0,IFERROR(INDEX(MainData[],MATCH(MainData[[#This Row],[EventID]],IF(MainData[Product]="Date",MainData[EventID],0),0),12),0))</f>
        <v>44587</v>
      </c>
      <c r="F498" s="155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8" s="155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8" s="157" t="s">
        <v>84</v>
      </c>
      <c r="J498" t="s">
        <v>187</v>
      </c>
      <c r="K498" s="2" t="s">
        <v>157</v>
      </c>
      <c r="L498" s="2" t="s">
        <v>175</v>
      </c>
      <c r="M498" s="2" t="s">
        <v>459</v>
      </c>
      <c r="N498" s="2"/>
      <c r="O498" s="109"/>
      <c r="P498" s="109"/>
      <c r="Q498" s="109"/>
    </row>
    <row r="499" spans="2:17" x14ac:dyDescent="0.25">
      <c r="B499" s="114">
        <v>11</v>
      </c>
      <c r="C499" s="114">
        <v>23</v>
      </c>
      <c r="D499" s="114">
        <v>36</v>
      </c>
      <c r="E499" s="154" cm="1">
        <f t="array" ref="E499">IF(ISBLANK(MainData[[#This Row],[EventID]]),0,IFERROR(INDEX(MainData[],MATCH(MainData[[#This Row],[EventID]],IF(MainData[Product]="Date",MainData[EventID],0),0),12),0))</f>
        <v>44587</v>
      </c>
      <c r="F499" s="155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9" s="155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9" s="157" t="s">
        <v>84</v>
      </c>
      <c r="J499" t="s">
        <v>187</v>
      </c>
      <c r="K499" s="2" t="s">
        <v>157</v>
      </c>
      <c r="L499" s="2" t="s">
        <v>138</v>
      </c>
      <c r="M499" s="2">
        <v>25</v>
      </c>
      <c r="N499" s="2"/>
      <c r="O499" s="109"/>
      <c r="P499" s="109"/>
      <c r="Q499" s="109"/>
    </row>
    <row r="500" spans="2:17" x14ac:dyDescent="0.25">
      <c r="B500" s="114">
        <v>11</v>
      </c>
      <c r="C500" s="114">
        <v>23</v>
      </c>
      <c r="D500" s="114">
        <v>36</v>
      </c>
      <c r="E500" s="154" cm="1">
        <f t="array" ref="E500">IF(ISBLANK(MainData[[#This Row],[EventID]]),0,IFERROR(INDEX(MainData[],MATCH(MainData[[#This Row],[EventID]],IF(MainData[Product]="Date",MainData[EventID],0),0),12),0))</f>
        <v>44587</v>
      </c>
      <c r="F500" s="155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0" s="155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0" s="157" t="s">
        <v>84</v>
      </c>
      <c r="J500" t="s">
        <v>187</v>
      </c>
      <c r="K500" s="2" t="s">
        <v>157</v>
      </c>
      <c r="L500" s="2" t="s">
        <v>86</v>
      </c>
      <c r="M500" s="2">
        <v>12</v>
      </c>
      <c r="N500" s="2"/>
      <c r="O500" s="109"/>
      <c r="P500" s="109"/>
      <c r="Q500" s="109"/>
    </row>
    <row r="501" spans="2:17" x14ac:dyDescent="0.25">
      <c r="B501" s="114">
        <v>11</v>
      </c>
      <c r="C501" s="114">
        <v>23</v>
      </c>
      <c r="D501" s="114">
        <v>36</v>
      </c>
      <c r="E501" s="154" cm="1">
        <f t="array" ref="E501">IF(ISBLANK(MainData[[#This Row],[EventID]]),0,IFERROR(INDEX(MainData[],MATCH(MainData[[#This Row],[EventID]],IF(MainData[Product]="Date",MainData[EventID],0),0),12),0))</f>
        <v>44587</v>
      </c>
      <c r="F501" s="155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1" s="155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1" s="157" t="s">
        <v>84</v>
      </c>
      <c r="J501" t="s">
        <v>187</v>
      </c>
      <c r="K501" s="2" t="s">
        <v>157</v>
      </c>
      <c r="L501" s="2" t="s">
        <v>118</v>
      </c>
      <c r="M501" s="2" t="s">
        <v>460</v>
      </c>
      <c r="N501" s="2"/>
      <c r="O501" s="109"/>
      <c r="P501" s="109"/>
      <c r="Q501" s="109"/>
    </row>
    <row r="502" spans="2:17" x14ac:dyDescent="0.25">
      <c r="B502" s="114">
        <v>11</v>
      </c>
      <c r="C502" s="114">
        <v>23</v>
      </c>
      <c r="D502" s="114">
        <v>36</v>
      </c>
      <c r="E502" s="154" cm="1">
        <f t="array" ref="E502">IF(ISBLANK(MainData[[#This Row],[EventID]]),0,IFERROR(INDEX(MainData[],MATCH(MainData[[#This Row],[EventID]],IF(MainData[Product]="Date",MainData[EventID],0),0),12),0))</f>
        <v>44587</v>
      </c>
      <c r="F502" s="155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2" s="155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2" s="20" t="s">
        <v>85</v>
      </c>
      <c r="J502" t="s">
        <v>20</v>
      </c>
      <c r="K502" s="2" t="s">
        <v>116</v>
      </c>
      <c r="L502" s="2" t="s">
        <v>88</v>
      </c>
      <c r="M502" s="2" t="s">
        <v>189</v>
      </c>
      <c r="N502" s="2" t="s">
        <v>233</v>
      </c>
      <c r="O502" s="109">
        <v>1</v>
      </c>
      <c r="P502" s="109"/>
      <c r="Q502" s="109"/>
    </row>
    <row r="503" spans="2:17" x14ac:dyDescent="0.25">
      <c r="B503" s="114">
        <v>11</v>
      </c>
      <c r="C503" s="114">
        <v>23</v>
      </c>
      <c r="D503" s="114">
        <v>36</v>
      </c>
      <c r="E503" s="154" cm="1">
        <f t="array" ref="E503">IF(ISBLANK(MainData[[#This Row],[EventID]]),0,IFERROR(INDEX(MainData[],MATCH(MainData[[#This Row],[EventID]],IF(MainData[Product]="Date",MainData[EventID],0),0),12),0))</f>
        <v>44587</v>
      </c>
      <c r="F503" s="155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3" s="155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3" s="20" t="s">
        <v>85</v>
      </c>
      <c r="J503" t="s">
        <v>20</v>
      </c>
      <c r="K503" s="2" t="s">
        <v>116</v>
      </c>
      <c r="L503" s="2" t="s">
        <v>152</v>
      </c>
      <c r="M503" s="2" t="s">
        <v>198</v>
      </c>
      <c r="N503" s="2" t="s">
        <v>233</v>
      </c>
      <c r="O503" s="109">
        <v>1</v>
      </c>
      <c r="P503" s="109"/>
      <c r="Q503" s="109"/>
    </row>
    <row r="504" spans="2:17" x14ac:dyDescent="0.25">
      <c r="B504" s="114">
        <v>11</v>
      </c>
      <c r="C504" s="114">
        <v>23</v>
      </c>
      <c r="D504" s="114">
        <v>36</v>
      </c>
      <c r="E504" s="154" cm="1">
        <f t="array" ref="E504">IF(ISBLANK(MainData[[#This Row],[EventID]]),0,IFERROR(INDEX(MainData[],MATCH(MainData[[#This Row],[EventID]],IF(MainData[Product]="Date",MainData[EventID],0),0),12),0))</f>
        <v>44587</v>
      </c>
      <c r="F504" s="155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4" s="155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4" s="20" t="s">
        <v>85</v>
      </c>
      <c r="J504" t="s">
        <v>20</v>
      </c>
      <c r="K504" s="2" t="s">
        <v>29</v>
      </c>
      <c r="L504" s="2" t="s">
        <v>156</v>
      </c>
      <c r="M504" s="2" t="s">
        <v>199</v>
      </c>
      <c r="N504" s="2" t="s">
        <v>233</v>
      </c>
      <c r="O504" s="109">
        <v>1</v>
      </c>
      <c r="P504" s="109">
        <v>0.01</v>
      </c>
      <c r="Q504" s="109">
        <v>50</v>
      </c>
    </row>
    <row r="505" spans="2:17" x14ac:dyDescent="0.25">
      <c r="B505" s="114">
        <v>11</v>
      </c>
      <c r="C505" s="114">
        <v>24</v>
      </c>
      <c r="D505" s="114">
        <v>38</v>
      </c>
      <c r="E505" s="154" cm="1">
        <f t="array" ref="E505">IF(ISBLANK(MainData[[#This Row],[EventID]]),0,IFERROR(INDEX(MainData[],MATCH(MainData[[#This Row],[EventID]],IF(MainData[Product]="Date",MainData[EventID],0),0),12),0))</f>
        <v>44588</v>
      </c>
      <c r="F505" s="155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5" s="155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5" s="157" t="s">
        <v>84</v>
      </c>
      <c r="J505" t="s">
        <v>187</v>
      </c>
      <c r="K505" s="2" t="s">
        <v>157</v>
      </c>
      <c r="L505" s="2" t="s">
        <v>81</v>
      </c>
      <c r="M505" s="2">
        <v>1</v>
      </c>
      <c r="N505" s="2"/>
      <c r="O505" s="109"/>
      <c r="P505" s="109"/>
      <c r="Q505" s="109"/>
    </row>
    <row r="506" spans="2:17" x14ac:dyDescent="0.25">
      <c r="B506" s="114">
        <v>11</v>
      </c>
      <c r="C506" s="114">
        <v>24</v>
      </c>
      <c r="D506" s="114">
        <v>38</v>
      </c>
      <c r="E506" s="154" cm="1">
        <f t="array" ref="E506">IF(ISBLANK(MainData[[#This Row],[EventID]]),0,IFERROR(INDEX(MainData[],MATCH(MainData[[#This Row],[EventID]],IF(MainData[Product]="Date",MainData[EventID],0),0),12),0))</f>
        <v>44588</v>
      </c>
      <c r="F506" s="155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6" s="155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6" s="157" t="s">
        <v>84</v>
      </c>
      <c r="J506" t="s">
        <v>187</v>
      </c>
      <c r="K506" s="2" t="s">
        <v>157</v>
      </c>
      <c r="L506" s="2" t="s">
        <v>0</v>
      </c>
      <c r="M506" s="158">
        <v>44588</v>
      </c>
      <c r="N506" s="2"/>
      <c r="O506" s="109"/>
      <c r="P506" s="109"/>
      <c r="Q506" s="109"/>
    </row>
    <row r="507" spans="2:17" x14ac:dyDescent="0.25">
      <c r="B507" s="114">
        <v>11</v>
      </c>
      <c r="C507" s="114">
        <v>24</v>
      </c>
      <c r="D507" s="114">
        <v>38</v>
      </c>
      <c r="E507" s="154" cm="1">
        <f t="array" ref="E507">IF(ISBLANK(MainData[[#This Row],[EventID]]),0,IFERROR(INDEX(MainData[],MATCH(MainData[[#This Row],[EventID]],IF(MainData[Product]="Date",MainData[EventID],0),0),12),0))</f>
        <v>44588</v>
      </c>
      <c r="F507" s="155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7" s="155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7" s="157" t="s">
        <v>84</v>
      </c>
      <c r="J507" t="s">
        <v>187</v>
      </c>
      <c r="K507" s="2" t="s">
        <v>157</v>
      </c>
      <c r="L507" s="2" t="s">
        <v>82</v>
      </c>
      <c r="M507" s="2">
        <v>544332</v>
      </c>
      <c r="N507" s="2"/>
      <c r="O507" s="109"/>
      <c r="P507" s="109"/>
      <c r="Q507" s="109"/>
    </row>
    <row r="508" spans="2:17" x14ac:dyDescent="0.25">
      <c r="B508" s="114">
        <v>11</v>
      </c>
      <c r="C508" s="114">
        <v>24</v>
      </c>
      <c r="D508" s="114">
        <v>38</v>
      </c>
      <c r="E508" s="154" cm="1">
        <f t="array" ref="E508">IF(ISBLANK(MainData[[#This Row],[EventID]]),0,IFERROR(INDEX(MainData[],MATCH(MainData[[#This Row],[EventID]],IF(MainData[Product]="Date",MainData[EventID],0),0),12),0))</f>
        <v>44588</v>
      </c>
      <c r="F508" s="155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8" s="155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8" s="157" t="s">
        <v>84</v>
      </c>
      <c r="J508" t="s">
        <v>187</v>
      </c>
      <c r="K508" s="2" t="s">
        <v>157</v>
      </c>
      <c r="L508" s="2" t="s">
        <v>175</v>
      </c>
      <c r="M508" s="2" t="s">
        <v>459</v>
      </c>
      <c r="N508" s="2"/>
      <c r="O508" s="109"/>
      <c r="P508" s="109"/>
      <c r="Q508" s="109"/>
    </row>
    <row r="509" spans="2:17" x14ac:dyDescent="0.25">
      <c r="B509" s="114">
        <v>11</v>
      </c>
      <c r="C509" s="114">
        <v>24</v>
      </c>
      <c r="D509" s="114">
        <v>38</v>
      </c>
      <c r="E509" s="154" cm="1">
        <f t="array" ref="E509">IF(ISBLANK(MainData[[#This Row],[EventID]]),0,IFERROR(INDEX(MainData[],MATCH(MainData[[#This Row],[EventID]],IF(MainData[Product]="Date",MainData[EventID],0),0),12),0))</f>
        <v>44588</v>
      </c>
      <c r="F509" s="155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9" s="155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9" s="157" t="s">
        <v>84</v>
      </c>
      <c r="J509" t="s">
        <v>187</v>
      </c>
      <c r="K509" s="2" t="s">
        <v>157</v>
      </c>
      <c r="L509" s="2" t="s">
        <v>138</v>
      </c>
      <c r="M509" s="2">
        <v>25</v>
      </c>
      <c r="N509" s="2"/>
      <c r="O509" s="109"/>
      <c r="P509" s="109"/>
      <c r="Q509" s="109"/>
    </row>
    <row r="510" spans="2:17" x14ac:dyDescent="0.25">
      <c r="B510" s="114">
        <v>11</v>
      </c>
      <c r="C510" s="114">
        <v>24</v>
      </c>
      <c r="D510" s="114">
        <v>38</v>
      </c>
      <c r="E510" s="154" cm="1">
        <f t="array" ref="E510">IF(ISBLANK(MainData[[#This Row],[EventID]]),0,IFERROR(INDEX(MainData[],MATCH(MainData[[#This Row],[EventID]],IF(MainData[Product]="Date",MainData[EventID],0),0),12),0))</f>
        <v>44588</v>
      </c>
      <c r="F510" s="155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0" s="155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0" s="157" t="s">
        <v>84</v>
      </c>
      <c r="J510" t="s">
        <v>187</v>
      </c>
      <c r="K510" s="2" t="s">
        <v>157</v>
      </c>
      <c r="L510" s="2" t="s">
        <v>86</v>
      </c>
      <c r="M510" s="2">
        <v>12</v>
      </c>
      <c r="N510" s="2"/>
      <c r="O510" s="109"/>
      <c r="P510" s="109"/>
      <c r="Q510" s="109"/>
    </row>
    <row r="511" spans="2:17" x14ac:dyDescent="0.25">
      <c r="B511" s="114">
        <v>11</v>
      </c>
      <c r="C511" s="114">
        <v>24</v>
      </c>
      <c r="D511" s="114">
        <v>38</v>
      </c>
      <c r="E511" s="154" cm="1">
        <f t="array" ref="E511">IF(ISBLANK(MainData[[#This Row],[EventID]]),0,IFERROR(INDEX(MainData[],MATCH(MainData[[#This Row],[EventID]],IF(MainData[Product]="Date",MainData[EventID],0),0),12),0))</f>
        <v>44588</v>
      </c>
      <c r="F511" s="155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1" s="155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1" s="157" t="s">
        <v>84</v>
      </c>
      <c r="J511" t="s">
        <v>187</v>
      </c>
      <c r="K511" s="2" t="s">
        <v>157</v>
      </c>
      <c r="L511" s="2" t="s">
        <v>118</v>
      </c>
      <c r="M511" s="2" t="s">
        <v>460</v>
      </c>
      <c r="N511" s="2"/>
      <c r="O511" s="109"/>
      <c r="P511" s="109"/>
      <c r="Q511" s="109"/>
    </row>
    <row r="512" spans="2:17" x14ac:dyDescent="0.25">
      <c r="B512" s="114">
        <v>11</v>
      </c>
      <c r="C512" s="114">
        <v>24</v>
      </c>
      <c r="D512" s="114">
        <v>38</v>
      </c>
      <c r="E512" s="154" cm="1">
        <f t="array" ref="E512">IF(ISBLANK(MainData[[#This Row],[EventID]]),0,IFERROR(INDEX(MainData[],MATCH(MainData[[#This Row],[EventID]],IF(MainData[Product]="Date",MainData[EventID],0),0),12),0))</f>
        <v>44588</v>
      </c>
      <c r="F512" s="155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2" s="155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2" s="20" t="s">
        <v>85</v>
      </c>
      <c r="J512" t="s">
        <v>20</v>
      </c>
      <c r="K512" s="2" t="s">
        <v>116</v>
      </c>
      <c r="L512" s="2" t="s">
        <v>88</v>
      </c>
      <c r="M512" s="2" t="s">
        <v>189</v>
      </c>
      <c r="N512" s="2" t="s">
        <v>233</v>
      </c>
      <c r="O512" s="109">
        <v>1</v>
      </c>
      <c r="P512" s="109"/>
      <c r="Q512" s="109"/>
    </row>
    <row r="513" spans="2:17" x14ac:dyDescent="0.25">
      <c r="B513" s="114">
        <v>11</v>
      </c>
      <c r="C513" s="114">
        <v>24</v>
      </c>
      <c r="D513" s="114">
        <v>38</v>
      </c>
      <c r="E513" s="154" cm="1">
        <f t="array" ref="E513">IF(ISBLANK(MainData[[#This Row],[EventID]]),0,IFERROR(INDEX(MainData[],MATCH(MainData[[#This Row],[EventID]],IF(MainData[Product]="Date",MainData[EventID],0),0),12),0))</f>
        <v>44588</v>
      </c>
      <c r="F513" s="155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3" s="155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3" s="20" t="s">
        <v>85</v>
      </c>
      <c r="J513" t="s">
        <v>20</v>
      </c>
      <c r="K513" s="2" t="s">
        <v>116</v>
      </c>
      <c r="L513" s="2" t="s">
        <v>152</v>
      </c>
      <c r="M513" s="2" t="s">
        <v>198</v>
      </c>
      <c r="N513" s="2" t="s">
        <v>233</v>
      </c>
      <c r="O513" s="109">
        <v>1</v>
      </c>
      <c r="P513" s="109"/>
      <c r="Q513" s="109"/>
    </row>
    <row r="514" spans="2:17" x14ac:dyDescent="0.25">
      <c r="B514" s="114">
        <v>11</v>
      </c>
      <c r="C514" s="114">
        <v>24</v>
      </c>
      <c r="D514" s="114">
        <v>38</v>
      </c>
      <c r="E514" s="154" cm="1">
        <f t="array" ref="E514">IF(ISBLANK(MainData[[#This Row],[EventID]]),0,IFERROR(INDEX(MainData[],MATCH(MainData[[#This Row],[EventID]],IF(MainData[Product]="Date",MainData[EventID],0),0),12),0))</f>
        <v>44588</v>
      </c>
      <c r="F514" s="155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4" s="155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4" s="20" t="s">
        <v>85</v>
      </c>
      <c r="J514" t="s">
        <v>20</v>
      </c>
      <c r="K514" s="2" t="s">
        <v>29</v>
      </c>
      <c r="L514" s="2" t="s">
        <v>156</v>
      </c>
      <c r="M514" s="2" t="s">
        <v>199</v>
      </c>
      <c r="N514" s="2" t="s">
        <v>233</v>
      </c>
      <c r="O514" s="109">
        <v>1</v>
      </c>
      <c r="P514" s="109">
        <v>0.01</v>
      </c>
      <c r="Q514" s="109">
        <v>50</v>
      </c>
    </row>
    <row r="515" spans="2:17" x14ac:dyDescent="0.25">
      <c r="B515" s="114">
        <v>3</v>
      </c>
      <c r="C515" s="114">
        <v>6</v>
      </c>
      <c r="D515" s="114">
        <v>37</v>
      </c>
      <c r="E515" s="154" cm="1">
        <f t="array" ref="E515">IF(ISBLANK(MainData[[#This Row],[EventID]]),0,IFERROR(INDEX(MainData[],MATCH(MainData[[#This Row],[EventID]],IF(MainData[Product]="Date",MainData[EventID],0),0),12),0))</f>
        <v>44588</v>
      </c>
      <c r="F515" s="155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5" s="155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5" s="157" t="s">
        <v>84</v>
      </c>
      <c r="J515" t="s">
        <v>187</v>
      </c>
      <c r="K515" s="2" t="s">
        <v>157</v>
      </c>
      <c r="L515" s="2" t="s">
        <v>81</v>
      </c>
      <c r="M515" s="2">
        <v>1</v>
      </c>
      <c r="N515" s="2"/>
      <c r="O515" s="109"/>
      <c r="P515" s="109"/>
      <c r="Q515" s="109"/>
    </row>
    <row r="516" spans="2:17" x14ac:dyDescent="0.25">
      <c r="B516" s="114">
        <v>3</v>
      </c>
      <c r="C516" s="114">
        <v>6</v>
      </c>
      <c r="D516" s="114">
        <v>37</v>
      </c>
      <c r="E516" s="154" cm="1">
        <f t="array" ref="E516">IF(ISBLANK(MainData[[#This Row],[EventID]]),0,IFERROR(INDEX(MainData[],MATCH(MainData[[#This Row],[EventID]],IF(MainData[Product]="Date",MainData[EventID],0),0),12),0))</f>
        <v>44588</v>
      </c>
      <c r="F516" s="155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6" s="155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6" s="157" t="s">
        <v>84</v>
      </c>
      <c r="J516" t="s">
        <v>187</v>
      </c>
      <c r="K516" s="2" t="s">
        <v>157</v>
      </c>
      <c r="L516" s="2" t="s">
        <v>164</v>
      </c>
      <c r="M516" s="2" t="s">
        <v>407</v>
      </c>
      <c r="N516" s="2"/>
      <c r="O516" s="109"/>
      <c r="P516" s="109"/>
      <c r="Q516" s="109"/>
    </row>
    <row r="517" spans="2:17" x14ac:dyDescent="0.25">
      <c r="B517" s="114">
        <v>3</v>
      </c>
      <c r="C517" s="114">
        <v>6</v>
      </c>
      <c r="D517" s="114">
        <v>37</v>
      </c>
      <c r="E517" s="154" cm="1">
        <f t="array" ref="E517">IF(ISBLANK(MainData[[#This Row],[EventID]]),0,IFERROR(INDEX(MainData[],MATCH(MainData[[#This Row],[EventID]],IF(MainData[Product]="Date",MainData[EventID],0),0),12),0))</f>
        <v>44588</v>
      </c>
      <c r="F517" s="155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7" s="155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7" s="157" t="s">
        <v>84</v>
      </c>
      <c r="J517" t="s">
        <v>187</v>
      </c>
      <c r="K517" s="2" t="s">
        <v>157</v>
      </c>
      <c r="L517" s="2" t="s">
        <v>0</v>
      </c>
      <c r="M517" s="158">
        <v>44588</v>
      </c>
      <c r="N517" s="2"/>
      <c r="O517" s="109"/>
      <c r="P517" s="109"/>
      <c r="Q517" s="109"/>
    </row>
    <row r="518" spans="2:17" x14ac:dyDescent="0.25">
      <c r="B518" s="114">
        <v>3</v>
      </c>
      <c r="C518" s="114">
        <v>6</v>
      </c>
      <c r="D518" s="114">
        <v>37</v>
      </c>
      <c r="E518" s="154" cm="1">
        <f t="array" ref="E518">IF(ISBLANK(MainData[[#This Row],[EventID]]),0,IFERROR(INDEX(MainData[],MATCH(MainData[[#This Row],[EventID]],IF(MainData[Product]="Date",MainData[EventID],0),0),12),0))</f>
        <v>44588</v>
      </c>
      <c r="F518" s="155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8" s="155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8" s="157" t="s">
        <v>84</v>
      </c>
      <c r="J518" t="s">
        <v>187</v>
      </c>
      <c r="K518" s="2" t="s">
        <v>157</v>
      </c>
      <c r="L518" s="2" t="s">
        <v>82</v>
      </c>
      <c r="M518" s="2">
        <v>811100</v>
      </c>
      <c r="N518" s="2"/>
      <c r="O518" s="109"/>
      <c r="P518" s="109"/>
      <c r="Q518" s="109"/>
    </row>
    <row r="519" spans="2:17" x14ac:dyDescent="0.25">
      <c r="B519" s="114">
        <v>3</v>
      </c>
      <c r="C519" s="114">
        <v>6</v>
      </c>
      <c r="D519" s="114">
        <v>37</v>
      </c>
      <c r="E519" s="154" cm="1">
        <f t="array" ref="E519">IF(ISBLANK(MainData[[#This Row],[EventID]]),0,IFERROR(INDEX(MainData[],MATCH(MainData[[#This Row],[EventID]],IF(MainData[Product]="Date",MainData[EventID],0),0),12),0))</f>
        <v>44588</v>
      </c>
      <c r="F519" s="155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9" s="155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9" s="157" t="s">
        <v>84</v>
      </c>
      <c r="J519" t="s">
        <v>187</v>
      </c>
      <c r="K519" s="2" t="s">
        <v>157</v>
      </c>
      <c r="L519" s="2" t="s">
        <v>175</v>
      </c>
      <c r="M519" s="2" t="s">
        <v>455</v>
      </c>
      <c r="N519" s="2"/>
      <c r="O519" s="109"/>
      <c r="P519" s="109"/>
      <c r="Q519" s="109"/>
    </row>
    <row r="520" spans="2:17" x14ac:dyDescent="0.25">
      <c r="B520" s="114">
        <v>3</v>
      </c>
      <c r="C520" s="114">
        <v>6</v>
      </c>
      <c r="D520" s="114">
        <v>37</v>
      </c>
      <c r="E520" s="154" cm="1">
        <f t="array" ref="E520">IF(ISBLANK(MainData[[#This Row],[EventID]]),0,IFERROR(INDEX(MainData[],MATCH(MainData[[#This Row],[EventID]],IF(MainData[Product]="Date",MainData[EventID],0),0),12),0))</f>
        <v>44588</v>
      </c>
      <c r="F520" s="155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0" s="155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0" s="157" t="s">
        <v>84</v>
      </c>
      <c r="J520" t="s">
        <v>187</v>
      </c>
      <c r="K520" s="2" t="s">
        <v>157</v>
      </c>
      <c r="L520" s="2" t="s">
        <v>20</v>
      </c>
      <c r="M520" s="2" t="s">
        <v>378</v>
      </c>
      <c r="N520" s="2"/>
      <c r="O520" s="109"/>
      <c r="P520" s="109"/>
      <c r="Q520" s="109"/>
    </row>
    <row r="521" spans="2:17" x14ac:dyDescent="0.25">
      <c r="B521" s="114">
        <v>3</v>
      </c>
      <c r="C521" s="114">
        <v>6</v>
      </c>
      <c r="D521" s="114">
        <v>37</v>
      </c>
      <c r="E521" s="154" cm="1">
        <f t="array" ref="E521">IF(ISBLANK(MainData[[#This Row],[EventID]]),0,IFERROR(INDEX(MainData[],MATCH(MainData[[#This Row],[EventID]],IF(MainData[Product]="Date",MainData[EventID],0),0),12),0))</f>
        <v>44588</v>
      </c>
      <c r="F521" s="155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1" s="155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1" s="157" t="s">
        <v>84</v>
      </c>
      <c r="J521" t="s">
        <v>187</v>
      </c>
      <c r="K521" s="2" t="s">
        <v>157</v>
      </c>
      <c r="L521" s="2" t="s">
        <v>138</v>
      </c>
      <c r="M521" s="2">
        <v>60</v>
      </c>
      <c r="N521" s="2"/>
      <c r="O521" s="109"/>
      <c r="P521" s="109"/>
      <c r="Q521" s="109"/>
    </row>
    <row r="522" spans="2:17" x14ac:dyDescent="0.25">
      <c r="B522" s="114">
        <v>3</v>
      </c>
      <c r="C522" s="114">
        <v>6</v>
      </c>
      <c r="D522" s="114">
        <v>37</v>
      </c>
      <c r="E522" s="154" cm="1">
        <f t="array" ref="E522">IF(ISBLANK(MainData[[#This Row],[EventID]]),0,IFERROR(INDEX(MainData[],MATCH(MainData[[#This Row],[EventID]],IF(MainData[Product]="Date",MainData[EventID],0),0),12),0))</f>
        <v>44588</v>
      </c>
      <c r="F522" s="155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2" s="155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2" s="157" t="s">
        <v>84</v>
      </c>
      <c r="J522" t="s">
        <v>187</v>
      </c>
      <c r="K522" s="2" t="s">
        <v>157</v>
      </c>
      <c r="L522" s="2" t="s">
        <v>86</v>
      </c>
      <c r="M522" s="2">
        <v>2</v>
      </c>
      <c r="N522" s="2"/>
      <c r="O522" s="109"/>
      <c r="P522" s="109"/>
      <c r="Q522" s="109"/>
    </row>
    <row r="523" spans="2:17" x14ac:dyDescent="0.25">
      <c r="B523" s="114">
        <v>3</v>
      </c>
      <c r="C523" s="114">
        <v>6</v>
      </c>
      <c r="D523" s="114">
        <v>37</v>
      </c>
      <c r="E523" s="154" cm="1">
        <f t="array" ref="E523">IF(ISBLANK(MainData[[#This Row],[EventID]]),0,IFERROR(INDEX(MainData[],MATCH(MainData[[#This Row],[EventID]],IF(MainData[Product]="Date",MainData[EventID],0),0),12),0))</f>
        <v>44588</v>
      </c>
      <c r="F523" s="155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3" s="155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3" s="157" t="s">
        <v>84</v>
      </c>
      <c r="J523" t="s">
        <v>187</v>
      </c>
      <c r="K523" s="2" t="s">
        <v>157</v>
      </c>
      <c r="L523" s="2" t="s">
        <v>118</v>
      </c>
      <c r="M523" s="2" t="s">
        <v>489</v>
      </c>
      <c r="N523" s="2"/>
      <c r="O523" s="109"/>
      <c r="P523" s="109"/>
      <c r="Q523" s="109"/>
    </row>
    <row r="524" spans="2:17" x14ac:dyDescent="0.25">
      <c r="B524" s="114">
        <v>3</v>
      </c>
      <c r="C524" s="114">
        <v>6</v>
      </c>
      <c r="D524" s="114">
        <v>37</v>
      </c>
      <c r="E524" s="154" cm="1">
        <f t="array" ref="E524">IF(ISBLANK(MainData[[#This Row],[EventID]]),0,IFERROR(INDEX(MainData[],MATCH(MainData[[#This Row],[EventID]],IF(MainData[Product]="Date",MainData[EventID],0),0),12),0))</f>
        <v>44588</v>
      </c>
      <c r="F524" s="155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4" s="155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4" s="157" t="s">
        <v>84</v>
      </c>
      <c r="J524" t="s">
        <v>187</v>
      </c>
      <c r="K524" s="2" t="s">
        <v>157</v>
      </c>
      <c r="L524" s="2" t="s">
        <v>165</v>
      </c>
      <c r="M524" s="2" t="s">
        <v>406</v>
      </c>
      <c r="N524" s="2"/>
      <c r="O524" s="109"/>
      <c r="P524" s="109"/>
      <c r="Q524" s="109"/>
    </row>
    <row r="525" spans="2:17" x14ac:dyDescent="0.25">
      <c r="B525" s="114">
        <v>3</v>
      </c>
      <c r="C525" s="114">
        <v>6</v>
      </c>
      <c r="D525" s="114">
        <v>37</v>
      </c>
      <c r="E525" s="154" cm="1">
        <f t="array" ref="E525">IF(ISBLANK(MainData[[#This Row],[EventID]]),0,IFERROR(INDEX(MainData[],MATCH(MainData[[#This Row],[EventID]],IF(MainData[Product]="Date",MainData[EventID],0),0),12),0))</f>
        <v>44588</v>
      </c>
      <c r="F525" s="155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5" s="155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5" s="20" t="s">
        <v>85</v>
      </c>
      <c r="J525" t="s">
        <v>20</v>
      </c>
      <c r="K525" s="2" t="s">
        <v>116</v>
      </c>
      <c r="L525" s="2" t="s">
        <v>88</v>
      </c>
      <c r="M525" s="2" t="s">
        <v>189</v>
      </c>
      <c r="N525" s="2" t="s">
        <v>233</v>
      </c>
      <c r="O525" s="109">
        <v>1</v>
      </c>
      <c r="P525" s="109"/>
      <c r="Q525" s="109"/>
    </row>
    <row r="526" spans="2:17" x14ac:dyDescent="0.25">
      <c r="B526" s="114">
        <v>3</v>
      </c>
      <c r="C526" s="114">
        <v>6</v>
      </c>
      <c r="D526" s="114">
        <v>37</v>
      </c>
      <c r="E526" s="154" cm="1">
        <f t="array" ref="E526">IF(ISBLANK(MainData[[#This Row],[EventID]]),0,IFERROR(INDEX(MainData[],MATCH(MainData[[#This Row],[EventID]],IF(MainData[Product]="Date",MainData[EventID],0),0),12),0))</f>
        <v>44588</v>
      </c>
      <c r="F526" s="155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6" s="155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6" s="20" t="s">
        <v>85</v>
      </c>
      <c r="J526" t="s">
        <v>20</v>
      </c>
      <c r="K526" s="2" t="s">
        <v>116</v>
      </c>
      <c r="L526" s="2" t="s">
        <v>87</v>
      </c>
      <c r="M526" s="2" t="s">
        <v>188</v>
      </c>
      <c r="N526" s="2" t="s">
        <v>233</v>
      </c>
      <c r="O526" s="109">
        <v>1</v>
      </c>
      <c r="P526" s="109"/>
      <c r="Q526" s="109">
        <v>100</v>
      </c>
    </row>
    <row r="527" spans="2:17" x14ac:dyDescent="0.25">
      <c r="B527" s="114">
        <v>3</v>
      </c>
      <c r="C527" s="114">
        <v>6</v>
      </c>
      <c r="D527" s="114">
        <v>37</v>
      </c>
      <c r="E527" s="154" cm="1">
        <f t="array" ref="E527">IF(ISBLANK(MainData[[#This Row],[EventID]]),0,IFERROR(INDEX(MainData[],MATCH(MainData[[#This Row],[EventID]],IF(MainData[Product]="Date",MainData[EventID],0),0),12),0))</f>
        <v>44588</v>
      </c>
      <c r="F527" s="155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7" s="155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7" s="157" t="s">
        <v>85</v>
      </c>
      <c r="J527" t="s">
        <v>20</v>
      </c>
      <c r="K527" s="2" t="s">
        <v>29</v>
      </c>
      <c r="L527" s="2" t="s">
        <v>35</v>
      </c>
      <c r="M527" s="2" t="s">
        <v>382</v>
      </c>
      <c r="N527" s="2" t="s">
        <v>234</v>
      </c>
      <c r="O527" s="109">
        <v>1</v>
      </c>
      <c r="P527" s="109">
        <v>16</v>
      </c>
      <c r="Q527" s="109">
        <v>165</v>
      </c>
    </row>
    <row r="528" spans="2:17" x14ac:dyDescent="0.25">
      <c r="B528" s="114">
        <v>3</v>
      </c>
      <c r="C528" s="114">
        <v>6</v>
      </c>
      <c r="D528" s="114">
        <v>37</v>
      </c>
      <c r="E528" s="154" cm="1">
        <f t="array" ref="E528">IF(ISBLANK(MainData[[#This Row],[EventID]]),0,IFERROR(INDEX(MainData[],MATCH(MainData[[#This Row],[EventID]],IF(MainData[Product]="Date",MainData[EventID],0),0),12),0))</f>
        <v>44588</v>
      </c>
      <c r="F528" s="155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8" s="155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8" s="20" t="s">
        <v>85</v>
      </c>
      <c r="J528" t="s">
        <v>20</v>
      </c>
      <c r="K528" s="2" t="s">
        <v>29</v>
      </c>
      <c r="L528" s="2" t="s">
        <v>36</v>
      </c>
      <c r="M528" s="2" t="s">
        <v>387</v>
      </c>
      <c r="N528" s="2" t="s">
        <v>234</v>
      </c>
      <c r="O528" s="109">
        <v>1</v>
      </c>
      <c r="P528" s="109">
        <v>52.3</v>
      </c>
      <c r="Q528" s="109">
        <v>583</v>
      </c>
    </row>
    <row r="529" spans="2:17" x14ac:dyDescent="0.25">
      <c r="B529" s="114">
        <v>3</v>
      </c>
      <c r="C529" s="114">
        <v>6</v>
      </c>
      <c r="D529" s="114">
        <v>37</v>
      </c>
      <c r="E529" s="154" cm="1">
        <f t="array" ref="E529">IF(ISBLANK(MainData[[#This Row],[EventID]]),0,IFERROR(INDEX(MainData[],MATCH(MainData[[#This Row],[EventID]],IF(MainData[Product]="Date",MainData[EventID],0),0),12),0))</f>
        <v>44588</v>
      </c>
      <c r="F529" s="155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9" s="155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9" s="157" t="s">
        <v>85</v>
      </c>
      <c r="J529" t="s">
        <v>20</v>
      </c>
      <c r="K529" s="2" t="s">
        <v>29</v>
      </c>
      <c r="L529" s="2" t="s">
        <v>65</v>
      </c>
      <c r="M529" s="2" t="s">
        <v>383</v>
      </c>
      <c r="N529" s="2" t="s">
        <v>234</v>
      </c>
      <c r="O529" s="109">
        <v>1</v>
      </c>
      <c r="P529" s="109">
        <v>1.25</v>
      </c>
      <c r="Q529" s="109">
        <v>65.5</v>
      </c>
    </row>
    <row r="530" spans="2:17" x14ac:dyDescent="0.25">
      <c r="B530" s="114">
        <v>3</v>
      </c>
      <c r="C530" s="114">
        <v>6</v>
      </c>
      <c r="D530" s="114">
        <v>37</v>
      </c>
      <c r="E530" s="154" cm="1">
        <f t="array" ref="E530">IF(ISBLANK(MainData[[#This Row],[EventID]]),0,IFERROR(INDEX(MainData[],MATCH(MainData[[#This Row],[EventID]],IF(MainData[Product]="Date",MainData[EventID],0),0),12),0))</f>
        <v>44588</v>
      </c>
      <c r="F530" s="155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30" s="155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30" s="157" t="s">
        <v>85</v>
      </c>
      <c r="J530" t="s">
        <v>20</v>
      </c>
      <c r="K530" s="2" t="s">
        <v>29</v>
      </c>
      <c r="L530" s="2" t="s">
        <v>25</v>
      </c>
      <c r="M530" s="2" t="s">
        <v>388</v>
      </c>
      <c r="N530" s="2" t="s">
        <v>234</v>
      </c>
      <c r="O530" s="109">
        <v>1</v>
      </c>
      <c r="P530" s="109">
        <v>24</v>
      </c>
      <c r="Q530" s="109">
        <v>250</v>
      </c>
    </row>
    <row r="531" spans="2:17" x14ac:dyDescent="0.25">
      <c r="B531" s="114">
        <v>24</v>
      </c>
      <c r="C531" s="114">
        <v>60</v>
      </c>
      <c r="D531" s="114">
        <v>39</v>
      </c>
      <c r="E531" s="154" cm="1">
        <f t="array" ref="E531">IF(ISBLANK(MainData[[#This Row],[EventID]]),0,IFERROR(INDEX(MainData[],MATCH(MainData[[#This Row],[EventID]],IF(MainData[Product]="Date",MainData[EventID],0),0),12),0))</f>
        <v>44588</v>
      </c>
      <c r="F531" s="155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1" s="155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1" s="157" t="s">
        <v>84</v>
      </c>
      <c r="J531" t="s">
        <v>187</v>
      </c>
      <c r="K531" s="2" t="s">
        <v>157</v>
      </c>
      <c r="L531" s="2" t="s">
        <v>81</v>
      </c>
      <c r="M531" s="2">
        <v>1</v>
      </c>
      <c r="N531" s="2"/>
      <c r="O531" s="109"/>
      <c r="P531" s="109"/>
      <c r="Q531" s="109"/>
    </row>
    <row r="532" spans="2:17" x14ac:dyDescent="0.25">
      <c r="B532" s="114">
        <v>24</v>
      </c>
      <c r="C532" s="114">
        <v>60</v>
      </c>
      <c r="D532" s="114">
        <v>39</v>
      </c>
      <c r="E532" s="154" cm="1">
        <f t="array" ref="E532">IF(ISBLANK(MainData[[#This Row],[EventID]]),0,IFERROR(INDEX(MainData[],MATCH(MainData[[#This Row],[EventID]],IF(MainData[Product]="Date",MainData[EventID],0),0),12),0))</f>
        <v>44588</v>
      </c>
      <c r="F532" s="155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2" s="155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2" s="157" t="s">
        <v>84</v>
      </c>
      <c r="J532" t="s">
        <v>187</v>
      </c>
      <c r="K532" s="2" t="s">
        <v>157</v>
      </c>
      <c r="L532" s="2" t="s">
        <v>164</v>
      </c>
      <c r="M532" s="2" t="s">
        <v>429</v>
      </c>
      <c r="N532" s="2"/>
      <c r="O532" s="109"/>
      <c r="P532" s="109"/>
      <c r="Q532" s="109"/>
    </row>
    <row r="533" spans="2:17" x14ac:dyDescent="0.25">
      <c r="B533" s="114">
        <v>24</v>
      </c>
      <c r="C533" s="114">
        <v>60</v>
      </c>
      <c r="D533" s="114">
        <v>39</v>
      </c>
      <c r="E533" s="154" cm="1">
        <f t="array" ref="E533">IF(ISBLANK(MainData[[#This Row],[EventID]]),0,IFERROR(INDEX(MainData[],MATCH(MainData[[#This Row],[EventID]],IF(MainData[Product]="Date",MainData[EventID],0),0),12),0))</f>
        <v>44588</v>
      </c>
      <c r="F533" s="155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3" s="155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3" s="157" t="s">
        <v>84</v>
      </c>
      <c r="J533" t="s">
        <v>187</v>
      </c>
      <c r="K533" s="2" t="s">
        <v>157</v>
      </c>
      <c r="L533" s="2" t="s">
        <v>0</v>
      </c>
      <c r="M533" s="158">
        <v>44588</v>
      </c>
      <c r="N533" s="2"/>
      <c r="O533" s="109"/>
      <c r="P533" s="109"/>
      <c r="Q533" s="109"/>
    </row>
    <row r="534" spans="2:17" x14ac:dyDescent="0.25">
      <c r="B534" s="114">
        <v>24</v>
      </c>
      <c r="C534" s="114">
        <v>60</v>
      </c>
      <c r="D534" s="114">
        <v>39</v>
      </c>
      <c r="E534" s="154" cm="1">
        <f t="array" ref="E534">IF(ISBLANK(MainData[[#This Row],[EventID]]),0,IFERROR(INDEX(MainData[],MATCH(MainData[[#This Row],[EventID]],IF(MainData[Product]="Date",MainData[EventID],0),0),12),0))</f>
        <v>44588</v>
      </c>
      <c r="F534" s="155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4" s="155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4" s="157" t="s">
        <v>84</v>
      </c>
      <c r="J534" t="s">
        <v>187</v>
      </c>
      <c r="K534" s="2" t="s">
        <v>157</v>
      </c>
      <c r="L534" s="2" t="s">
        <v>82</v>
      </c>
      <c r="M534" s="2">
        <v>289042</v>
      </c>
      <c r="N534" s="2"/>
      <c r="O534" s="109"/>
      <c r="P534" s="109"/>
      <c r="Q534" s="109"/>
    </row>
    <row r="535" spans="2:17" x14ac:dyDescent="0.25">
      <c r="B535" s="114">
        <v>24</v>
      </c>
      <c r="C535" s="114">
        <v>60</v>
      </c>
      <c r="D535" s="114">
        <v>39</v>
      </c>
      <c r="E535" s="154" cm="1">
        <f t="array" ref="E535">IF(ISBLANK(MainData[[#This Row],[EventID]]),0,IFERROR(INDEX(MainData[],MATCH(MainData[[#This Row],[EventID]],IF(MainData[Product]="Date",MainData[EventID],0),0),12),0))</f>
        <v>44588</v>
      </c>
      <c r="F535" s="155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5" s="155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5" s="157" t="s">
        <v>84</v>
      </c>
      <c r="J535" t="s">
        <v>187</v>
      </c>
      <c r="K535" s="2" t="s">
        <v>157</v>
      </c>
      <c r="L535" s="2" t="s">
        <v>175</v>
      </c>
      <c r="M535" s="2" t="s">
        <v>457</v>
      </c>
      <c r="N535" s="2"/>
      <c r="O535" s="109"/>
      <c r="P535" s="109"/>
      <c r="Q535" s="109"/>
    </row>
    <row r="536" spans="2:17" x14ac:dyDescent="0.25">
      <c r="B536" s="114">
        <v>24</v>
      </c>
      <c r="C536" s="114">
        <v>60</v>
      </c>
      <c r="D536" s="114">
        <v>39</v>
      </c>
      <c r="E536" s="154" cm="1">
        <f t="array" ref="E536">IF(ISBLANK(MainData[[#This Row],[EventID]]),0,IFERROR(INDEX(MainData[],MATCH(MainData[[#This Row],[EventID]],IF(MainData[Product]="Date",MainData[EventID],0),0),12),0))</f>
        <v>44588</v>
      </c>
      <c r="F536" s="155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6" s="155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6" s="157" t="s">
        <v>84</v>
      </c>
      <c r="J536" t="s">
        <v>187</v>
      </c>
      <c r="K536" s="2" t="s">
        <v>157</v>
      </c>
      <c r="L536" s="2" t="s">
        <v>20</v>
      </c>
      <c r="M536" s="2" t="s">
        <v>360</v>
      </c>
      <c r="N536" s="2"/>
      <c r="O536" s="109"/>
      <c r="P536" s="109"/>
      <c r="Q536" s="109"/>
    </row>
    <row r="537" spans="2:17" x14ac:dyDescent="0.25">
      <c r="B537" s="114">
        <v>24</v>
      </c>
      <c r="C537" s="114">
        <v>60</v>
      </c>
      <c r="D537" s="114">
        <v>39</v>
      </c>
      <c r="E537" s="154" cm="1">
        <f t="array" ref="E537">IF(ISBLANK(MainData[[#This Row],[EventID]]),0,IFERROR(INDEX(MainData[],MATCH(MainData[[#This Row],[EventID]],IF(MainData[Product]="Date",MainData[EventID],0),0),12),0))</f>
        <v>44588</v>
      </c>
      <c r="F537" s="155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7" s="155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7" s="157" t="s">
        <v>84</v>
      </c>
      <c r="J537" t="s">
        <v>187</v>
      </c>
      <c r="K537" s="2" t="s">
        <v>157</v>
      </c>
      <c r="L537" s="2" t="s">
        <v>138</v>
      </c>
      <c r="M537" s="2">
        <v>75</v>
      </c>
      <c r="N537" s="2"/>
      <c r="O537" s="109"/>
      <c r="P537" s="109"/>
      <c r="Q537" s="109"/>
    </row>
    <row r="538" spans="2:17" x14ac:dyDescent="0.25">
      <c r="B538" s="114">
        <v>24</v>
      </c>
      <c r="C538" s="114">
        <v>60</v>
      </c>
      <c r="D538" s="114">
        <v>39</v>
      </c>
      <c r="E538" s="154" cm="1">
        <f t="array" ref="E538">IF(ISBLANK(MainData[[#This Row],[EventID]]),0,IFERROR(INDEX(MainData[],MATCH(MainData[[#This Row],[EventID]],IF(MainData[Product]="Date",MainData[EventID],0),0),12),0))</f>
        <v>44588</v>
      </c>
      <c r="F538" s="155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8" s="155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8" s="157" t="s">
        <v>84</v>
      </c>
      <c r="J538" t="s">
        <v>187</v>
      </c>
      <c r="K538" s="2" t="s">
        <v>157</v>
      </c>
      <c r="L538" s="2" t="s">
        <v>86</v>
      </c>
      <c r="M538" s="2">
        <v>2</v>
      </c>
      <c r="N538" s="2"/>
      <c r="O538" s="109"/>
      <c r="P538" s="109"/>
      <c r="Q538" s="109"/>
    </row>
    <row r="539" spans="2:17" x14ac:dyDescent="0.25">
      <c r="B539" s="114">
        <v>24</v>
      </c>
      <c r="C539" s="114">
        <v>60</v>
      </c>
      <c r="D539" s="114">
        <v>39</v>
      </c>
      <c r="E539" s="154" cm="1">
        <f t="array" ref="E539">IF(ISBLANK(MainData[[#This Row],[EventID]]),0,IFERROR(INDEX(MainData[],MATCH(MainData[[#This Row],[EventID]],IF(MainData[Product]="Date",MainData[EventID],0),0),12),0))</f>
        <v>44588</v>
      </c>
      <c r="F539" s="155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9" s="155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9" s="157" t="s">
        <v>84</v>
      </c>
      <c r="J539" t="s">
        <v>187</v>
      </c>
      <c r="K539" s="2" t="s">
        <v>157</v>
      </c>
      <c r="L539" s="2" t="s">
        <v>118</v>
      </c>
      <c r="M539" s="2" t="s">
        <v>458</v>
      </c>
      <c r="N539" s="2"/>
      <c r="O539" s="109"/>
      <c r="P539" s="109"/>
      <c r="Q539" s="109"/>
    </row>
    <row r="540" spans="2:17" x14ac:dyDescent="0.25">
      <c r="B540" s="114">
        <v>24</v>
      </c>
      <c r="C540" s="114">
        <v>60</v>
      </c>
      <c r="D540" s="114">
        <v>39</v>
      </c>
      <c r="E540" s="154" cm="1">
        <f t="array" ref="E540">IF(ISBLANK(MainData[[#This Row],[EventID]]),0,IFERROR(INDEX(MainData[],MATCH(MainData[[#This Row],[EventID]],IF(MainData[Product]="Date",MainData[EventID],0),0),12),0))</f>
        <v>44588</v>
      </c>
      <c r="F540" s="155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0" s="155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0" s="157" t="s">
        <v>84</v>
      </c>
      <c r="J540" t="s">
        <v>187</v>
      </c>
      <c r="K540" s="2" t="s">
        <v>157</v>
      </c>
      <c r="L540" s="2" t="s">
        <v>165</v>
      </c>
      <c r="M540" s="2" t="s">
        <v>414</v>
      </c>
      <c r="N540" s="2"/>
      <c r="O540" s="109"/>
      <c r="P540" s="109"/>
      <c r="Q540" s="109"/>
    </row>
    <row r="541" spans="2:17" x14ac:dyDescent="0.25">
      <c r="B541" s="114">
        <v>24</v>
      </c>
      <c r="C541" s="114">
        <v>60</v>
      </c>
      <c r="D541" s="114">
        <v>39</v>
      </c>
      <c r="E541" s="154" cm="1">
        <f t="array" ref="E541">IF(ISBLANK(MainData[[#This Row],[EventID]]),0,IFERROR(INDEX(MainData[],MATCH(MainData[[#This Row],[EventID]],IF(MainData[Product]="Date",MainData[EventID],0),0),12),0))</f>
        <v>44588</v>
      </c>
      <c r="F541" s="155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1" s="155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1" s="20" t="s">
        <v>85</v>
      </c>
      <c r="J541" t="s">
        <v>20</v>
      </c>
      <c r="K541" s="2" t="s">
        <v>116</v>
      </c>
      <c r="L541" s="2" t="s">
        <v>88</v>
      </c>
      <c r="M541" s="2" t="s">
        <v>189</v>
      </c>
      <c r="N541" s="2" t="s">
        <v>233</v>
      </c>
      <c r="O541" s="109">
        <v>1</v>
      </c>
      <c r="P541" s="109"/>
      <c r="Q541" s="109"/>
    </row>
    <row r="542" spans="2:17" x14ac:dyDescent="0.25">
      <c r="B542" s="114">
        <v>24</v>
      </c>
      <c r="C542" s="114">
        <v>60</v>
      </c>
      <c r="D542" s="114">
        <v>39</v>
      </c>
      <c r="E542" s="154" cm="1">
        <f t="array" ref="E542">IF(ISBLANK(MainData[[#This Row],[EventID]]),0,IFERROR(INDEX(MainData[],MATCH(MainData[[#This Row],[EventID]],IF(MainData[Product]="Date",MainData[EventID],0),0),12),0))</f>
        <v>44588</v>
      </c>
      <c r="F542" s="155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2" s="155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2" s="20" t="s">
        <v>85</v>
      </c>
      <c r="J542" t="s">
        <v>20</v>
      </c>
      <c r="K542" s="2" t="s">
        <v>116</v>
      </c>
      <c r="L542" s="2" t="s">
        <v>87</v>
      </c>
      <c r="M542" s="2" t="s">
        <v>188</v>
      </c>
      <c r="N542" s="2" t="s">
        <v>233</v>
      </c>
      <c r="O542" s="109">
        <v>1</v>
      </c>
      <c r="P542" s="109"/>
      <c r="Q542" s="109">
        <v>100</v>
      </c>
    </row>
    <row r="543" spans="2:17" x14ac:dyDescent="0.25">
      <c r="B543" s="114">
        <v>24</v>
      </c>
      <c r="C543" s="114">
        <v>60</v>
      </c>
      <c r="D543" s="114">
        <v>39</v>
      </c>
      <c r="E543" s="154" cm="1">
        <f t="array" ref="E543">IF(ISBLANK(MainData[[#This Row],[EventID]]),0,IFERROR(INDEX(MainData[],MATCH(MainData[[#This Row],[EventID]],IF(MainData[Product]="Date",MainData[EventID],0),0),12),0))</f>
        <v>44588</v>
      </c>
      <c r="F543" s="155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3" s="155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3" s="157" t="s">
        <v>85</v>
      </c>
      <c r="J543" t="s">
        <v>20</v>
      </c>
      <c r="K543" s="2" t="s">
        <v>29</v>
      </c>
      <c r="L543" s="2" t="s">
        <v>35</v>
      </c>
      <c r="M543" s="2" t="s">
        <v>382</v>
      </c>
      <c r="N543" s="2" t="s">
        <v>234</v>
      </c>
      <c r="O543" s="109">
        <v>1</v>
      </c>
      <c r="P543" s="109">
        <v>27</v>
      </c>
      <c r="Q543" s="109">
        <v>275</v>
      </c>
    </row>
    <row r="544" spans="2:17" x14ac:dyDescent="0.25">
      <c r="B544" s="114">
        <v>24</v>
      </c>
      <c r="C544" s="114">
        <v>60</v>
      </c>
      <c r="D544" s="114">
        <v>39</v>
      </c>
      <c r="E544" s="154" cm="1">
        <f t="array" ref="E544">IF(ISBLANK(MainData[[#This Row],[EventID]]),0,IFERROR(INDEX(MainData[],MATCH(MainData[[#This Row],[EventID]],IF(MainData[Product]="Date",MainData[EventID],0),0),12),0))</f>
        <v>44588</v>
      </c>
      <c r="F544" s="155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4" s="155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4" s="20" t="s">
        <v>85</v>
      </c>
      <c r="J544" t="s">
        <v>20</v>
      </c>
      <c r="K544" s="2" t="s">
        <v>29</v>
      </c>
      <c r="L544" s="2" t="s">
        <v>36</v>
      </c>
      <c r="M544" s="2" t="s">
        <v>387</v>
      </c>
      <c r="N544" s="2" t="s">
        <v>234</v>
      </c>
      <c r="O544" s="109">
        <v>1</v>
      </c>
      <c r="P544" s="109">
        <v>42.49</v>
      </c>
      <c r="Q544" s="109">
        <v>434</v>
      </c>
    </row>
    <row r="545" spans="2:17" x14ac:dyDescent="0.25">
      <c r="B545" s="114">
        <v>24</v>
      </c>
      <c r="C545" s="114">
        <v>60</v>
      </c>
      <c r="D545" s="114">
        <v>39</v>
      </c>
      <c r="E545" s="154" cm="1">
        <f t="array" ref="E545">IF(ISBLANK(MainData[[#This Row],[EventID]]),0,IFERROR(INDEX(MainData[],MATCH(MainData[[#This Row],[EventID]],IF(MainData[Product]="Date",MainData[EventID],0),0),12),0))</f>
        <v>44588</v>
      </c>
      <c r="F545" s="155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5" s="155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5" s="157" t="s">
        <v>85</v>
      </c>
      <c r="J545" t="s">
        <v>20</v>
      </c>
      <c r="K545" s="2" t="s">
        <v>29</v>
      </c>
      <c r="L545" s="2" t="s">
        <v>65</v>
      </c>
      <c r="M545" s="2" t="s">
        <v>383</v>
      </c>
      <c r="N545" s="2" t="s">
        <v>234</v>
      </c>
      <c r="O545" s="109">
        <v>1</v>
      </c>
      <c r="P545" s="109">
        <v>1.5</v>
      </c>
      <c r="Q545" s="109">
        <v>78.5</v>
      </c>
    </row>
    <row r="546" spans="2:17" x14ac:dyDescent="0.25">
      <c r="B546" s="114">
        <v>24</v>
      </c>
      <c r="C546" s="114">
        <v>60</v>
      </c>
      <c r="D546" s="114">
        <v>39</v>
      </c>
      <c r="E546" s="154" cm="1">
        <f t="array" ref="E546">IF(ISBLANK(MainData[[#This Row],[EventID]]),0,IFERROR(INDEX(MainData[],MATCH(MainData[[#This Row],[EventID]],IF(MainData[Product]="Date",MainData[EventID],0),0),12),0))</f>
        <v>44588</v>
      </c>
      <c r="F546" s="155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6" s="155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6" s="157" t="s">
        <v>85</v>
      </c>
      <c r="J546" t="s">
        <v>20</v>
      </c>
      <c r="K546" s="2" t="s">
        <v>29</v>
      </c>
      <c r="L546" s="2" t="s">
        <v>25</v>
      </c>
      <c r="M546" s="2" t="s">
        <v>388</v>
      </c>
      <c r="N546" s="2" t="s">
        <v>234</v>
      </c>
      <c r="O546" s="109">
        <v>1</v>
      </c>
      <c r="P546" s="109">
        <v>12.5</v>
      </c>
      <c r="Q546" s="109">
        <v>125</v>
      </c>
    </row>
    <row r="547" spans="2:17" x14ac:dyDescent="0.25">
      <c r="B547" s="114">
        <v>11</v>
      </c>
      <c r="C547" s="114">
        <v>20</v>
      </c>
      <c r="D547" s="114">
        <v>41</v>
      </c>
      <c r="E547" s="154" cm="1">
        <f t="array" ref="E547">IF(ISBLANK(MainData[[#This Row],[EventID]]),0,IFERROR(INDEX(MainData[],MATCH(MainData[[#This Row],[EventID]],IF(MainData[Product]="Date",MainData[EventID],0),0),12),0))</f>
        <v>44589</v>
      </c>
      <c r="F547" s="155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7" s="155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7" s="157" t="s">
        <v>84</v>
      </c>
      <c r="J547" t="s">
        <v>187</v>
      </c>
      <c r="K547" s="2" t="s">
        <v>157</v>
      </c>
      <c r="L547" s="2" t="s">
        <v>81</v>
      </c>
      <c r="M547" s="2">
        <v>1</v>
      </c>
      <c r="N547" s="2"/>
      <c r="O547" s="109"/>
      <c r="P547" s="109"/>
      <c r="Q547" s="109"/>
    </row>
    <row r="548" spans="2:17" x14ac:dyDescent="0.25">
      <c r="B548" s="114">
        <v>11</v>
      </c>
      <c r="C548" s="114">
        <v>20</v>
      </c>
      <c r="D548" s="114">
        <v>41</v>
      </c>
      <c r="E548" s="154" cm="1">
        <f t="array" ref="E548">IF(ISBLANK(MainData[[#This Row],[EventID]]),0,IFERROR(INDEX(MainData[],MATCH(MainData[[#This Row],[EventID]],IF(MainData[Product]="Date",MainData[EventID],0),0),12),0))</f>
        <v>44589</v>
      </c>
      <c r="F548" s="155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8" s="155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8" s="157" t="s">
        <v>84</v>
      </c>
      <c r="J548" t="s">
        <v>187</v>
      </c>
      <c r="K548" s="2" t="s">
        <v>157</v>
      </c>
      <c r="L548" s="2" t="s">
        <v>164</v>
      </c>
      <c r="M548" s="2" t="s">
        <v>449</v>
      </c>
      <c r="N548" s="2"/>
      <c r="O548" s="109"/>
      <c r="P548" s="109"/>
      <c r="Q548" s="109"/>
    </row>
    <row r="549" spans="2:17" x14ac:dyDescent="0.25">
      <c r="B549" s="114">
        <v>11</v>
      </c>
      <c r="C549" s="114">
        <v>20</v>
      </c>
      <c r="D549" s="114">
        <v>41</v>
      </c>
      <c r="E549" s="154" cm="1">
        <f t="array" ref="E549">IF(ISBLANK(MainData[[#This Row],[EventID]]),0,IFERROR(INDEX(MainData[],MATCH(MainData[[#This Row],[EventID]],IF(MainData[Product]="Date",MainData[EventID],0),0),12),0))</f>
        <v>44589</v>
      </c>
      <c r="F549" s="155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9" s="155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9" s="157" t="s">
        <v>84</v>
      </c>
      <c r="J549" t="s">
        <v>187</v>
      </c>
      <c r="K549" s="2" t="s">
        <v>157</v>
      </c>
      <c r="L549" s="2" t="s">
        <v>0</v>
      </c>
      <c r="M549" s="158">
        <v>44589</v>
      </c>
      <c r="N549" s="2"/>
      <c r="O549" s="109"/>
      <c r="P549" s="109"/>
      <c r="Q549" s="109"/>
    </row>
    <row r="550" spans="2:17" x14ac:dyDescent="0.25">
      <c r="B550" s="114">
        <v>11</v>
      </c>
      <c r="C550" s="114">
        <v>20</v>
      </c>
      <c r="D550" s="114">
        <v>41</v>
      </c>
      <c r="E550" s="154" cm="1">
        <f t="array" ref="E550">IF(ISBLANK(MainData[[#This Row],[EventID]]),0,IFERROR(INDEX(MainData[],MATCH(MainData[[#This Row],[EventID]],IF(MainData[Product]="Date",MainData[EventID],0),0),12),0))</f>
        <v>44589</v>
      </c>
      <c r="F550" s="155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0" s="155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0" s="157" t="s">
        <v>84</v>
      </c>
      <c r="J550" t="s">
        <v>187</v>
      </c>
      <c r="K550" s="2" t="s">
        <v>157</v>
      </c>
      <c r="L550" s="2" t="s">
        <v>82</v>
      </c>
      <c r="M550" s="2">
        <v>117547</v>
      </c>
      <c r="N550" s="2"/>
      <c r="O550" s="109"/>
      <c r="P550" s="109"/>
      <c r="Q550" s="109"/>
    </row>
    <row r="551" spans="2:17" x14ac:dyDescent="0.25">
      <c r="B551" s="114">
        <v>11</v>
      </c>
      <c r="C551" s="114">
        <v>20</v>
      </c>
      <c r="D551" s="114">
        <v>41</v>
      </c>
      <c r="E551" s="154" cm="1">
        <f t="array" ref="E551">IF(ISBLANK(MainData[[#This Row],[EventID]]),0,IFERROR(INDEX(MainData[],MATCH(MainData[[#This Row],[EventID]],IF(MainData[Product]="Date",MainData[EventID],0),0),12),0))</f>
        <v>44589</v>
      </c>
      <c r="F551" s="155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1" s="155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1" s="157" t="s">
        <v>84</v>
      </c>
      <c r="J551" t="s">
        <v>187</v>
      </c>
      <c r="K551" s="2" t="s">
        <v>157</v>
      </c>
      <c r="L551" s="2" t="s">
        <v>175</v>
      </c>
      <c r="M551" s="2" t="s">
        <v>459</v>
      </c>
      <c r="N551" s="2"/>
      <c r="O551" s="109"/>
      <c r="P551" s="109"/>
      <c r="Q551" s="109"/>
    </row>
    <row r="552" spans="2:17" x14ac:dyDescent="0.25">
      <c r="B552" s="114">
        <v>11</v>
      </c>
      <c r="C552" s="114">
        <v>20</v>
      </c>
      <c r="D552" s="114">
        <v>41</v>
      </c>
      <c r="E552" s="154" cm="1">
        <f t="array" ref="E552">IF(ISBLANK(MainData[[#This Row],[EventID]]),0,IFERROR(INDEX(MainData[],MATCH(MainData[[#This Row],[EventID]],IF(MainData[Product]="Date",MainData[EventID],0),0),12),0))</f>
        <v>44589</v>
      </c>
      <c r="F552" s="155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2" s="155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2" s="157" t="s">
        <v>84</v>
      </c>
      <c r="J552" t="s">
        <v>187</v>
      </c>
      <c r="K552" s="2" t="s">
        <v>157</v>
      </c>
      <c r="L552" s="2" t="s">
        <v>20</v>
      </c>
      <c r="M552" s="2" t="s">
        <v>516</v>
      </c>
      <c r="N552" s="2"/>
      <c r="O552" s="109"/>
      <c r="P552" s="109"/>
      <c r="Q552" s="109"/>
    </row>
    <row r="553" spans="2:17" x14ac:dyDescent="0.25">
      <c r="B553" s="114">
        <v>11</v>
      </c>
      <c r="C553" s="114">
        <v>20</v>
      </c>
      <c r="D553" s="114">
        <v>41</v>
      </c>
      <c r="E553" s="154" cm="1">
        <f t="array" ref="E553">IF(ISBLANK(MainData[[#This Row],[EventID]]),0,IFERROR(INDEX(MainData[],MATCH(MainData[[#This Row],[EventID]],IF(MainData[Product]="Date",MainData[EventID],0),0),12),0))</f>
        <v>44589</v>
      </c>
      <c r="F553" s="155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3" s="155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3" s="157" t="s">
        <v>84</v>
      </c>
      <c r="J553" t="s">
        <v>187</v>
      </c>
      <c r="K553" s="2" t="s">
        <v>157</v>
      </c>
      <c r="L553" s="2" t="s">
        <v>138</v>
      </c>
      <c r="M553" s="2">
        <v>25</v>
      </c>
      <c r="N553" s="2"/>
      <c r="O553" s="109"/>
      <c r="P553" s="109"/>
      <c r="Q553" s="109"/>
    </row>
    <row r="554" spans="2:17" x14ac:dyDescent="0.25">
      <c r="B554" s="114">
        <v>11</v>
      </c>
      <c r="C554" s="114">
        <v>20</v>
      </c>
      <c r="D554" s="114">
        <v>41</v>
      </c>
      <c r="E554" s="154" cm="1">
        <f t="array" ref="E554">IF(ISBLANK(MainData[[#This Row],[EventID]]),0,IFERROR(INDEX(MainData[],MATCH(MainData[[#This Row],[EventID]],IF(MainData[Product]="Date",MainData[EventID],0),0),12),0))</f>
        <v>44589</v>
      </c>
      <c r="F554" s="155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4" s="155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4" s="157" t="s">
        <v>84</v>
      </c>
      <c r="J554" t="s">
        <v>187</v>
      </c>
      <c r="K554" s="2" t="s">
        <v>157</v>
      </c>
      <c r="L554" s="2" t="s">
        <v>86</v>
      </c>
      <c r="M554" s="2">
        <v>12</v>
      </c>
      <c r="N554" s="2"/>
      <c r="O554" s="109"/>
      <c r="P554" s="109"/>
      <c r="Q554" s="109"/>
    </row>
    <row r="555" spans="2:17" x14ac:dyDescent="0.25">
      <c r="B555" s="114">
        <v>11</v>
      </c>
      <c r="C555" s="114">
        <v>20</v>
      </c>
      <c r="D555" s="114">
        <v>41</v>
      </c>
      <c r="E555" s="154" cm="1">
        <f t="array" ref="E555">IF(ISBLANK(MainData[[#This Row],[EventID]]),0,IFERROR(INDEX(MainData[],MATCH(MainData[[#This Row],[EventID]],IF(MainData[Product]="Date",MainData[EventID],0),0),12),0))</f>
        <v>44589</v>
      </c>
      <c r="F555" s="155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5" s="155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5" s="157" t="s">
        <v>84</v>
      </c>
      <c r="J555" t="s">
        <v>187</v>
      </c>
      <c r="K555" s="2" t="s">
        <v>157</v>
      </c>
      <c r="L555" s="2" t="s">
        <v>118</v>
      </c>
      <c r="M555" s="2" t="s">
        <v>460</v>
      </c>
      <c r="N555" s="2"/>
      <c r="O555" s="109"/>
      <c r="P555" s="109"/>
      <c r="Q555" s="109"/>
    </row>
    <row r="556" spans="2:17" x14ac:dyDescent="0.25">
      <c r="B556" s="114">
        <v>11</v>
      </c>
      <c r="C556" s="114">
        <v>20</v>
      </c>
      <c r="D556" s="114">
        <v>41</v>
      </c>
      <c r="E556" s="154" cm="1">
        <f t="array" ref="E556">IF(ISBLANK(MainData[[#This Row],[EventID]]),0,IFERROR(INDEX(MainData[],MATCH(MainData[[#This Row],[EventID]],IF(MainData[Product]="Date",MainData[EventID],0),0),12),0))</f>
        <v>44589</v>
      </c>
      <c r="F556" s="155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6" s="155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6" s="157" t="s">
        <v>84</v>
      </c>
      <c r="J556" t="s">
        <v>187</v>
      </c>
      <c r="K556" s="2" t="s">
        <v>157</v>
      </c>
      <c r="L556" s="2" t="s">
        <v>165</v>
      </c>
      <c r="M556" s="2" t="s">
        <v>406</v>
      </c>
      <c r="N556" s="2"/>
      <c r="O556" s="109"/>
      <c r="P556" s="109"/>
      <c r="Q556" s="109"/>
    </row>
    <row r="557" spans="2:17" x14ac:dyDescent="0.25">
      <c r="B557" s="114">
        <v>11</v>
      </c>
      <c r="C557" s="114">
        <v>20</v>
      </c>
      <c r="D557" s="114">
        <v>41</v>
      </c>
      <c r="E557" s="154" cm="1">
        <f t="array" ref="E557">IF(ISBLANK(MainData[[#This Row],[EventID]]),0,IFERROR(INDEX(MainData[],MATCH(MainData[[#This Row],[EventID]],IF(MainData[Product]="Date",MainData[EventID],0),0),12),0))</f>
        <v>44589</v>
      </c>
      <c r="F557" s="155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7" s="155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7" s="20" t="s">
        <v>85</v>
      </c>
      <c r="J557" t="s">
        <v>20</v>
      </c>
      <c r="K557" s="2" t="s">
        <v>116</v>
      </c>
      <c r="L557" s="2" t="s">
        <v>88</v>
      </c>
      <c r="M557" s="2" t="s">
        <v>189</v>
      </c>
      <c r="N557" s="2" t="s">
        <v>233</v>
      </c>
      <c r="O557" s="109">
        <v>1</v>
      </c>
      <c r="P557" s="109"/>
      <c r="Q557" s="109"/>
    </row>
    <row r="558" spans="2:17" x14ac:dyDescent="0.25">
      <c r="B558" s="114">
        <v>11</v>
      </c>
      <c r="C558" s="114">
        <v>20</v>
      </c>
      <c r="D558" s="114">
        <v>41</v>
      </c>
      <c r="E558" s="154" cm="1">
        <f t="array" ref="E558">IF(ISBLANK(MainData[[#This Row],[EventID]]),0,IFERROR(INDEX(MainData[],MATCH(MainData[[#This Row],[EventID]],IF(MainData[Product]="Date",MainData[EventID],0),0),12),0))</f>
        <v>44589</v>
      </c>
      <c r="F558" s="155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8" s="155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8" s="20" t="s">
        <v>85</v>
      </c>
      <c r="J558" t="s">
        <v>20</v>
      </c>
      <c r="K558" s="2" t="s">
        <v>116</v>
      </c>
      <c r="L558" s="2" t="s">
        <v>152</v>
      </c>
      <c r="M558" s="2" t="s">
        <v>198</v>
      </c>
      <c r="N558" s="2" t="s">
        <v>233</v>
      </c>
      <c r="O558" s="109">
        <v>1</v>
      </c>
      <c r="P558" s="109"/>
      <c r="Q558" s="109"/>
    </row>
    <row r="559" spans="2:17" x14ac:dyDescent="0.25">
      <c r="B559" s="114">
        <v>11</v>
      </c>
      <c r="C559" s="114">
        <v>20</v>
      </c>
      <c r="D559" s="114">
        <v>41</v>
      </c>
      <c r="E559" s="154" cm="1">
        <f t="array" ref="E559">IF(ISBLANK(MainData[[#This Row],[EventID]]),0,IFERROR(INDEX(MainData[],MATCH(MainData[[#This Row],[EventID]],IF(MainData[Product]="Date",MainData[EventID],0),0),12),0))</f>
        <v>44589</v>
      </c>
      <c r="F559" s="155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9" s="155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9" s="20" t="s">
        <v>85</v>
      </c>
      <c r="J559" t="s">
        <v>20</v>
      </c>
      <c r="K559" s="2" t="s">
        <v>29</v>
      </c>
      <c r="L559" s="2" t="s">
        <v>156</v>
      </c>
      <c r="M559" s="2" t="s">
        <v>199</v>
      </c>
      <c r="N559" s="2" t="s">
        <v>233</v>
      </c>
      <c r="O559" s="109">
        <v>1</v>
      </c>
      <c r="P559" s="109">
        <v>0.01</v>
      </c>
      <c r="Q559" s="109">
        <v>50</v>
      </c>
    </row>
    <row r="560" spans="2:17" x14ac:dyDescent="0.25">
      <c r="B560" s="114">
        <v>17</v>
      </c>
      <c r="C560" s="114">
        <v>45</v>
      </c>
      <c r="D560" s="114">
        <v>42</v>
      </c>
      <c r="E560" s="154" cm="1">
        <f t="array" ref="E560">IF(ISBLANK(MainData[[#This Row],[EventID]]),0,IFERROR(INDEX(MainData[],MATCH(MainData[[#This Row],[EventID]],IF(MainData[Product]="Date",MainData[EventID],0),0),12),0))</f>
        <v>44589</v>
      </c>
      <c r="F560" s="155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0" s="155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0" s="157" t="s">
        <v>84</v>
      </c>
      <c r="J560" t="s">
        <v>187</v>
      </c>
      <c r="K560" s="2" t="s">
        <v>157</v>
      </c>
      <c r="L560" s="2" t="s">
        <v>81</v>
      </c>
      <c r="M560" s="2">
        <v>1</v>
      </c>
      <c r="N560" s="2"/>
      <c r="O560" s="109"/>
      <c r="P560" s="109"/>
      <c r="Q560" s="109"/>
    </row>
    <row r="561" spans="2:17" x14ac:dyDescent="0.25">
      <c r="B561" s="114">
        <v>17</v>
      </c>
      <c r="C561" s="114">
        <v>45</v>
      </c>
      <c r="D561" s="114">
        <v>42</v>
      </c>
      <c r="E561" s="154" cm="1">
        <f t="array" ref="E561">IF(ISBLANK(MainData[[#This Row],[EventID]]),0,IFERROR(INDEX(MainData[],MATCH(MainData[[#This Row],[EventID]],IF(MainData[Product]="Date",MainData[EventID],0),0),12),0))</f>
        <v>44589</v>
      </c>
      <c r="F561" s="155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1" s="155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1" s="157" t="s">
        <v>84</v>
      </c>
      <c r="J561" t="s">
        <v>187</v>
      </c>
      <c r="K561" s="2" t="s">
        <v>157</v>
      </c>
      <c r="L561" s="2" t="s">
        <v>164</v>
      </c>
      <c r="M561" s="2" t="s">
        <v>422</v>
      </c>
      <c r="N561" s="2"/>
      <c r="O561" s="109"/>
      <c r="P561" s="109"/>
      <c r="Q561" s="109"/>
    </row>
    <row r="562" spans="2:17" x14ac:dyDescent="0.25">
      <c r="B562" s="114">
        <v>17</v>
      </c>
      <c r="C562" s="114">
        <v>45</v>
      </c>
      <c r="D562" s="114">
        <v>42</v>
      </c>
      <c r="E562" s="154" cm="1">
        <f t="array" ref="E562">IF(ISBLANK(MainData[[#This Row],[EventID]]),0,IFERROR(INDEX(MainData[],MATCH(MainData[[#This Row],[EventID]],IF(MainData[Product]="Date",MainData[EventID],0),0),12),0))</f>
        <v>44589</v>
      </c>
      <c r="F562" s="155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2" s="155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2" s="157" t="s">
        <v>84</v>
      </c>
      <c r="J562" t="s">
        <v>187</v>
      </c>
      <c r="K562" s="2" t="s">
        <v>157</v>
      </c>
      <c r="L562" s="2" t="s">
        <v>0</v>
      </c>
      <c r="M562" s="158">
        <v>44589</v>
      </c>
      <c r="N562" s="2"/>
      <c r="O562" s="109"/>
      <c r="P562" s="109"/>
      <c r="Q562" s="109"/>
    </row>
    <row r="563" spans="2:17" x14ac:dyDescent="0.25">
      <c r="B563" s="114">
        <v>17</v>
      </c>
      <c r="C563" s="114">
        <v>45</v>
      </c>
      <c r="D563" s="114">
        <v>42</v>
      </c>
      <c r="E563" s="154" cm="1">
        <f t="array" ref="E563">IF(ISBLANK(MainData[[#This Row],[EventID]]),0,IFERROR(INDEX(MainData[],MATCH(MainData[[#This Row],[EventID]],IF(MainData[Product]="Date",MainData[EventID],0),0),12),0))</f>
        <v>44589</v>
      </c>
      <c r="F563" s="155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3" s="155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3" s="157" t="s">
        <v>84</v>
      </c>
      <c r="J563" t="s">
        <v>187</v>
      </c>
      <c r="K563" s="2" t="s">
        <v>157</v>
      </c>
      <c r="L563" s="2" t="s">
        <v>82</v>
      </c>
      <c r="M563" s="2">
        <v>213830</v>
      </c>
      <c r="N563" s="2"/>
      <c r="O563" s="109"/>
      <c r="P563" s="109"/>
      <c r="Q563" s="109"/>
    </row>
    <row r="564" spans="2:17" x14ac:dyDescent="0.25">
      <c r="B564" s="114">
        <v>17</v>
      </c>
      <c r="C564" s="114">
        <v>45</v>
      </c>
      <c r="D564" s="114">
        <v>42</v>
      </c>
      <c r="E564" s="154" cm="1">
        <f t="array" ref="E564">IF(ISBLANK(MainData[[#This Row],[EventID]]),0,IFERROR(INDEX(MainData[],MATCH(MainData[[#This Row],[EventID]],IF(MainData[Product]="Date",MainData[EventID],0),0),12),0))</f>
        <v>44589</v>
      </c>
      <c r="F564" s="155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4" s="155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4" s="157" t="s">
        <v>84</v>
      </c>
      <c r="J564" t="s">
        <v>187</v>
      </c>
      <c r="K564" s="2" t="s">
        <v>157</v>
      </c>
      <c r="L564" s="2" t="s">
        <v>175</v>
      </c>
      <c r="M564" s="2" t="s">
        <v>457</v>
      </c>
      <c r="N564" s="2"/>
      <c r="O564" s="109"/>
      <c r="P564" s="109"/>
      <c r="Q564" s="109"/>
    </row>
    <row r="565" spans="2:17" x14ac:dyDescent="0.25">
      <c r="B565" s="114">
        <v>17</v>
      </c>
      <c r="C565" s="114">
        <v>45</v>
      </c>
      <c r="D565" s="114">
        <v>42</v>
      </c>
      <c r="E565" s="154" cm="1">
        <f t="array" ref="E565">IF(ISBLANK(MainData[[#This Row],[EventID]]),0,IFERROR(INDEX(MainData[],MATCH(MainData[[#This Row],[EventID]],IF(MainData[Product]="Date",MainData[EventID],0),0),12),0))</f>
        <v>44589</v>
      </c>
      <c r="F565" s="155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5" s="155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5" s="157" t="s">
        <v>84</v>
      </c>
      <c r="J565" t="s">
        <v>187</v>
      </c>
      <c r="K565" s="2" t="s">
        <v>157</v>
      </c>
      <c r="L565" s="2" t="s">
        <v>20</v>
      </c>
      <c r="M565" s="2" t="s">
        <v>371</v>
      </c>
      <c r="N565" s="2"/>
      <c r="O565" s="109"/>
      <c r="P565" s="109"/>
      <c r="Q565" s="109"/>
    </row>
    <row r="566" spans="2:17" x14ac:dyDescent="0.25">
      <c r="B566" s="114">
        <v>17</v>
      </c>
      <c r="C566" s="114">
        <v>45</v>
      </c>
      <c r="D566" s="114">
        <v>42</v>
      </c>
      <c r="E566" s="154" cm="1">
        <f t="array" ref="E566">IF(ISBLANK(MainData[[#This Row],[EventID]]),0,IFERROR(INDEX(MainData[],MATCH(MainData[[#This Row],[EventID]],IF(MainData[Product]="Date",MainData[EventID],0),0),12),0))</f>
        <v>44589</v>
      </c>
      <c r="F566" s="155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6" s="155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6" s="157" t="s">
        <v>84</v>
      </c>
      <c r="J566" t="s">
        <v>187</v>
      </c>
      <c r="K566" s="2" t="s">
        <v>157</v>
      </c>
      <c r="L566" s="2" t="s">
        <v>138</v>
      </c>
      <c r="M566" s="2">
        <v>145</v>
      </c>
      <c r="N566" s="2"/>
      <c r="O566" s="109"/>
      <c r="P566" s="109"/>
      <c r="Q566" s="109"/>
    </row>
    <row r="567" spans="2:17" x14ac:dyDescent="0.25">
      <c r="B567" s="114">
        <v>17</v>
      </c>
      <c r="C567" s="114">
        <v>45</v>
      </c>
      <c r="D567" s="114">
        <v>42</v>
      </c>
      <c r="E567" s="154" cm="1">
        <f t="array" ref="E567">IF(ISBLANK(MainData[[#This Row],[EventID]]),0,IFERROR(INDEX(MainData[],MATCH(MainData[[#This Row],[EventID]],IF(MainData[Product]="Date",MainData[EventID],0),0),12),0))</f>
        <v>44589</v>
      </c>
      <c r="F567" s="155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7" s="155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7" s="157" t="s">
        <v>84</v>
      </c>
      <c r="J567" t="s">
        <v>187</v>
      </c>
      <c r="K567" s="2" t="s">
        <v>157</v>
      </c>
      <c r="L567" s="2" t="s">
        <v>86</v>
      </c>
      <c r="M567" s="2">
        <v>3</v>
      </c>
      <c r="N567" s="2"/>
      <c r="O567" s="109"/>
      <c r="P567" s="109"/>
      <c r="Q567" s="109"/>
    </row>
    <row r="568" spans="2:17" x14ac:dyDescent="0.25">
      <c r="B568" s="114">
        <v>17</v>
      </c>
      <c r="C568" s="114">
        <v>45</v>
      </c>
      <c r="D568" s="114">
        <v>42</v>
      </c>
      <c r="E568" s="154" cm="1">
        <f t="array" ref="E568">IF(ISBLANK(MainData[[#This Row],[EventID]]),0,IFERROR(INDEX(MainData[],MATCH(MainData[[#This Row],[EventID]],IF(MainData[Product]="Date",MainData[EventID],0),0),12),0))</f>
        <v>44589</v>
      </c>
      <c r="F568" s="155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8" s="155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8" s="157" t="s">
        <v>84</v>
      </c>
      <c r="J568" t="s">
        <v>187</v>
      </c>
      <c r="K568" s="2" t="s">
        <v>157</v>
      </c>
      <c r="L568" s="2" t="s">
        <v>118</v>
      </c>
      <c r="M568" s="2" t="s">
        <v>471</v>
      </c>
      <c r="N568" s="2"/>
      <c r="O568" s="109"/>
      <c r="P568" s="109"/>
      <c r="Q568" s="109"/>
    </row>
    <row r="569" spans="2:17" x14ac:dyDescent="0.25">
      <c r="B569" s="114">
        <v>17</v>
      </c>
      <c r="C569" s="114">
        <v>45</v>
      </c>
      <c r="D569" s="114">
        <v>42</v>
      </c>
      <c r="E569" s="154" cm="1">
        <f t="array" ref="E569">IF(ISBLANK(MainData[[#This Row],[EventID]]),0,IFERROR(INDEX(MainData[],MATCH(MainData[[#This Row],[EventID]],IF(MainData[Product]="Date",MainData[EventID],0),0),12),0))</f>
        <v>44589</v>
      </c>
      <c r="F569" s="155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9" s="155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9" s="157" t="s">
        <v>84</v>
      </c>
      <c r="J569" t="s">
        <v>187</v>
      </c>
      <c r="K569" s="2" t="s">
        <v>157</v>
      </c>
      <c r="L569" s="2" t="s">
        <v>165</v>
      </c>
      <c r="M569" s="2" t="s">
        <v>401</v>
      </c>
      <c r="N569" s="2"/>
      <c r="O569" s="109"/>
      <c r="P569" s="109"/>
      <c r="Q569" s="109"/>
    </row>
    <row r="570" spans="2:17" x14ac:dyDescent="0.25">
      <c r="B570" s="114">
        <v>17</v>
      </c>
      <c r="C570" s="114">
        <v>45</v>
      </c>
      <c r="D570" s="114">
        <v>42</v>
      </c>
      <c r="E570" s="154" cm="1">
        <f t="array" ref="E570">IF(ISBLANK(MainData[[#This Row],[EventID]]),0,IFERROR(INDEX(MainData[],MATCH(MainData[[#This Row],[EventID]],IF(MainData[Product]="Date",MainData[EventID],0),0),12),0))</f>
        <v>44589</v>
      </c>
      <c r="F570" s="155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0" s="155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0" s="20" t="s">
        <v>85</v>
      </c>
      <c r="J570" t="s">
        <v>20</v>
      </c>
      <c r="K570" s="2" t="s">
        <v>116</v>
      </c>
      <c r="L570" s="2" t="s">
        <v>88</v>
      </c>
      <c r="M570" s="2" t="s">
        <v>189</v>
      </c>
      <c r="N570" s="2" t="s">
        <v>233</v>
      </c>
      <c r="O570" s="109">
        <v>1</v>
      </c>
      <c r="P570" s="109"/>
      <c r="Q570" s="109"/>
    </row>
    <row r="571" spans="2:17" x14ac:dyDescent="0.25">
      <c r="B571" s="114">
        <v>17</v>
      </c>
      <c r="C571" s="114">
        <v>45</v>
      </c>
      <c r="D571" s="114">
        <v>42</v>
      </c>
      <c r="E571" s="154" cm="1">
        <f t="array" ref="E571">IF(ISBLANK(MainData[[#This Row],[EventID]]),0,IFERROR(INDEX(MainData[],MATCH(MainData[[#This Row],[EventID]],IF(MainData[Product]="Date",MainData[EventID],0),0),12),0))</f>
        <v>44589</v>
      </c>
      <c r="F571" s="155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1" s="155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1" s="20" t="s">
        <v>85</v>
      </c>
      <c r="J571" t="s">
        <v>20</v>
      </c>
      <c r="K571" s="2" t="s">
        <v>116</v>
      </c>
      <c r="L571" s="2" t="s">
        <v>87</v>
      </c>
      <c r="M571" s="2" t="s">
        <v>188</v>
      </c>
      <c r="N571" s="2" t="s">
        <v>233</v>
      </c>
      <c r="O571" s="109">
        <v>2</v>
      </c>
      <c r="P571" s="109"/>
      <c r="Q571" s="109">
        <v>200</v>
      </c>
    </row>
    <row r="572" spans="2:17" x14ac:dyDescent="0.25">
      <c r="B572" s="114">
        <v>17</v>
      </c>
      <c r="C572" s="114">
        <v>45</v>
      </c>
      <c r="D572" s="114">
        <v>42</v>
      </c>
      <c r="E572" s="154" cm="1">
        <f t="array" ref="E572">IF(ISBLANK(MainData[[#This Row],[EventID]]),0,IFERROR(INDEX(MainData[],MATCH(MainData[[#This Row],[EventID]],IF(MainData[Product]="Date",MainData[EventID],0),0),12),0))</f>
        <v>44589</v>
      </c>
      <c r="F572" s="155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2" s="155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2" s="157" t="s">
        <v>85</v>
      </c>
      <c r="J572" t="s">
        <v>20</v>
      </c>
      <c r="K572" s="2" t="s">
        <v>29</v>
      </c>
      <c r="L572" s="2" t="s">
        <v>35</v>
      </c>
      <c r="M572" s="2" t="s">
        <v>382</v>
      </c>
      <c r="N572" s="2" t="s">
        <v>234</v>
      </c>
      <c r="O572" s="109">
        <v>2</v>
      </c>
      <c r="P572" s="109">
        <v>450</v>
      </c>
      <c r="Q572" s="109">
        <v>4445</v>
      </c>
    </row>
    <row r="573" spans="2:17" x14ac:dyDescent="0.25">
      <c r="B573" s="114">
        <v>17</v>
      </c>
      <c r="C573" s="114">
        <v>45</v>
      </c>
      <c r="D573" s="114">
        <v>42</v>
      </c>
      <c r="E573" s="154" cm="1">
        <f t="array" ref="E573">IF(ISBLANK(MainData[[#This Row],[EventID]]),0,IFERROR(INDEX(MainData[],MATCH(MainData[[#This Row],[EventID]],IF(MainData[Product]="Date",MainData[EventID],0),0),12),0))</f>
        <v>44589</v>
      </c>
      <c r="F573" s="155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3" s="155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3" s="157" t="s">
        <v>85</v>
      </c>
      <c r="J573" t="s">
        <v>20</v>
      </c>
      <c r="K573" s="2" t="s">
        <v>29</v>
      </c>
      <c r="L573" s="2" t="s">
        <v>65</v>
      </c>
      <c r="M573" s="2" t="s">
        <v>383</v>
      </c>
      <c r="N573" s="2" t="s">
        <v>234</v>
      </c>
      <c r="O573" s="109">
        <v>2</v>
      </c>
      <c r="P573" s="109">
        <v>1.5</v>
      </c>
      <c r="Q573" s="109">
        <v>45</v>
      </c>
    </row>
    <row r="574" spans="2:17" x14ac:dyDescent="0.25">
      <c r="B574" s="114">
        <v>17</v>
      </c>
      <c r="C574" s="114">
        <v>45</v>
      </c>
      <c r="D574" s="114">
        <v>42</v>
      </c>
      <c r="E574" s="154" cm="1">
        <f t="array" ref="E574">IF(ISBLANK(MainData[[#This Row],[EventID]]),0,IFERROR(INDEX(MainData[],MATCH(MainData[[#This Row],[EventID]],IF(MainData[Product]="Date",MainData[EventID],0),0),12),0))</f>
        <v>44589</v>
      </c>
      <c r="F574" s="155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4" s="155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4" s="20" t="s">
        <v>85</v>
      </c>
      <c r="J574" t="s">
        <v>20</v>
      </c>
      <c r="K574" s="2" t="s">
        <v>29</v>
      </c>
      <c r="L574" s="2" t="s">
        <v>25</v>
      </c>
      <c r="M574" s="2" t="s">
        <v>388</v>
      </c>
      <c r="N574" s="2" t="s">
        <v>234</v>
      </c>
      <c r="O574" s="109">
        <v>2</v>
      </c>
      <c r="P574" s="109">
        <v>311.10000000000002</v>
      </c>
      <c r="Q574" s="109">
        <v>4003</v>
      </c>
    </row>
    <row r="575" spans="2:17" x14ac:dyDescent="0.25">
      <c r="B575" s="114">
        <v>3</v>
      </c>
      <c r="C575" s="114">
        <v>4</v>
      </c>
      <c r="D575" s="114">
        <v>40</v>
      </c>
      <c r="E575" s="154" cm="1">
        <f t="array" ref="E575">IF(ISBLANK(MainData[[#This Row],[EventID]]),0,IFERROR(INDEX(MainData[],MATCH(MainData[[#This Row],[EventID]],IF(MainData[Product]="Date",MainData[EventID],0),0),12),0))</f>
        <v>44589</v>
      </c>
      <c r="F575" s="155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5" s="155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5" s="157" t="s">
        <v>84</v>
      </c>
      <c r="J575" t="s">
        <v>187</v>
      </c>
      <c r="K575" s="2" t="s">
        <v>157</v>
      </c>
      <c r="L575" s="2" t="s">
        <v>81</v>
      </c>
      <c r="M575" s="2">
        <v>1</v>
      </c>
      <c r="N575" s="2"/>
      <c r="O575" s="109"/>
      <c r="P575" s="109"/>
      <c r="Q575" s="109"/>
    </row>
    <row r="576" spans="2:17" x14ac:dyDescent="0.25">
      <c r="B576" s="114">
        <v>3</v>
      </c>
      <c r="C576" s="114">
        <v>4</v>
      </c>
      <c r="D576" s="114">
        <v>40</v>
      </c>
      <c r="E576" s="154" cm="1">
        <f t="array" ref="E576">IF(ISBLANK(MainData[[#This Row],[EventID]]),0,IFERROR(INDEX(MainData[],MATCH(MainData[[#This Row],[EventID]],IF(MainData[Product]="Date",MainData[EventID],0),0),12),0))</f>
        <v>44589</v>
      </c>
      <c r="F576" s="155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6" s="155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6" s="157" t="s">
        <v>84</v>
      </c>
      <c r="J576" t="s">
        <v>187</v>
      </c>
      <c r="K576" s="2" t="s">
        <v>157</v>
      </c>
      <c r="L576" s="2" t="s">
        <v>0</v>
      </c>
      <c r="M576" s="158">
        <v>44589</v>
      </c>
      <c r="N576" s="2"/>
      <c r="O576" s="109"/>
      <c r="P576" s="109"/>
      <c r="Q576" s="109"/>
    </row>
    <row r="577" spans="2:17" x14ac:dyDescent="0.25">
      <c r="B577" s="114">
        <v>3</v>
      </c>
      <c r="C577" s="114">
        <v>4</v>
      </c>
      <c r="D577" s="114">
        <v>40</v>
      </c>
      <c r="E577" s="154" cm="1">
        <f t="array" ref="E577">IF(ISBLANK(MainData[[#This Row],[EventID]]),0,IFERROR(INDEX(MainData[],MATCH(MainData[[#This Row],[EventID]],IF(MainData[Product]="Date",MainData[EventID],0),0),12),0))</f>
        <v>44589</v>
      </c>
      <c r="F577" s="155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7" s="155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7" s="157" t="s">
        <v>84</v>
      </c>
      <c r="J577" t="s">
        <v>187</v>
      </c>
      <c r="K577" s="2" t="s">
        <v>157</v>
      </c>
      <c r="L577" s="2" t="s">
        <v>82</v>
      </c>
      <c r="M577" s="2">
        <v>139956</v>
      </c>
      <c r="N577" s="2"/>
      <c r="O577" s="109"/>
      <c r="P577" s="109"/>
      <c r="Q577" s="109"/>
    </row>
    <row r="578" spans="2:17" x14ac:dyDescent="0.25">
      <c r="B578" s="114">
        <v>3</v>
      </c>
      <c r="C578" s="114">
        <v>4</v>
      </c>
      <c r="D578" s="114">
        <v>40</v>
      </c>
      <c r="E578" s="154" cm="1">
        <f t="array" ref="E578">IF(ISBLANK(MainData[[#This Row],[EventID]]),0,IFERROR(INDEX(MainData[],MATCH(MainData[[#This Row],[EventID]],IF(MainData[Product]="Date",MainData[EventID],0),0),12),0))</f>
        <v>44589</v>
      </c>
      <c r="F578" s="155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8" s="155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8" s="157" t="s">
        <v>84</v>
      </c>
      <c r="J578" t="s">
        <v>187</v>
      </c>
      <c r="K578" s="2" t="s">
        <v>157</v>
      </c>
      <c r="L578" s="2" t="s">
        <v>175</v>
      </c>
      <c r="M578" s="2" t="s">
        <v>477</v>
      </c>
      <c r="N578" s="2"/>
      <c r="O578" s="109"/>
      <c r="P578" s="109"/>
      <c r="Q578" s="109"/>
    </row>
    <row r="579" spans="2:17" x14ac:dyDescent="0.25">
      <c r="B579" s="114">
        <v>3</v>
      </c>
      <c r="C579" s="114">
        <v>4</v>
      </c>
      <c r="D579" s="114">
        <v>40</v>
      </c>
      <c r="E579" s="154" cm="1">
        <f t="array" ref="E579">IF(ISBLANK(MainData[[#This Row],[EventID]]),0,IFERROR(INDEX(MainData[],MATCH(MainData[[#This Row],[EventID]],IF(MainData[Product]="Date",MainData[EventID],0),0),12),0))</f>
        <v>44589</v>
      </c>
      <c r="F579" s="155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9" s="155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9" s="157" t="s">
        <v>84</v>
      </c>
      <c r="J579" t="s">
        <v>187</v>
      </c>
      <c r="K579" s="2" t="s">
        <v>157</v>
      </c>
      <c r="L579" s="2" t="s">
        <v>138</v>
      </c>
      <c r="M579" s="2">
        <v>125</v>
      </c>
      <c r="N579" s="2"/>
      <c r="O579" s="109"/>
      <c r="P579" s="109"/>
      <c r="Q579" s="109"/>
    </row>
    <row r="580" spans="2:17" x14ac:dyDescent="0.25">
      <c r="B580" s="114">
        <v>3</v>
      </c>
      <c r="C580" s="114">
        <v>4</v>
      </c>
      <c r="D580" s="114">
        <v>40</v>
      </c>
      <c r="E580" s="154" cm="1">
        <f t="array" ref="E580">IF(ISBLANK(MainData[[#This Row],[EventID]]),0,IFERROR(INDEX(MainData[],MATCH(MainData[[#This Row],[EventID]],IF(MainData[Product]="Date",MainData[EventID],0),0),12),0))</f>
        <v>44589</v>
      </c>
      <c r="F580" s="155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0" s="155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0" s="157" t="s">
        <v>84</v>
      </c>
      <c r="J580" t="s">
        <v>187</v>
      </c>
      <c r="K580" s="2" t="s">
        <v>157</v>
      </c>
      <c r="L580" s="2" t="s">
        <v>86</v>
      </c>
      <c r="M580" s="2">
        <v>1</v>
      </c>
      <c r="N580" s="2"/>
      <c r="O580" s="109"/>
      <c r="P580" s="109"/>
      <c r="Q580" s="109"/>
    </row>
    <row r="581" spans="2:17" x14ac:dyDescent="0.25">
      <c r="B581" s="114">
        <v>3</v>
      </c>
      <c r="C581" s="114">
        <v>4</v>
      </c>
      <c r="D581" s="114">
        <v>40</v>
      </c>
      <c r="E581" s="154" cm="1">
        <f t="array" ref="E581">IF(ISBLANK(MainData[[#This Row],[EventID]]),0,IFERROR(INDEX(MainData[],MATCH(MainData[[#This Row],[EventID]],IF(MainData[Product]="Date",MainData[EventID],0),0),12),0))</f>
        <v>44589</v>
      </c>
      <c r="F581" s="155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1" s="155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1" s="157" t="s">
        <v>84</v>
      </c>
      <c r="J581" t="s">
        <v>187</v>
      </c>
      <c r="K581" s="2" t="s">
        <v>157</v>
      </c>
      <c r="L581" s="2" t="s">
        <v>118</v>
      </c>
      <c r="M581" s="2" t="s">
        <v>478</v>
      </c>
      <c r="N581" s="2"/>
      <c r="O581" s="109"/>
      <c r="P581" s="109"/>
      <c r="Q581" s="109"/>
    </row>
    <row r="582" spans="2:17" x14ac:dyDescent="0.25">
      <c r="B582" s="114">
        <v>3</v>
      </c>
      <c r="C582" s="114">
        <v>4</v>
      </c>
      <c r="D582" s="114">
        <v>40</v>
      </c>
      <c r="E582" s="154" cm="1">
        <f t="array" ref="E582">IF(ISBLANK(MainData[[#This Row],[EventID]]),0,IFERROR(INDEX(MainData[],MATCH(MainData[[#This Row],[EventID]],IF(MainData[Product]="Date",MainData[EventID],0),0),12),0))</f>
        <v>44589</v>
      </c>
      <c r="F582" s="155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2" s="155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2" s="20" t="s">
        <v>85</v>
      </c>
      <c r="J582" t="s">
        <v>20</v>
      </c>
      <c r="K582" s="2" t="s">
        <v>116</v>
      </c>
      <c r="L582" s="2" t="s">
        <v>88</v>
      </c>
      <c r="M582" s="2" t="s">
        <v>189</v>
      </c>
      <c r="N582" s="2" t="s">
        <v>233</v>
      </c>
      <c r="O582" s="109">
        <v>1</v>
      </c>
      <c r="P582" s="109"/>
      <c r="Q582" s="109"/>
    </row>
    <row r="583" spans="2:17" x14ac:dyDescent="0.25">
      <c r="B583" s="114">
        <v>3</v>
      </c>
      <c r="C583" s="114">
        <v>4</v>
      </c>
      <c r="D583" s="114">
        <v>40</v>
      </c>
      <c r="E583" s="154" cm="1">
        <f t="array" ref="E583">IF(ISBLANK(MainData[[#This Row],[EventID]]),0,IFERROR(INDEX(MainData[],MATCH(MainData[[#This Row],[EventID]],IF(MainData[Product]="Date",MainData[EventID],0),0),12),0))</f>
        <v>44589</v>
      </c>
      <c r="F583" s="155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3" s="155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3" s="20" t="s">
        <v>85</v>
      </c>
      <c r="J583" t="s">
        <v>20</v>
      </c>
      <c r="K583" s="2" t="s">
        <v>116</v>
      </c>
      <c r="L583" s="2" t="s">
        <v>87</v>
      </c>
      <c r="M583" s="2" t="s">
        <v>188</v>
      </c>
      <c r="N583" s="2" t="s">
        <v>233</v>
      </c>
      <c r="O583" s="109">
        <v>1</v>
      </c>
      <c r="P583" s="109"/>
      <c r="Q583" s="109">
        <v>100</v>
      </c>
    </row>
    <row r="584" spans="2:17" x14ac:dyDescent="0.25">
      <c r="B584" s="114">
        <v>3</v>
      </c>
      <c r="C584" s="114">
        <v>4</v>
      </c>
      <c r="D584" s="114">
        <v>40</v>
      </c>
      <c r="E584" s="154" cm="1">
        <f t="array" ref="E584">IF(ISBLANK(MainData[[#This Row],[EventID]]),0,IFERROR(INDEX(MainData[],MATCH(MainData[[#This Row],[EventID]],IF(MainData[Product]="Date",MainData[EventID],0),0),12),0))</f>
        <v>44589</v>
      </c>
      <c r="F584" s="155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4" s="155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4" s="20" t="s">
        <v>85</v>
      </c>
      <c r="J584" t="s">
        <v>20</v>
      </c>
      <c r="K584" s="2" t="s">
        <v>29</v>
      </c>
      <c r="L584" s="2" t="s">
        <v>36</v>
      </c>
      <c r="M584" s="2" t="s">
        <v>386</v>
      </c>
      <c r="N584" s="2" t="s">
        <v>274</v>
      </c>
      <c r="O584" s="109">
        <v>1</v>
      </c>
      <c r="P584" s="109">
        <v>204.34</v>
      </c>
      <c r="Q584" s="109">
        <v>1195.5</v>
      </c>
    </row>
    <row r="585" spans="2:17" x14ac:dyDescent="0.25">
      <c r="B585" s="114">
        <v>24</v>
      </c>
      <c r="C585" s="114">
        <v>61</v>
      </c>
      <c r="D585" s="114">
        <v>43</v>
      </c>
      <c r="E585" s="154" cm="1">
        <f t="array" ref="E585">IF(ISBLANK(MainData[[#This Row],[EventID]]),0,IFERROR(INDEX(MainData[],MATCH(MainData[[#This Row],[EventID]],IF(MainData[Product]="Date",MainData[EventID],0),0),12),0))</f>
        <v>44589</v>
      </c>
      <c r="F585" s="155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5" s="155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5" s="157" t="s">
        <v>84</v>
      </c>
      <c r="J585" t="s">
        <v>187</v>
      </c>
      <c r="K585" s="2" t="s">
        <v>157</v>
      </c>
      <c r="L585" s="2" t="s">
        <v>81</v>
      </c>
      <c r="M585" s="2">
        <v>1</v>
      </c>
      <c r="N585" s="2"/>
      <c r="O585" s="109"/>
      <c r="P585" s="109"/>
      <c r="Q585" s="109"/>
    </row>
    <row r="586" spans="2:17" x14ac:dyDescent="0.25">
      <c r="B586" s="114">
        <v>24</v>
      </c>
      <c r="C586" s="114">
        <v>61</v>
      </c>
      <c r="D586" s="114">
        <v>43</v>
      </c>
      <c r="E586" s="154" cm="1">
        <f t="array" ref="E586">IF(ISBLANK(MainData[[#This Row],[EventID]]),0,IFERROR(INDEX(MainData[],MATCH(MainData[[#This Row],[EventID]],IF(MainData[Product]="Date",MainData[EventID],0),0),12),0))</f>
        <v>44589</v>
      </c>
      <c r="F586" s="155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6" s="155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6" s="157" t="s">
        <v>84</v>
      </c>
      <c r="J586" t="s">
        <v>187</v>
      </c>
      <c r="K586" s="2" t="s">
        <v>157</v>
      </c>
      <c r="L586" s="2" t="s">
        <v>0</v>
      </c>
      <c r="M586" s="158">
        <v>44589</v>
      </c>
      <c r="N586" s="2"/>
      <c r="O586" s="109"/>
      <c r="P586" s="109"/>
      <c r="Q586" s="109"/>
    </row>
    <row r="587" spans="2:17" x14ac:dyDescent="0.25">
      <c r="B587" s="114">
        <v>24</v>
      </c>
      <c r="C587" s="114">
        <v>61</v>
      </c>
      <c r="D587" s="114">
        <v>43</v>
      </c>
      <c r="E587" s="154" cm="1">
        <f t="array" ref="E587">IF(ISBLANK(MainData[[#This Row],[EventID]]),0,IFERROR(INDEX(MainData[],MATCH(MainData[[#This Row],[EventID]],IF(MainData[Product]="Date",MainData[EventID],0),0),12),0))</f>
        <v>44589</v>
      </c>
      <c r="F587" s="155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7" s="155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7" s="157" t="s">
        <v>84</v>
      </c>
      <c r="J587" t="s">
        <v>187</v>
      </c>
      <c r="K587" s="2" t="s">
        <v>157</v>
      </c>
      <c r="L587" s="2" t="s">
        <v>82</v>
      </c>
      <c r="M587" s="2">
        <v>718877</v>
      </c>
      <c r="N587" s="2"/>
      <c r="O587" s="109"/>
      <c r="P587" s="109"/>
      <c r="Q587" s="109"/>
    </row>
    <row r="588" spans="2:17" x14ac:dyDescent="0.25">
      <c r="B588" s="114">
        <v>24</v>
      </c>
      <c r="C588" s="114">
        <v>61</v>
      </c>
      <c r="D588" s="114">
        <v>43</v>
      </c>
      <c r="E588" s="154" cm="1">
        <f t="array" ref="E588">IF(ISBLANK(MainData[[#This Row],[EventID]]),0,IFERROR(INDEX(MainData[],MATCH(MainData[[#This Row],[EventID]],IF(MainData[Product]="Date",MainData[EventID],0),0),12),0))</f>
        <v>44589</v>
      </c>
      <c r="F588" s="155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8" s="155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8" s="157" t="s">
        <v>84</v>
      </c>
      <c r="J588" t="s">
        <v>187</v>
      </c>
      <c r="K588" s="2" t="s">
        <v>157</v>
      </c>
      <c r="L588" s="2" t="s">
        <v>175</v>
      </c>
      <c r="M588" s="2" t="s">
        <v>482</v>
      </c>
      <c r="N588" s="2"/>
      <c r="O588" s="109"/>
      <c r="P588" s="109"/>
      <c r="Q588" s="109"/>
    </row>
    <row r="589" spans="2:17" x14ac:dyDescent="0.25">
      <c r="B589" s="114">
        <v>24</v>
      </c>
      <c r="C589" s="114">
        <v>61</v>
      </c>
      <c r="D589" s="114">
        <v>43</v>
      </c>
      <c r="E589" s="154" cm="1">
        <f t="array" ref="E589">IF(ISBLANK(MainData[[#This Row],[EventID]]),0,IFERROR(INDEX(MainData[],MATCH(MainData[[#This Row],[EventID]],IF(MainData[Product]="Date",MainData[EventID],0),0),12),0))</f>
        <v>44589</v>
      </c>
      <c r="F589" s="155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9" s="155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9" s="157" t="s">
        <v>84</v>
      </c>
      <c r="J589" t="s">
        <v>187</v>
      </c>
      <c r="K589" s="2" t="s">
        <v>157</v>
      </c>
      <c r="L589" s="2" t="s">
        <v>138</v>
      </c>
      <c r="M589" s="2">
        <v>270</v>
      </c>
      <c r="N589" s="2"/>
      <c r="O589" s="109"/>
      <c r="P589" s="109"/>
      <c r="Q589" s="109"/>
    </row>
    <row r="590" spans="2:17" x14ac:dyDescent="0.25">
      <c r="B590" s="114">
        <v>24</v>
      </c>
      <c r="C590" s="114">
        <v>61</v>
      </c>
      <c r="D590" s="114">
        <v>43</v>
      </c>
      <c r="E590" s="154" cm="1">
        <f t="array" ref="E590">IF(ISBLANK(MainData[[#This Row],[EventID]]),0,IFERROR(INDEX(MainData[],MATCH(MainData[[#This Row],[EventID]],IF(MainData[Product]="Date",MainData[EventID],0),0),12),0))</f>
        <v>44589</v>
      </c>
      <c r="F590" s="155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0" s="155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0" s="157" t="s">
        <v>84</v>
      </c>
      <c r="J590" t="s">
        <v>187</v>
      </c>
      <c r="K590" s="2" t="s">
        <v>157</v>
      </c>
      <c r="L590" s="2" t="s">
        <v>86</v>
      </c>
      <c r="M590" s="2">
        <v>1.5</v>
      </c>
      <c r="N590" s="2"/>
      <c r="O590" s="109"/>
      <c r="P590" s="109"/>
      <c r="Q590" s="109"/>
    </row>
    <row r="591" spans="2:17" x14ac:dyDescent="0.25">
      <c r="B591" s="114">
        <v>24</v>
      </c>
      <c r="C591" s="114">
        <v>61</v>
      </c>
      <c r="D591" s="114">
        <v>43</v>
      </c>
      <c r="E591" s="154" cm="1">
        <f t="array" ref="E591">IF(ISBLANK(MainData[[#This Row],[EventID]]),0,IFERROR(INDEX(MainData[],MATCH(MainData[[#This Row],[EventID]],IF(MainData[Product]="Date",MainData[EventID],0),0),12),0))</f>
        <v>44589</v>
      </c>
      <c r="F591" s="155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1" s="155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1" s="157" t="s">
        <v>84</v>
      </c>
      <c r="J591" t="s">
        <v>187</v>
      </c>
      <c r="K591" s="2" t="s">
        <v>157</v>
      </c>
      <c r="L591" s="2" t="s">
        <v>118</v>
      </c>
      <c r="M591" s="2" t="s">
        <v>473</v>
      </c>
      <c r="N591" s="2"/>
      <c r="O591" s="109"/>
      <c r="P591" s="109"/>
      <c r="Q591" s="109"/>
    </row>
    <row r="592" spans="2:17" x14ac:dyDescent="0.25">
      <c r="B592" s="114">
        <v>24</v>
      </c>
      <c r="C592" s="114">
        <v>61</v>
      </c>
      <c r="D592" s="114">
        <v>43</v>
      </c>
      <c r="E592" s="154" cm="1">
        <f t="array" ref="E592">IF(ISBLANK(MainData[[#This Row],[EventID]]),0,IFERROR(INDEX(MainData[],MATCH(MainData[[#This Row],[EventID]],IF(MainData[Product]="Date",MainData[EventID],0),0),12),0))</f>
        <v>44589</v>
      </c>
      <c r="F592" s="155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2" s="155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2" s="20" t="s">
        <v>85</v>
      </c>
      <c r="J592" t="s">
        <v>20</v>
      </c>
      <c r="K592" s="2" t="s">
        <v>116</v>
      </c>
      <c r="L592" s="2" t="s">
        <v>88</v>
      </c>
      <c r="M592" s="2" t="s">
        <v>189</v>
      </c>
      <c r="N592" s="2" t="s">
        <v>233</v>
      </c>
      <c r="O592" s="109">
        <v>1</v>
      </c>
      <c r="P592" s="109"/>
      <c r="Q592" s="109"/>
    </row>
    <row r="593" spans="2:17" x14ac:dyDescent="0.25">
      <c r="B593" s="114">
        <v>24</v>
      </c>
      <c r="C593" s="114">
        <v>61</v>
      </c>
      <c r="D593" s="114">
        <v>43</v>
      </c>
      <c r="E593" s="154" cm="1">
        <f t="array" ref="E593">IF(ISBLANK(MainData[[#This Row],[EventID]]),0,IFERROR(INDEX(MainData[],MATCH(MainData[[#This Row],[EventID]],IF(MainData[Product]="Date",MainData[EventID],0),0),12),0))</f>
        <v>44589</v>
      </c>
      <c r="F593" s="155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3" s="155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3" s="20" t="s">
        <v>85</v>
      </c>
      <c r="J593" t="s">
        <v>20</v>
      </c>
      <c r="K593" s="2" t="s">
        <v>116</v>
      </c>
      <c r="L593" s="2" t="s">
        <v>87</v>
      </c>
      <c r="M593" s="2" t="s">
        <v>188</v>
      </c>
      <c r="N593" s="2" t="s">
        <v>233</v>
      </c>
      <c r="O593" s="109">
        <v>3</v>
      </c>
      <c r="P593" s="109"/>
      <c r="Q593" s="109">
        <v>300</v>
      </c>
    </row>
    <row r="594" spans="2:17" x14ac:dyDescent="0.25">
      <c r="B594" s="114">
        <v>24</v>
      </c>
      <c r="C594" s="114">
        <v>61</v>
      </c>
      <c r="D594" s="114">
        <v>43</v>
      </c>
      <c r="E594" s="154" cm="1">
        <f t="array" ref="E594">IF(ISBLANK(MainData[[#This Row],[EventID]]),0,IFERROR(INDEX(MainData[],MATCH(MainData[[#This Row],[EventID]],IF(MainData[Product]="Date",MainData[EventID],0),0),12),0))</f>
        <v>44589</v>
      </c>
      <c r="F594" s="155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4" s="155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4" s="157" t="s">
        <v>85</v>
      </c>
      <c r="J594" t="s">
        <v>20</v>
      </c>
      <c r="K594" s="2" t="s">
        <v>29</v>
      </c>
      <c r="L594" s="2" t="s">
        <v>35</v>
      </c>
      <c r="M594" s="2" t="s">
        <v>382</v>
      </c>
      <c r="N594" s="2" t="s">
        <v>234</v>
      </c>
      <c r="O594" s="109">
        <v>3</v>
      </c>
      <c r="P594" s="109">
        <v>145</v>
      </c>
      <c r="Q594" s="109">
        <v>1435</v>
      </c>
    </row>
    <row r="595" spans="2:17" x14ac:dyDescent="0.25">
      <c r="B595" s="114">
        <v>24</v>
      </c>
      <c r="C595" s="114">
        <v>61</v>
      </c>
      <c r="D595" s="114">
        <v>43</v>
      </c>
      <c r="E595" s="154" cm="1">
        <f t="array" ref="E595">IF(ISBLANK(MainData[[#This Row],[EventID]]),0,IFERROR(INDEX(MainData[],MATCH(MainData[[#This Row],[EventID]],IF(MainData[Product]="Date",MainData[EventID],0),0),12),0))</f>
        <v>44589</v>
      </c>
      <c r="F595" s="155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5" s="155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5" s="20" t="s">
        <v>85</v>
      </c>
      <c r="J595" t="s">
        <v>20</v>
      </c>
      <c r="K595" s="2" t="s">
        <v>29</v>
      </c>
      <c r="L595" s="2" t="s">
        <v>36</v>
      </c>
      <c r="M595" s="2" t="s">
        <v>384</v>
      </c>
      <c r="N595" s="2" t="s">
        <v>234</v>
      </c>
      <c r="O595" s="109">
        <v>3</v>
      </c>
      <c r="P595" s="109">
        <v>266.73</v>
      </c>
      <c r="Q595" s="109">
        <v>2852</v>
      </c>
    </row>
    <row r="596" spans="2:17" x14ac:dyDescent="0.25">
      <c r="B596" s="114">
        <v>24</v>
      </c>
      <c r="C596" s="114">
        <v>61</v>
      </c>
      <c r="D596" s="114">
        <v>43</v>
      </c>
      <c r="E596" s="154" cm="1">
        <f t="array" ref="E596">IF(ISBLANK(MainData[[#This Row],[EventID]]),0,IFERROR(INDEX(MainData[],MATCH(MainData[[#This Row],[EventID]],IF(MainData[Product]="Date",MainData[EventID],0),0),12),0))</f>
        <v>44589</v>
      </c>
      <c r="F596" s="155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6" s="155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6" s="157" t="s">
        <v>85</v>
      </c>
      <c r="J596" t="s">
        <v>20</v>
      </c>
      <c r="K596" s="2" t="s">
        <v>29</v>
      </c>
      <c r="L596" s="2" t="s">
        <v>65</v>
      </c>
      <c r="M596" s="2" t="s">
        <v>383</v>
      </c>
      <c r="N596" s="2" t="s">
        <v>234</v>
      </c>
      <c r="O596" s="109">
        <v>3</v>
      </c>
      <c r="P596" s="109">
        <v>3.5</v>
      </c>
      <c r="Q596" s="109">
        <v>130.5</v>
      </c>
    </row>
    <row r="597" spans="2:17" x14ac:dyDescent="0.25">
      <c r="B597" s="114">
        <v>24</v>
      </c>
      <c r="C597" s="114">
        <v>61</v>
      </c>
      <c r="D597" s="114">
        <v>43</v>
      </c>
      <c r="E597" s="154" cm="1">
        <f t="array" ref="E597">IF(ISBLANK(MainData[[#This Row],[EventID]]),0,IFERROR(INDEX(MainData[],MATCH(MainData[[#This Row],[EventID]],IF(MainData[Product]="Date",MainData[EventID],0),0),12),0))</f>
        <v>44589</v>
      </c>
      <c r="F597" s="155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7" s="155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7" s="157" t="s">
        <v>85</v>
      </c>
      <c r="J597" t="s">
        <v>20</v>
      </c>
      <c r="K597" s="2" t="s">
        <v>29</v>
      </c>
      <c r="L597" s="2" t="s">
        <v>25</v>
      </c>
      <c r="M597" s="2" t="s">
        <v>388</v>
      </c>
      <c r="N597" s="2" t="s">
        <v>234</v>
      </c>
      <c r="O597" s="109">
        <v>3</v>
      </c>
      <c r="P597" s="109">
        <v>75</v>
      </c>
      <c r="Q597" s="109">
        <v>765</v>
      </c>
    </row>
    <row r="598" spans="2:17" x14ac:dyDescent="0.25">
      <c r="B598" s="114">
        <v>24</v>
      </c>
      <c r="C598" s="114">
        <v>62</v>
      </c>
      <c r="D598" s="114">
        <v>44</v>
      </c>
      <c r="E598" s="154" cm="1">
        <f t="array" ref="E598">IF(ISBLANK(MainData[[#This Row],[EventID]]),0,IFERROR(INDEX(MainData[],MATCH(MainData[[#This Row],[EventID]],IF(MainData[Product]="Date",MainData[EventID],0),0),12),0))</f>
        <v>44589</v>
      </c>
      <c r="F598" s="155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8" s="155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8" s="157" t="s">
        <v>84</v>
      </c>
      <c r="J598" t="s">
        <v>187</v>
      </c>
      <c r="K598" s="2" t="s">
        <v>157</v>
      </c>
      <c r="L598" s="2" t="s">
        <v>81</v>
      </c>
      <c r="M598" s="2">
        <v>1</v>
      </c>
      <c r="N598" s="2"/>
      <c r="O598" s="109"/>
      <c r="P598" s="109"/>
      <c r="Q598" s="109"/>
    </row>
    <row r="599" spans="2:17" x14ac:dyDescent="0.25">
      <c r="B599" s="114">
        <v>24</v>
      </c>
      <c r="C599" s="114">
        <v>62</v>
      </c>
      <c r="D599" s="114">
        <v>44</v>
      </c>
      <c r="E599" s="154" cm="1">
        <f t="array" ref="E599">IF(ISBLANK(MainData[[#This Row],[EventID]]),0,IFERROR(INDEX(MainData[],MATCH(MainData[[#This Row],[EventID]],IF(MainData[Product]="Date",MainData[EventID],0),0),12),0))</f>
        <v>44589</v>
      </c>
      <c r="F599" s="155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9" s="155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9" s="157" t="s">
        <v>84</v>
      </c>
      <c r="J599" t="s">
        <v>187</v>
      </c>
      <c r="K599" s="2" t="s">
        <v>157</v>
      </c>
      <c r="L599" s="2" t="s">
        <v>0</v>
      </c>
      <c r="M599" s="158">
        <v>44589</v>
      </c>
      <c r="N599" s="2"/>
      <c r="O599" s="109"/>
      <c r="P599" s="109"/>
      <c r="Q599" s="109"/>
    </row>
    <row r="600" spans="2:17" x14ac:dyDescent="0.25">
      <c r="B600" s="114">
        <v>24</v>
      </c>
      <c r="C600" s="114">
        <v>62</v>
      </c>
      <c r="D600" s="114">
        <v>44</v>
      </c>
      <c r="E600" s="154" cm="1">
        <f t="array" ref="E600">IF(ISBLANK(MainData[[#This Row],[EventID]]),0,IFERROR(INDEX(MainData[],MATCH(MainData[[#This Row],[EventID]],IF(MainData[Product]="Date",MainData[EventID],0),0),12),0))</f>
        <v>44589</v>
      </c>
      <c r="F600" s="155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0" s="155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0" s="157" t="s">
        <v>84</v>
      </c>
      <c r="J600" t="s">
        <v>187</v>
      </c>
      <c r="K600" s="2" t="s">
        <v>157</v>
      </c>
      <c r="L600" s="2" t="s">
        <v>82</v>
      </c>
      <c r="M600" s="2">
        <v>721024</v>
      </c>
      <c r="N600" s="2"/>
      <c r="O600" s="109"/>
      <c r="P600" s="109"/>
      <c r="Q600" s="109"/>
    </row>
    <row r="601" spans="2:17" x14ac:dyDescent="0.25">
      <c r="B601" s="114">
        <v>24</v>
      </c>
      <c r="C601" s="114">
        <v>62</v>
      </c>
      <c r="D601" s="114">
        <v>44</v>
      </c>
      <c r="E601" s="154" cm="1">
        <f t="array" ref="E601">IF(ISBLANK(MainData[[#This Row],[EventID]]),0,IFERROR(INDEX(MainData[],MATCH(MainData[[#This Row],[EventID]],IF(MainData[Product]="Date",MainData[EventID],0),0),12),0))</f>
        <v>44589</v>
      </c>
      <c r="F601" s="155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1" s="155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1" s="157" t="s">
        <v>84</v>
      </c>
      <c r="J601" t="s">
        <v>187</v>
      </c>
      <c r="K601" s="2" t="s">
        <v>157</v>
      </c>
      <c r="L601" s="2" t="s">
        <v>175</v>
      </c>
      <c r="M601" s="2" t="s">
        <v>482</v>
      </c>
      <c r="N601" s="2"/>
      <c r="O601" s="109"/>
      <c r="P601" s="109"/>
      <c r="Q601" s="109"/>
    </row>
    <row r="602" spans="2:17" x14ac:dyDescent="0.25">
      <c r="B602" s="114">
        <v>24</v>
      </c>
      <c r="C602" s="114">
        <v>62</v>
      </c>
      <c r="D602" s="114">
        <v>44</v>
      </c>
      <c r="E602" s="154" cm="1">
        <f t="array" ref="E602">IF(ISBLANK(MainData[[#This Row],[EventID]]),0,IFERROR(INDEX(MainData[],MATCH(MainData[[#This Row],[EventID]],IF(MainData[Product]="Date",MainData[EventID],0),0),12),0))</f>
        <v>44589</v>
      </c>
      <c r="F602" s="155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2" s="155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2" s="157" t="s">
        <v>84</v>
      </c>
      <c r="J602" t="s">
        <v>187</v>
      </c>
      <c r="K602" s="2" t="s">
        <v>157</v>
      </c>
      <c r="L602" s="2" t="s">
        <v>138</v>
      </c>
      <c r="M602" s="2">
        <v>270</v>
      </c>
      <c r="N602" s="2"/>
      <c r="O602" s="109"/>
      <c r="P602" s="109"/>
      <c r="Q602" s="109"/>
    </row>
    <row r="603" spans="2:17" x14ac:dyDescent="0.25">
      <c r="B603" s="114">
        <v>24</v>
      </c>
      <c r="C603" s="114">
        <v>62</v>
      </c>
      <c r="D603" s="114">
        <v>44</v>
      </c>
      <c r="E603" s="154" cm="1">
        <f t="array" ref="E603">IF(ISBLANK(MainData[[#This Row],[EventID]]),0,IFERROR(INDEX(MainData[],MATCH(MainData[[#This Row],[EventID]],IF(MainData[Product]="Date",MainData[EventID],0),0),12),0))</f>
        <v>44589</v>
      </c>
      <c r="F603" s="155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3" s="155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3" s="157" t="s">
        <v>84</v>
      </c>
      <c r="J603" t="s">
        <v>187</v>
      </c>
      <c r="K603" s="2" t="s">
        <v>157</v>
      </c>
      <c r="L603" s="2" t="s">
        <v>86</v>
      </c>
      <c r="M603" s="2">
        <v>1</v>
      </c>
      <c r="N603" s="2"/>
      <c r="O603" s="109"/>
      <c r="P603" s="109"/>
      <c r="Q603" s="109"/>
    </row>
    <row r="604" spans="2:17" x14ac:dyDescent="0.25">
      <c r="B604" s="114">
        <v>24</v>
      </c>
      <c r="C604" s="114">
        <v>62</v>
      </c>
      <c r="D604" s="114">
        <v>44</v>
      </c>
      <c r="E604" s="154" cm="1">
        <f t="array" ref="E604">IF(ISBLANK(MainData[[#This Row],[EventID]]),0,IFERROR(INDEX(MainData[],MATCH(MainData[[#This Row],[EventID]],IF(MainData[Product]="Date",MainData[EventID],0),0),12),0))</f>
        <v>44589</v>
      </c>
      <c r="F604" s="155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4" s="155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4" s="157" t="s">
        <v>84</v>
      </c>
      <c r="J604" t="s">
        <v>187</v>
      </c>
      <c r="K604" s="2" t="s">
        <v>157</v>
      </c>
      <c r="L604" s="2" t="s">
        <v>118</v>
      </c>
      <c r="M604" s="2" t="s">
        <v>473</v>
      </c>
      <c r="N604" s="2"/>
      <c r="O604" s="109"/>
      <c r="P604" s="109"/>
      <c r="Q604" s="109"/>
    </row>
    <row r="605" spans="2:17" x14ac:dyDescent="0.25">
      <c r="B605" s="114">
        <v>24</v>
      </c>
      <c r="C605" s="114">
        <v>62</v>
      </c>
      <c r="D605" s="114">
        <v>44</v>
      </c>
      <c r="E605" s="154" cm="1">
        <f t="array" ref="E605">IF(ISBLANK(MainData[[#This Row],[EventID]]),0,IFERROR(INDEX(MainData[],MATCH(MainData[[#This Row],[EventID]],IF(MainData[Product]="Date",MainData[EventID],0),0),12),0))</f>
        <v>44589</v>
      </c>
      <c r="F605" s="155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5" s="155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5" s="20" t="s">
        <v>85</v>
      </c>
      <c r="J605" t="s">
        <v>20</v>
      </c>
      <c r="K605" s="2" t="s">
        <v>116</v>
      </c>
      <c r="L605" s="2" t="s">
        <v>88</v>
      </c>
      <c r="M605" s="2" t="s">
        <v>189</v>
      </c>
      <c r="N605" s="2" t="s">
        <v>233</v>
      </c>
      <c r="O605" s="109">
        <v>1</v>
      </c>
      <c r="P605" s="109"/>
      <c r="Q605" s="109"/>
    </row>
    <row r="606" spans="2:17" x14ac:dyDescent="0.25">
      <c r="B606" s="114">
        <v>24</v>
      </c>
      <c r="C606" s="114">
        <v>62</v>
      </c>
      <c r="D606" s="114">
        <v>44</v>
      </c>
      <c r="E606" s="154" cm="1">
        <f t="array" ref="E606">IF(ISBLANK(MainData[[#This Row],[EventID]]),0,IFERROR(INDEX(MainData[],MATCH(MainData[[#This Row],[EventID]],IF(MainData[Product]="Date",MainData[EventID],0),0),12),0))</f>
        <v>44589</v>
      </c>
      <c r="F606" s="155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6" s="155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6" s="20" t="s">
        <v>85</v>
      </c>
      <c r="J606" t="s">
        <v>20</v>
      </c>
      <c r="K606" s="2" t="s">
        <v>116</v>
      </c>
      <c r="L606" s="2" t="s">
        <v>87</v>
      </c>
      <c r="M606" s="2" t="s">
        <v>188</v>
      </c>
      <c r="N606" s="2" t="s">
        <v>233</v>
      </c>
      <c r="O606" s="109">
        <v>1</v>
      </c>
      <c r="P606" s="109"/>
      <c r="Q606" s="109">
        <v>100</v>
      </c>
    </row>
    <row r="607" spans="2:17" x14ac:dyDescent="0.25">
      <c r="B607" s="114">
        <v>24</v>
      </c>
      <c r="C607" s="114">
        <v>62</v>
      </c>
      <c r="D607" s="114">
        <v>44</v>
      </c>
      <c r="E607" s="154" cm="1">
        <f t="array" ref="E607">IF(ISBLANK(MainData[[#This Row],[EventID]]),0,IFERROR(INDEX(MainData[],MATCH(MainData[[#This Row],[EventID]],IF(MainData[Product]="Date",MainData[EventID],0),0),12),0))</f>
        <v>44589</v>
      </c>
      <c r="F607" s="155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7" s="155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7" s="20" t="s">
        <v>85</v>
      </c>
      <c r="J607" t="s">
        <v>20</v>
      </c>
      <c r="K607" s="2" t="s">
        <v>29</v>
      </c>
      <c r="L607" s="2" t="s">
        <v>25</v>
      </c>
      <c r="M607" s="2" t="s">
        <v>388</v>
      </c>
      <c r="N607" s="2" t="s">
        <v>234</v>
      </c>
      <c r="O607" s="109">
        <v>1</v>
      </c>
      <c r="P607" s="109">
        <v>34</v>
      </c>
      <c r="Q607" s="109">
        <v>426.5</v>
      </c>
    </row>
    <row r="608" spans="2:17" x14ac:dyDescent="0.25">
      <c r="B608" s="114">
        <v>11</v>
      </c>
      <c r="C608" s="114">
        <v>21</v>
      </c>
      <c r="D608" s="114">
        <v>46</v>
      </c>
      <c r="E608" s="154" cm="1">
        <f t="array" ref="E608">IF(ISBLANK(MainData[[#This Row],[EventID]]),0,IFERROR(INDEX(MainData[],MATCH(MainData[[#This Row],[EventID]],IF(MainData[Product]="Date",MainData[EventID],0),0),12),0))</f>
        <v>44590</v>
      </c>
      <c r="F608" s="155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8" s="155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8" s="157" t="s">
        <v>84</v>
      </c>
      <c r="J608" t="s">
        <v>187</v>
      </c>
      <c r="K608" s="2" t="s">
        <v>157</v>
      </c>
      <c r="L608" s="2" t="s">
        <v>81</v>
      </c>
      <c r="M608" s="2">
        <v>1</v>
      </c>
      <c r="N608" s="2"/>
      <c r="O608" s="109"/>
      <c r="P608" s="109"/>
      <c r="Q608" s="109"/>
    </row>
    <row r="609" spans="2:17" x14ac:dyDescent="0.25">
      <c r="B609" s="114">
        <v>11</v>
      </c>
      <c r="C609" s="114">
        <v>21</v>
      </c>
      <c r="D609" s="114">
        <v>46</v>
      </c>
      <c r="E609" s="154" cm="1">
        <f t="array" ref="E609">IF(ISBLANK(MainData[[#This Row],[EventID]]),0,IFERROR(INDEX(MainData[],MATCH(MainData[[#This Row],[EventID]],IF(MainData[Product]="Date",MainData[EventID],0),0),12),0))</f>
        <v>44590</v>
      </c>
      <c r="F609" s="155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9" s="155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9" s="157" t="s">
        <v>84</v>
      </c>
      <c r="J609" t="s">
        <v>187</v>
      </c>
      <c r="K609" s="2" t="s">
        <v>157</v>
      </c>
      <c r="L609" s="2" t="s">
        <v>0</v>
      </c>
      <c r="M609" s="158">
        <v>44590</v>
      </c>
      <c r="N609" s="2"/>
      <c r="O609" s="109"/>
      <c r="P609" s="109"/>
      <c r="Q609" s="109"/>
    </row>
    <row r="610" spans="2:17" x14ac:dyDescent="0.25">
      <c r="B610" s="114">
        <v>11</v>
      </c>
      <c r="C610" s="114">
        <v>21</v>
      </c>
      <c r="D610" s="114">
        <v>46</v>
      </c>
      <c r="E610" s="154" cm="1">
        <f t="array" ref="E610">IF(ISBLANK(MainData[[#This Row],[EventID]]),0,IFERROR(INDEX(MainData[],MATCH(MainData[[#This Row],[EventID]],IF(MainData[Product]="Date",MainData[EventID],0),0),12),0))</f>
        <v>44590</v>
      </c>
      <c r="F610" s="155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0" s="155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0" s="157" t="s">
        <v>84</v>
      </c>
      <c r="J610" t="s">
        <v>187</v>
      </c>
      <c r="K610" s="2" t="s">
        <v>157</v>
      </c>
      <c r="L610" s="2" t="s">
        <v>82</v>
      </c>
      <c r="M610" s="2">
        <v>118689</v>
      </c>
      <c r="N610" s="2"/>
      <c r="O610" s="109"/>
      <c r="P610" s="109"/>
      <c r="Q610" s="109"/>
    </row>
    <row r="611" spans="2:17" x14ac:dyDescent="0.25">
      <c r="B611" s="114">
        <v>11</v>
      </c>
      <c r="C611" s="114">
        <v>21</v>
      </c>
      <c r="D611" s="114">
        <v>46</v>
      </c>
      <c r="E611" s="154" cm="1">
        <f t="array" ref="E611">IF(ISBLANK(MainData[[#This Row],[EventID]]),0,IFERROR(INDEX(MainData[],MATCH(MainData[[#This Row],[EventID]],IF(MainData[Product]="Date",MainData[EventID],0),0),12),0))</f>
        <v>44590</v>
      </c>
      <c r="F611" s="155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1" s="155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1" s="157" t="s">
        <v>84</v>
      </c>
      <c r="J611" t="s">
        <v>187</v>
      </c>
      <c r="K611" s="2" t="s">
        <v>157</v>
      </c>
      <c r="L611" s="2" t="s">
        <v>175</v>
      </c>
      <c r="M611" s="2" t="s">
        <v>459</v>
      </c>
      <c r="N611" s="2"/>
      <c r="O611" s="109"/>
      <c r="P611" s="109"/>
      <c r="Q611" s="109"/>
    </row>
    <row r="612" spans="2:17" x14ac:dyDescent="0.25">
      <c r="B612" s="114">
        <v>11</v>
      </c>
      <c r="C612" s="114">
        <v>21</v>
      </c>
      <c r="D612" s="114">
        <v>46</v>
      </c>
      <c r="E612" s="154" cm="1">
        <f t="array" ref="E612">IF(ISBLANK(MainData[[#This Row],[EventID]]),0,IFERROR(INDEX(MainData[],MATCH(MainData[[#This Row],[EventID]],IF(MainData[Product]="Date",MainData[EventID],0),0),12),0))</f>
        <v>44590</v>
      </c>
      <c r="F612" s="155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2" s="155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2" s="157" t="s">
        <v>84</v>
      </c>
      <c r="J612" t="s">
        <v>187</v>
      </c>
      <c r="K612" s="2" t="s">
        <v>157</v>
      </c>
      <c r="L612" s="2" t="s">
        <v>138</v>
      </c>
      <c r="M612" s="2">
        <v>25</v>
      </c>
      <c r="N612" s="2"/>
      <c r="O612" s="109"/>
      <c r="P612" s="109"/>
      <c r="Q612" s="109"/>
    </row>
    <row r="613" spans="2:17" x14ac:dyDescent="0.25">
      <c r="B613" s="114">
        <v>11</v>
      </c>
      <c r="C613" s="114">
        <v>21</v>
      </c>
      <c r="D613" s="114">
        <v>46</v>
      </c>
      <c r="E613" s="154" cm="1">
        <f t="array" ref="E613">IF(ISBLANK(MainData[[#This Row],[EventID]]),0,IFERROR(INDEX(MainData[],MATCH(MainData[[#This Row],[EventID]],IF(MainData[Product]="Date",MainData[EventID],0),0),12),0))</f>
        <v>44590</v>
      </c>
      <c r="F613" s="155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3" s="155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3" s="157" t="s">
        <v>84</v>
      </c>
      <c r="J613" t="s">
        <v>187</v>
      </c>
      <c r="K613" s="2" t="s">
        <v>157</v>
      </c>
      <c r="L613" s="2" t="s">
        <v>86</v>
      </c>
      <c r="M613" s="2">
        <v>12</v>
      </c>
      <c r="N613" s="2"/>
      <c r="O613" s="109"/>
      <c r="P613" s="109"/>
      <c r="Q613" s="109"/>
    </row>
    <row r="614" spans="2:17" x14ac:dyDescent="0.25">
      <c r="B614" s="114">
        <v>11</v>
      </c>
      <c r="C614" s="114">
        <v>21</v>
      </c>
      <c r="D614" s="114">
        <v>46</v>
      </c>
      <c r="E614" s="154" cm="1">
        <f t="array" ref="E614">IF(ISBLANK(MainData[[#This Row],[EventID]]),0,IFERROR(INDEX(MainData[],MATCH(MainData[[#This Row],[EventID]],IF(MainData[Product]="Date",MainData[EventID],0),0),12),0))</f>
        <v>44590</v>
      </c>
      <c r="F614" s="155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4" s="155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4" s="157" t="s">
        <v>84</v>
      </c>
      <c r="J614" t="s">
        <v>187</v>
      </c>
      <c r="K614" s="2" t="s">
        <v>157</v>
      </c>
      <c r="L614" s="2" t="s">
        <v>118</v>
      </c>
      <c r="M614" s="2" t="s">
        <v>460</v>
      </c>
      <c r="N614" s="2"/>
      <c r="O614" s="109"/>
      <c r="P614" s="109"/>
      <c r="Q614" s="109"/>
    </row>
    <row r="615" spans="2:17" x14ac:dyDescent="0.25">
      <c r="B615" s="114">
        <v>11</v>
      </c>
      <c r="C615" s="114">
        <v>21</v>
      </c>
      <c r="D615" s="114">
        <v>46</v>
      </c>
      <c r="E615" s="154" cm="1">
        <f t="array" ref="E615">IF(ISBLANK(MainData[[#This Row],[EventID]]),0,IFERROR(INDEX(MainData[],MATCH(MainData[[#This Row],[EventID]],IF(MainData[Product]="Date",MainData[EventID],0),0),12),0))</f>
        <v>44590</v>
      </c>
      <c r="F615" s="155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5" s="155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5" s="20" t="s">
        <v>85</v>
      </c>
      <c r="J615" t="s">
        <v>20</v>
      </c>
      <c r="K615" s="2" t="s">
        <v>116</v>
      </c>
      <c r="L615" s="2" t="s">
        <v>88</v>
      </c>
      <c r="M615" s="2" t="s">
        <v>189</v>
      </c>
      <c r="N615" s="2" t="s">
        <v>233</v>
      </c>
      <c r="O615" s="109">
        <v>1</v>
      </c>
      <c r="P615" s="109"/>
      <c r="Q615" s="109"/>
    </row>
    <row r="616" spans="2:17" x14ac:dyDescent="0.25">
      <c r="B616" s="114">
        <v>11</v>
      </c>
      <c r="C616" s="114">
        <v>21</v>
      </c>
      <c r="D616" s="114">
        <v>46</v>
      </c>
      <c r="E616" s="154" cm="1">
        <f t="array" ref="E616">IF(ISBLANK(MainData[[#This Row],[EventID]]),0,IFERROR(INDEX(MainData[],MATCH(MainData[[#This Row],[EventID]],IF(MainData[Product]="Date",MainData[EventID],0),0),12),0))</f>
        <v>44590</v>
      </c>
      <c r="F616" s="155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6" s="155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6" s="20" t="s">
        <v>85</v>
      </c>
      <c r="J616" t="s">
        <v>20</v>
      </c>
      <c r="K616" s="2" t="s">
        <v>116</v>
      </c>
      <c r="L616" s="2" t="s">
        <v>152</v>
      </c>
      <c r="M616" s="2" t="s">
        <v>198</v>
      </c>
      <c r="N616" s="2" t="s">
        <v>233</v>
      </c>
      <c r="O616" s="109">
        <v>1</v>
      </c>
      <c r="P616" s="109"/>
      <c r="Q616" s="109"/>
    </row>
    <row r="617" spans="2:17" x14ac:dyDescent="0.25">
      <c r="B617" s="114">
        <v>11</v>
      </c>
      <c r="C617" s="114">
        <v>21</v>
      </c>
      <c r="D617" s="114">
        <v>46</v>
      </c>
      <c r="E617" s="154" cm="1">
        <f t="array" ref="E617">IF(ISBLANK(MainData[[#This Row],[EventID]]),0,IFERROR(INDEX(MainData[],MATCH(MainData[[#This Row],[EventID]],IF(MainData[Product]="Date",MainData[EventID],0),0),12),0))</f>
        <v>44590</v>
      </c>
      <c r="F617" s="155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7" s="155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7" s="20" t="s">
        <v>85</v>
      </c>
      <c r="J617" t="s">
        <v>20</v>
      </c>
      <c r="K617" s="2" t="s">
        <v>29</v>
      </c>
      <c r="L617" s="2" t="s">
        <v>156</v>
      </c>
      <c r="M617" s="2" t="s">
        <v>199</v>
      </c>
      <c r="N617" s="2" t="s">
        <v>233</v>
      </c>
      <c r="O617" s="109">
        <v>1</v>
      </c>
      <c r="P617" s="109">
        <v>0.01</v>
      </c>
      <c r="Q617" s="109">
        <v>50</v>
      </c>
    </row>
    <row r="618" spans="2:17" x14ac:dyDescent="0.25">
      <c r="B618" s="114">
        <v>11</v>
      </c>
      <c r="C618" s="114">
        <v>25</v>
      </c>
      <c r="D618" s="114">
        <v>47</v>
      </c>
      <c r="E618" s="154" cm="1">
        <f t="array" ref="E618">IF(ISBLANK(MainData[[#This Row],[EventID]]),0,IFERROR(INDEX(MainData[],MATCH(MainData[[#This Row],[EventID]],IF(MainData[Product]="Date",MainData[EventID],0),0),12),0))</f>
        <v>44590</v>
      </c>
      <c r="F618" s="155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8" s="155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8" s="157" t="s">
        <v>84</v>
      </c>
      <c r="J618" t="s">
        <v>187</v>
      </c>
      <c r="K618" s="2" t="s">
        <v>157</v>
      </c>
      <c r="L618" s="2" t="s">
        <v>81</v>
      </c>
      <c r="M618" s="2">
        <v>1</v>
      </c>
      <c r="N618" s="2"/>
      <c r="O618" s="109"/>
      <c r="P618" s="109"/>
      <c r="Q618" s="109"/>
    </row>
    <row r="619" spans="2:17" x14ac:dyDescent="0.25">
      <c r="B619" s="114">
        <v>11</v>
      </c>
      <c r="C619" s="114">
        <v>25</v>
      </c>
      <c r="D619" s="114">
        <v>47</v>
      </c>
      <c r="E619" s="154" cm="1">
        <f t="array" ref="E619">IF(ISBLANK(MainData[[#This Row],[EventID]]),0,IFERROR(INDEX(MainData[],MATCH(MainData[[#This Row],[EventID]],IF(MainData[Product]="Date",MainData[EventID],0),0),12),0))</f>
        <v>44590</v>
      </c>
      <c r="F619" s="155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9" s="155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9" s="157" t="s">
        <v>84</v>
      </c>
      <c r="J619" t="s">
        <v>187</v>
      </c>
      <c r="K619" s="2" t="s">
        <v>157</v>
      </c>
      <c r="L619" s="2" t="s">
        <v>0</v>
      </c>
      <c r="M619" s="158">
        <v>44590</v>
      </c>
      <c r="N619" s="2"/>
      <c r="O619" s="109"/>
      <c r="P619" s="109"/>
      <c r="Q619" s="109"/>
    </row>
    <row r="620" spans="2:17" x14ac:dyDescent="0.25">
      <c r="B620" s="114">
        <v>11</v>
      </c>
      <c r="C620" s="114">
        <v>25</v>
      </c>
      <c r="D620" s="114">
        <v>47</v>
      </c>
      <c r="E620" s="154" cm="1">
        <f t="array" ref="E620">IF(ISBLANK(MainData[[#This Row],[EventID]]),0,IFERROR(INDEX(MainData[],MATCH(MainData[[#This Row],[EventID]],IF(MainData[Product]="Date",MainData[EventID],0),0),12),0))</f>
        <v>44590</v>
      </c>
      <c r="F620" s="155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0" s="155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0" s="157" t="s">
        <v>84</v>
      </c>
      <c r="J620" t="s">
        <v>187</v>
      </c>
      <c r="K620" s="2" t="s">
        <v>157</v>
      </c>
      <c r="L620" s="2" t="s">
        <v>82</v>
      </c>
      <c r="M620" s="2">
        <v>831154</v>
      </c>
      <c r="N620" s="2"/>
      <c r="O620" s="109"/>
      <c r="P620" s="109"/>
      <c r="Q620" s="109"/>
    </row>
    <row r="621" spans="2:17" x14ac:dyDescent="0.25">
      <c r="B621" s="114">
        <v>11</v>
      </c>
      <c r="C621" s="114">
        <v>25</v>
      </c>
      <c r="D621" s="114">
        <v>47</v>
      </c>
      <c r="E621" s="154" cm="1">
        <f t="array" ref="E621">IF(ISBLANK(MainData[[#This Row],[EventID]]),0,IFERROR(INDEX(MainData[],MATCH(MainData[[#This Row],[EventID]],IF(MainData[Product]="Date",MainData[EventID],0),0),12),0))</f>
        <v>44590</v>
      </c>
      <c r="F621" s="155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1" s="155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1" s="157" t="s">
        <v>84</v>
      </c>
      <c r="J621" t="s">
        <v>187</v>
      </c>
      <c r="K621" s="2" t="s">
        <v>157</v>
      </c>
      <c r="L621" s="2" t="s">
        <v>175</v>
      </c>
      <c r="M621" s="2" t="s">
        <v>455</v>
      </c>
      <c r="N621" s="2"/>
      <c r="O621" s="109"/>
      <c r="P621" s="109"/>
      <c r="Q621" s="109"/>
    </row>
    <row r="622" spans="2:17" x14ac:dyDescent="0.25">
      <c r="B622" s="114">
        <v>11</v>
      </c>
      <c r="C622" s="114">
        <v>25</v>
      </c>
      <c r="D622" s="114">
        <v>47</v>
      </c>
      <c r="E622" s="154" cm="1">
        <f t="array" ref="E622">IF(ISBLANK(MainData[[#This Row],[EventID]]),0,IFERROR(INDEX(MainData[],MATCH(MainData[[#This Row],[EventID]],IF(MainData[Product]="Date",MainData[EventID],0),0),12),0))</f>
        <v>44590</v>
      </c>
      <c r="F622" s="155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2" s="155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2" s="157" t="s">
        <v>84</v>
      </c>
      <c r="J622" t="s">
        <v>187</v>
      </c>
      <c r="K622" s="2" t="s">
        <v>157</v>
      </c>
      <c r="L622" s="2" t="s">
        <v>138</v>
      </c>
      <c r="M622" s="2">
        <v>1000</v>
      </c>
      <c r="N622" s="2"/>
      <c r="O622" s="109"/>
      <c r="P622" s="109"/>
      <c r="Q622" s="109"/>
    </row>
    <row r="623" spans="2:17" x14ac:dyDescent="0.25">
      <c r="B623" s="114">
        <v>11</v>
      </c>
      <c r="C623" s="114">
        <v>25</v>
      </c>
      <c r="D623" s="114">
        <v>47</v>
      </c>
      <c r="E623" s="154" cm="1">
        <f t="array" ref="E623">IF(ISBLANK(MainData[[#This Row],[EventID]]),0,IFERROR(INDEX(MainData[],MATCH(MainData[[#This Row],[EventID]],IF(MainData[Product]="Date",MainData[EventID],0),0),12),0))</f>
        <v>44590</v>
      </c>
      <c r="F623" s="155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3" s="155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3" s="157" t="s">
        <v>84</v>
      </c>
      <c r="J623" t="s">
        <v>187</v>
      </c>
      <c r="K623" s="2" t="s">
        <v>157</v>
      </c>
      <c r="L623" s="2" t="s">
        <v>86</v>
      </c>
      <c r="M623" s="2">
        <v>3</v>
      </c>
      <c r="N623" s="2"/>
      <c r="O623" s="109"/>
      <c r="P623" s="109"/>
      <c r="Q623" s="109"/>
    </row>
    <row r="624" spans="2:17" x14ac:dyDescent="0.25">
      <c r="B624" s="114">
        <v>11</v>
      </c>
      <c r="C624" s="114">
        <v>25</v>
      </c>
      <c r="D624" s="114">
        <v>47</v>
      </c>
      <c r="E624" s="154" cm="1">
        <f t="array" ref="E624">IF(ISBLANK(MainData[[#This Row],[EventID]]),0,IFERROR(INDEX(MainData[],MATCH(MainData[[#This Row],[EventID]],IF(MainData[Product]="Date",MainData[EventID],0),0),12),0))</f>
        <v>44590</v>
      </c>
      <c r="F624" s="155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4" s="155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4" s="157" t="s">
        <v>84</v>
      </c>
      <c r="J624" t="s">
        <v>187</v>
      </c>
      <c r="K624" s="2" t="s">
        <v>157</v>
      </c>
      <c r="L624" s="2" t="s">
        <v>118</v>
      </c>
      <c r="M624" s="2" t="s">
        <v>461</v>
      </c>
      <c r="N624" s="2"/>
      <c r="O624" s="109"/>
      <c r="P624" s="109"/>
      <c r="Q624" s="109"/>
    </row>
    <row r="625" spans="2:17" x14ac:dyDescent="0.25">
      <c r="B625" s="114">
        <v>11</v>
      </c>
      <c r="C625" s="114">
        <v>25</v>
      </c>
      <c r="D625" s="114">
        <v>47</v>
      </c>
      <c r="E625" s="154" cm="1">
        <f t="array" ref="E625">IF(ISBLANK(MainData[[#This Row],[EventID]]),0,IFERROR(INDEX(MainData[],MATCH(MainData[[#This Row],[EventID]],IF(MainData[Product]="Date",MainData[EventID],0),0),12),0))</f>
        <v>44590</v>
      </c>
      <c r="F625" s="155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5" s="155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5" s="20" t="s">
        <v>85</v>
      </c>
      <c r="J625" t="s">
        <v>20</v>
      </c>
      <c r="K625" s="2" t="s">
        <v>116</v>
      </c>
      <c r="L625" s="2" t="s">
        <v>88</v>
      </c>
      <c r="M625" s="2" t="s">
        <v>189</v>
      </c>
      <c r="N625" s="2" t="s">
        <v>233</v>
      </c>
      <c r="O625" s="109">
        <v>5</v>
      </c>
      <c r="P625" s="109"/>
      <c r="Q625" s="109"/>
    </row>
    <row r="626" spans="2:17" x14ac:dyDescent="0.25">
      <c r="B626" s="114">
        <v>11</v>
      </c>
      <c r="C626" s="114">
        <v>25</v>
      </c>
      <c r="D626" s="114">
        <v>47</v>
      </c>
      <c r="E626" s="154" cm="1">
        <f t="array" ref="E626">IF(ISBLANK(MainData[[#This Row],[EventID]]),0,IFERROR(INDEX(MainData[],MATCH(MainData[[#This Row],[EventID]],IF(MainData[Product]="Date",MainData[EventID],0),0),12),0))</f>
        <v>44590</v>
      </c>
      <c r="F626" s="155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6" s="155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6" s="20" t="s">
        <v>85</v>
      </c>
      <c r="J626" t="s">
        <v>20</v>
      </c>
      <c r="K626" s="2" t="s">
        <v>116</v>
      </c>
      <c r="L626" s="2" t="s">
        <v>87</v>
      </c>
      <c r="M626" s="2" t="s">
        <v>188</v>
      </c>
      <c r="N626" s="2" t="s">
        <v>233</v>
      </c>
      <c r="O626" s="109">
        <v>10</v>
      </c>
      <c r="P626" s="109"/>
      <c r="Q626" s="109">
        <v>600</v>
      </c>
    </row>
    <row r="627" spans="2:17" x14ac:dyDescent="0.25">
      <c r="B627" s="114">
        <v>11</v>
      </c>
      <c r="C627" s="114">
        <v>25</v>
      </c>
      <c r="D627" s="114">
        <v>47</v>
      </c>
      <c r="E627" s="154" cm="1">
        <f t="array" ref="E627">IF(ISBLANK(MainData[[#This Row],[EventID]]),0,IFERROR(INDEX(MainData[],MATCH(MainData[[#This Row],[EventID]],IF(MainData[Product]="Date",MainData[EventID],0),0),12),0))</f>
        <v>44590</v>
      </c>
      <c r="F627" s="155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7" s="155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7" s="157" t="s">
        <v>85</v>
      </c>
      <c r="J627" t="s">
        <v>20</v>
      </c>
      <c r="K627" s="2" t="s">
        <v>29</v>
      </c>
      <c r="L627" s="2" t="s">
        <v>35</v>
      </c>
      <c r="M627" s="2" t="s">
        <v>382</v>
      </c>
      <c r="N627" s="2" t="s">
        <v>273</v>
      </c>
      <c r="O627" s="109">
        <v>10</v>
      </c>
      <c r="P627" s="109">
        <v>1125</v>
      </c>
      <c r="Q627" s="109">
        <v>9725</v>
      </c>
    </row>
    <row r="628" spans="2:17" x14ac:dyDescent="0.25">
      <c r="B628" s="114">
        <v>11</v>
      </c>
      <c r="C628" s="114">
        <v>25</v>
      </c>
      <c r="D628" s="114">
        <v>47</v>
      </c>
      <c r="E628" s="154" cm="1">
        <f t="array" ref="E628">IF(ISBLANK(MainData[[#This Row],[EventID]]),0,IFERROR(INDEX(MainData[],MATCH(MainData[[#This Row],[EventID]],IF(MainData[Product]="Date",MainData[EventID],0),0),12),0))</f>
        <v>44590</v>
      </c>
      <c r="F628" s="155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8" s="155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8" s="20" t="s">
        <v>85</v>
      </c>
      <c r="J628" t="s">
        <v>20</v>
      </c>
      <c r="K628" s="2" t="s">
        <v>29</v>
      </c>
      <c r="L628" s="2" t="s">
        <v>36</v>
      </c>
      <c r="M628" s="2" t="s">
        <v>384</v>
      </c>
      <c r="N628" s="2" t="s">
        <v>237</v>
      </c>
      <c r="O628" s="109">
        <v>6</v>
      </c>
      <c r="P628" s="109">
        <v>3340.03</v>
      </c>
      <c r="Q628" s="109">
        <v>14940</v>
      </c>
    </row>
    <row r="629" spans="2:17" x14ac:dyDescent="0.25">
      <c r="B629" s="114">
        <v>11</v>
      </c>
      <c r="C629" s="114">
        <v>25</v>
      </c>
      <c r="D629" s="114">
        <v>47</v>
      </c>
      <c r="E629" s="154" cm="1">
        <f t="array" ref="E629">IF(ISBLANK(MainData[[#This Row],[EventID]]),0,IFERROR(INDEX(MainData[],MATCH(MainData[[#This Row],[EventID]],IF(MainData[Product]="Date",MainData[EventID],0),0),12),0))</f>
        <v>44590</v>
      </c>
      <c r="F629" s="155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9" s="155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9" s="157" t="s">
        <v>85</v>
      </c>
      <c r="J629" t="s">
        <v>20</v>
      </c>
      <c r="K629" s="2" t="s">
        <v>29</v>
      </c>
      <c r="L629" s="2" t="s">
        <v>65</v>
      </c>
      <c r="M629" s="2" t="s">
        <v>383</v>
      </c>
      <c r="N629" s="2" t="s">
        <v>273</v>
      </c>
      <c r="O629" s="109">
        <v>6</v>
      </c>
      <c r="P629" s="109">
        <v>55</v>
      </c>
      <c r="Q629" s="109">
        <v>1235</v>
      </c>
    </row>
    <row r="630" spans="2:17" x14ac:dyDescent="0.25">
      <c r="B630" s="114">
        <v>11</v>
      </c>
      <c r="C630" s="114">
        <v>25</v>
      </c>
      <c r="D630" s="114">
        <v>47</v>
      </c>
      <c r="E630" s="154" cm="1">
        <f t="array" ref="E630">IF(ISBLANK(MainData[[#This Row],[EventID]]),0,IFERROR(INDEX(MainData[],MATCH(MainData[[#This Row],[EventID]],IF(MainData[Product]="Date",MainData[EventID],0),0),12),0))</f>
        <v>44590</v>
      </c>
      <c r="F630" s="155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30" s="155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30" s="157" t="s">
        <v>85</v>
      </c>
      <c r="J630" t="s">
        <v>20</v>
      </c>
      <c r="K630" s="2" t="s">
        <v>29</v>
      </c>
      <c r="L630" s="2" t="s">
        <v>25</v>
      </c>
      <c r="M630" s="2" t="s">
        <v>388</v>
      </c>
      <c r="N630" s="2" t="s">
        <v>237</v>
      </c>
      <c r="O630" s="109">
        <v>6</v>
      </c>
      <c r="P630" s="109">
        <v>490</v>
      </c>
      <c r="Q630" s="109">
        <v>4965</v>
      </c>
    </row>
    <row r="631" spans="2:17" x14ac:dyDescent="0.25">
      <c r="B631" s="114">
        <v>3</v>
      </c>
      <c r="C631" s="114">
        <v>5</v>
      </c>
      <c r="D631" s="114">
        <v>45</v>
      </c>
      <c r="E631" s="154" cm="1">
        <f t="array" ref="E631">IF(ISBLANK(MainData[[#This Row],[EventID]]),0,IFERROR(INDEX(MainData[],MATCH(MainData[[#This Row],[EventID]],IF(MainData[Product]="Date",MainData[EventID],0),0),12),0))</f>
        <v>44590</v>
      </c>
      <c r="F631" s="155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1" s="155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1" s="157" t="s">
        <v>84</v>
      </c>
      <c r="J631" t="s">
        <v>187</v>
      </c>
      <c r="K631" s="2" t="s">
        <v>157</v>
      </c>
      <c r="L631" s="2" t="s">
        <v>81</v>
      </c>
      <c r="M631" s="2">
        <v>1</v>
      </c>
      <c r="N631" s="2"/>
      <c r="O631" s="109"/>
      <c r="P631" s="109"/>
      <c r="Q631" s="109"/>
    </row>
    <row r="632" spans="2:17" x14ac:dyDescent="0.25">
      <c r="B632" s="114">
        <v>3</v>
      </c>
      <c r="C632" s="114">
        <v>5</v>
      </c>
      <c r="D632" s="114">
        <v>45</v>
      </c>
      <c r="E632" s="154" cm="1">
        <f t="array" ref="E632">IF(ISBLANK(MainData[[#This Row],[EventID]]),0,IFERROR(INDEX(MainData[],MATCH(MainData[[#This Row],[EventID]],IF(MainData[Product]="Date",MainData[EventID],0),0),12),0))</f>
        <v>44590</v>
      </c>
      <c r="F632" s="155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2" s="155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2" s="157" t="s">
        <v>84</v>
      </c>
      <c r="J632" t="s">
        <v>187</v>
      </c>
      <c r="K632" s="2" t="s">
        <v>157</v>
      </c>
      <c r="L632" s="2" t="s">
        <v>0</v>
      </c>
      <c r="M632" s="158">
        <v>44590</v>
      </c>
      <c r="N632" s="2"/>
      <c r="O632" s="109"/>
      <c r="P632" s="109"/>
      <c r="Q632" s="109"/>
    </row>
    <row r="633" spans="2:17" x14ac:dyDescent="0.25">
      <c r="B633" s="114">
        <v>3</v>
      </c>
      <c r="C633" s="114">
        <v>5</v>
      </c>
      <c r="D633" s="114">
        <v>45</v>
      </c>
      <c r="E633" s="154" cm="1">
        <f t="array" ref="E633">IF(ISBLANK(MainData[[#This Row],[EventID]]),0,IFERROR(INDEX(MainData[],MATCH(MainData[[#This Row],[EventID]],IF(MainData[Product]="Date",MainData[EventID],0),0),12),0))</f>
        <v>44590</v>
      </c>
      <c r="F633" s="155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3" s="155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3" s="157" t="s">
        <v>84</v>
      </c>
      <c r="J633" t="s">
        <v>187</v>
      </c>
      <c r="K633" s="2" t="s">
        <v>157</v>
      </c>
      <c r="L633" s="2" t="s">
        <v>82</v>
      </c>
      <c r="M633" s="2">
        <v>708495</v>
      </c>
      <c r="N633" s="2"/>
      <c r="O633" s="109"/>
      <c r="P633" s="109"/>
      <c r="Q633" s="109"/>
    </row>
    <row r="634" spans="2:17" x14ac:dyDescent="0.25">
      <c r="B634" s="114">
        <v>3</v>
      </c>
      <c r="C634" s="114">
        <v>5</v>
      </c>
      <c r="D634" s="114">
        <v>45</v>
      </c>
      <c r="E634" s="154" cm="1">
        <f t="array" ref="E634">IF(ISBLANK(MainData[[#This Row],[EventID]]),0,IFERROR(INDEX(MainData[],MATCH(MainData[[#This Row],[EventID]],IF(MainData[Product]="Date",MainData[EventID],0),0),12),0))</f>
        <v>44590</v>
      </c>
      <c r="F634" s="155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4" s="155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4" s="157" t="s">
        <v>84</v>
      </c>
      <c r="J634" t="s">
        <v>187</v>
      </c>
      <c r="K634" s="2" t="s">
        <v>157</v>
      </c>
      <c r="L634" s="2" t="s">
        <v>175</v>
      </c>
      <c r="M634" s="2" t="s">
        <v>457</v>
      </c>
      <c r="N634" s="2"/>
      <c r="O634" s="109"/>
      <c r="P634" s="109"/>
      <c r="Q634" s="109"/>
    </row>
    <row r="635" spans="2:17" x14ac:dyDescent="0.25">
      <c r="B635" s="114">
        <v>3</v>
      </c>
      <c r="C635" s="114">
        <v>5</v>
      </c>
      <c r="D635" s="114">
        <v>45</v>
      </c>
      <c r="E635" s="154" cm="1">
        <f t="array" ref="E635">IF(ISBLANK(MainData[[#This Row],[EventID]]),0,IFERROR(INDEX(MainData[],MATCH(MainData[[#This Row],[EventID]],IF(MainData[Product]="Date",MainData[EventID],0),0),12),0))</f>
        <v>44590</v>
      </c>
      <c r="F635" s="155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5" s="155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5" s="157" t="s">
        <v>84</v>
      </c>
      <c r="J635" t="s">
        <v>187</v>
      </c>
      <c r="K635" s="2" t="s">
        <v>157</v>
      </c>
      <c r="L635" s="2" t="s">
        <v>138</v>
      </c>
      <c r="M635" s="2">
        <v>85</v>
      </c>
      <c r="N635" s="2"/>
      <c r="O635" s="109"/>
      <c r="P635" s="109"/>
      <c r="Q635" s="109"/>
    </row>
    <row r="636" spans="2:17" x14ac:dyDescent="0.25">
      <c r="B636" s="114">
        <v>3</v>
      </c>
      <c r="C636" s="114">
        <v>5</v>
      </c>
      <c r="D636" s="114">
        <v>45</v>
      </c>
      <c r="E636" s="154" cm="1">
        <f t="array" ref="E636">IF(ISBLANK(MainData[[#This Row],[EventID]]),0,IFERROR(INDEX(MainData[],MATCH(MainData[[#This Row],[EventID]],IF(MainData[Product]="Date",MainData[EventID],0),0),12),0))</f>
        <v>44590</v>
      </c>
      <c r="F636" s="155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6" s="155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6" s="157" t="s">
        <v>84</v>
      </c>
      <c r="J636" t="s">
        <v>187</v>
      </c>
      <c r="K636" s="2" t="s">
        <v>157</v>
      </c>
      <c r="L636" s="2" t="s">
        <v>86</v>
      </c>
      <c r="M636" s="2">
        <v>2</v>
      </c>
      <c r="N636" s="2"/>
      <c r="O636" s="109"/>
      <c r="P636" s="109"/>
      <c r="Q636" s="109"/>
    </row>
    <row r="637" spans="2:17" x14ac:dyDescent="0.25">
      <c r="B637" s="114">
        <v>3</v>
      </c>
      <c r="C637" s="114">
        <v>5</v>
      </c>
      <c r="D637" s="114">
        <v>45</v>
      </c>
      <c r="E637" s="154" cm="1">
        <f t="array" ref="E637">IF(ISBLANK(MainData[[#This Row],[EventID]]),0,IFERROR(INDEX(MainData[],MATCH(MainData[[#This Row],[EventID]],IF(MainData[Product]="Date",MainData[EventID],0),0),12),0))</f>
        <v>44590</v>
      </c>
      <c r="F637" s="155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7" s="155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7" s="157" t="s">
        <v>84</v>
      </c>
      <c r="J637" t="s">
        <v>187</v>
      </c>
      <c r="K637" s="2" t="s">
        <v>157</v>
      </c>
      <c r="L637" s="2" t="s">
        <v>118</v>
      </c>
      <c r="M637" s="2" t="s">
        <v>503</v>
      </c>
      <c r="N637" s="2"/>
      <c r="O637" s="109"/>
      <c r="P637" s="109"/>
      <c r="Q637" s="109"/>
    </row>
    <row r="638" spans="2:17" x14ac:dyDescent="0.25">
      <c r="B638" s="114">
        <v>3</v>
      </c>
      <c r="C638" s="114">
        <v>5</v>
      </c>
      <c r="D638" s="114">
        <v>45</v>
      </c>
      <c r="E638" s="154" cm="1">
        <f t="array" ref="E638">IF(ISBLANK(MainData[[#This Row],[EventID]]),0,IFERROR(INDEX(MainData[],MATCH(MainData[[#This Row],[EventID]],IF(MainData[Product]="Date",MainData[EventID],0),0),12),0))</f>
        <v>44590</v>
      </c>
      <c r="F638" s="155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8" s="155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8" s="20" t="s">
        <v>85</v>
      </c>
      <c r="J638" t="s">
        <v>20</v>
      </c>
      <c r="K638" s="2" t="s">
        <v>116</v>
      </c>
      <c r="L638" s="2" t="s">
        <v>88</v>
      </c>
      <c r="M638" s="2" t="s">
        <v>189</v>
      </c>
      <c r="N638" s="2" t="s">
        <v>233</v>
      </c>
      <c r="O638" s="109">
        <v>1</v>
      </c>
      <c r="P638" s="109"/>
      <c r="Q638" s="109"/>
    </row>
    <row r="639" spans="2:17" x14ac:dyDescent="0.25">
      <c r="B639" s="114">
        <v>3</v>
      </c>
      <c r="C639" s="114">
        <v>5</v>
      </c>
      <c r="D639" s="114">
        <v>45</v>
      </c>
      <c r="E639" s="154" cm="1">
        <f t="array" ref="E639">IF(ISBLANK(MainData[[#This Row],[EventID]]),0,IFERROR(INDEX(MainData[],MATCH(MainData[[#This Row],[EventID]],IF(MainData[Product]="Date",MainData[EventID],0),0),12),0))</f>
        <v>44590</v>
      </c>
      <c r="F639" s="155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9" s="155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9" s="20" t="s">
        <v>85</v>
      </c>
      <c r="J639" t="s">
        <v>20</v>
      </c>
      <c r="K639" s="2" t="s">
        <v>116</v>
      </c>
      <c r="L639" s="2" t="s">
        <v>87</v>
      </c>
      <c r="M639" s="2" t="s">
        <v>188</v>
      </c>
      <c r="N639" s="2" t="s">
        <v>233</v>
      </c>
      <c r="O639" s="109">
        <v>1</v>
      </c>
      <c r="P639" s="109"/>
      <c r="Q639" s="109">
        <v>100</v>
      </c>
    </row>
    <row r="640" spans="2:17" x14ac:dyDescent="0.25">
      <c r="B640" s="114">
        <v>3</v>
      </c>
      <c r="C640" s="114">
        <v>5</v>
      </c>
      <c r="D640" s="114">
        <v>45</v>
      </c>
      <c r="E640" s="154" cm="1">
        <f t="array" ref="E640">IF(ISBLANK(MainData[[#This Row],[EventID]]),0,IFERROR(INDEX(MainData[],MATCH(MainData[[#This Row],[EventID]],IF(MainData[Product]="Date",MainData[EventID],0),0),12),0))</f>
        <v>44590</v>
      </c>
      <c r="F640" s="155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0" s="155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0" s="157" t="s">
        <v>85</v>
      </c>
      <c r="J640" t="s">
        <v>20</v>
      </c>
      <c r="K640" s="2" t="s">
        <v>29</v>
      </c>
      <c r="L640" s="2" t="s">
        <v>35</v>
      </c>
      <c r="M640" s="2" t="s">
        <v>382</v>
      </c>
      <c r="N640" s="2" t="s">
        <v>234</v>
      </c>
      <c r="O640" s="109">
        <v>1</v>
      </c>
      <c r="P640" s="109">
        <v>185</v>
      </c>
      <c r="Q640" s="109">
        <v>1825</v>
      </c>
    </row>
    <row r="641" spans="2:17" x14ac:dyDescent="0.25">
      <c r="B641" s="114">
        <v>3</v>
      </c>
      <c r="C641" s="114">
        <v>5</v>
      </c>
      <c r="D641" s="114">
        <v>45</v>
      </c>
      <c r="E641" s="154" cm="1">
        <f t="array" ref="E641">IF(ISBLANK(MainData[[#This Row],[EventID]]),0,IFERROR(INDEX(MainData[],MATCH(MainData[[#This Row],[EventID]],IF(MainData[Product]="Date",MainData[EventID],0),0),12),0))</f>
        <v>44590</v>
      </c>
      <c r="F641" s="155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1" s="155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1" s="157" t="s">
        <v>85</v>
      </c>
      <c r="J641" t="s">
        <v>20</v>
      </c>
      <c r="K641" s="2" t="s">
        <v>29</v>
      </c>
      <c r="L641" s="2" t="s">
        <v>65</v>
      </c>
      <c r="M641" s="2" t="s">
        <v>383</v>
      </c>
      <c r="N641" s="2" t="s">
        <v>234</v>
      </c>
      <c r="O641" s="109">
        <v>1</v>
      </c>
      <c r="P641" s="109">
        <v>2.5</v>
      </c>
      <c r="Q641" s="109">
        <v>95.5</v>
      </c>
    </row>
    <row r="642" spans="2:17" x14ac:dyDescent="0.25">
      <c r="B642" s="114">
        <v>3</v>
      </c>
      <c r="C642" s="114">
        <v>5</v>
      </c>
      <c r="D642" s="114">
        <v>45</v>
      </c>
      <c r="E642" s="154" cm="1">
        <f t="array" ref="E642">IF(ISBLANK(MainData[[#This Row],[EventID]]),0,IFERROR(INDEX(MainData[],MATCH(MainData[[#This Row],[EventID]],IF(MainData[Product]="Date",MainData[EventID],0),0),12),0))</f>
        <v>44590</v>
      </c>
      <c r="F642" s="155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2" s="155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2" s="20" t="s">
        <v>85</v>
      </c>
      <c r="J642" t="s">
        <v>20</v>
      </c>
      <c r="K642" s="2" t="s">
        <v>29</v>
      </c>
      <c r="L642" s="2" t="s">
        <v>25</v>
      </c>
      <c r="M642" s="2" t="s">
        <v>388</v>
      </c>
      <c r="N642" s="2" t="s">
        <v>234</v>
      </c>
      <c r="O642" s="109">
        <v>1</v>
      </c>
      <c r="P642" s="109">
        <v>75.819999999999993</v>
      </c>
      <c r="Q642" s="109">
        <v>1245</v>
      </c>
    </row>
    <row r="643" spans="2:17" x14ac:dyDescent="0.25">
      <c r="B643" s="114">
        <v>24</v>
      </c>
      <c r="C643" s="114">
        <v>63</v>
      </c>
      <c r="D643" s="114">
        <v>48</v>
      </c>
      <c r="E643" s="154" cm="1">
        <f t="array" ref="E643">IF(ISBLANK(MainData[[#This Row],[EventID]]),0,IFERROR(INDEX(MainData[],MATCH(MainData[[#This Row],[EventID]],IF(MainData[Product]="Date",MainData[EventID],0),0),12),0))</f>
        <v>44590</v>
      </c>
      <c r="F643" s="155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3" s="155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3" s="157" t="s">
        <v>84</v>
      </c>
      <c r="J643" t="s">
        <v>187</v>
      </c>
      <c r="K643" s="2" t="s">
        <v>157</v>
      </c>
      <c r="L643" s="2" t="s">
        <v>81</v>
      </c>
      <c r="M643" s="2">
        <v>1</v>
      </c>
      <c r="N643" s="2"/>
      <c r="O643" s="109"/>
      <c r="P643" s="109"/>
      <c r="Q643" s="109"/>
    </row>
    <row r="644" spans="2:17" x14ac:dyDescent="0.25">
      <c r="B644" s="114">
        <v>24</v>
      </c>
      <c r="C644" s="114">
        <v>63</v>
      </c>
      <c r="D644" s="114">
        <v>48</v>
      </c>
      <c r="E644" s="154" cm="1">
        <f t="array" ref="E644">IF(ISBLANK(MainData[[#This Row],[EventID]]),0,IFERROR(INDEX(MainData[],MATCH(MainData[[#This Row],[EventID]],IF(MainData[Product]="Date",MainData[EventID],0),0),12),0))</f>
        <v>44590</v>
      </c>
      <c r="F644" s="155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4" s="155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4" s="157" t="s">
        <v>84</v>
      </c>
      <c r="J644" t="s">
        <v>187</v>
      </c>
      <c r="K644" s="2" t="s">
        <v>157</v>
      </c>
      <c r="L644" s="2" t="s">
        <v>0</v>
      </c>
      <c r="M644" s="158">
        <v>44590</v>
      </c>
      <c r="N644" s="2"/>
      <c r="O644" s="109"/>
      <c r="P644" s="109"/>
      <c r="Q644" s="109"/>
    </row>
    <row r="645" spans="2:17" x14ac:dyDescent="0.25">
      <c r="B645" s="114">
        <v>24</v>
      </c>
      <c r="C645" s="114">
        <v>63</v>
      </c>
      <c r="D645" s="114">
        <v>48</v>
      </c>
      <c r="E645" s="154" cm="1">
        <f t="array" ref="E645">IF(ISBLANK(MainData[[#This Row],[EventID]]),0,IFERROR(INDEX(MainData[],MATCH(MainData[[#This Row],[EventID]],IF(MainData[Product]="Date",MainData[EventID],0),0),12),0))</f>
        <v>44590</v>
      </c>
      <c r="F645" s="155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5" s="155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5" s="157" t="s">
        <v>84</v>
      </c>
      <c r="J645" t="s">
        <v>187</v>
      </c>
      <c r="K645" s="2" t="s">
        <v>157</v>
      </c>
      <c r="L645" s="2" t="s">
        <v>82</v>
      </c>
      <c r="M645" s="2">
        <v>721084</v>
      </c>
      <c r="N645" s="2"/>
      <c r="O645" s="109"/>
      <c r="P645" s="109"/>
      <c r="Q645" s="109"/>
    </row>
    <row r="646" spans="2:17" x14ac:dyDescent="0.25">
      <c r="B646" s="114">
        <v>24</v>
      </c>
      <c r="C646" s="114">
        <v>63</v>
      </c>
      <c r="D646" s="114">
        <v>48</v>
      </c>
      <c r="E646" s="154" cm="1">
        <f t="array" ref="E646">IF(ISBLANK(MainData[[#This Row],[EventID]]),0,IFERROR(INDEX(MainData[],MATCH(MainData[[#This Row],[EventID]],IF(MainData[Product]="Date",MainData[EventID],0),0),12),0))</f>
        <v>44590</v>
      </c>
      <c r="F646" s="155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6" s="155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6" s="157" t="s">
        <v>84</v>
      </c>
      <c r="J646" t="s">
        <v>187</v>
      </c>
      <c r="K646" s="2" t="s">
        <v>157</v>
      </c>
      <c r="L646" s="2" t="s">
        <v>175</v>
      </c>
      <c r="M646" s="2" t="s">
        <v>457</v>
      </c>
      <c r="N646" s="2"/>
      <c r="O646" s="109"/>
      <c r="P646" s="109"/>
      <c r="Q646" s="109"/>
    </row>
    <row r="647" spans="2:17" x14ac:dyDescent="0.25">
      <c r="B647" s="114">
        <v>24</v>
      </c>
      <c r="C647" s="114">
        <v>63</v>
      </c>
      <c r="D647" s="114">
        <v>48</v>
      </c>
      <c r="E647" s="154" cm="1">
        <f t="array" ref="E647">IF(ISBLANK(MainData[[#This Row],[EventID]]),0,IFERROR(INDEX(MainData[],MATCH(MainData[[#This Row],[EventID]],IF(MainData[Product]="Date",MainData[EventID],0),0),12),0))</f>
        <v>44590</v>
      </c>
      <c r="F647" s="155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7" s="155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7" s="157" t="s">
        <v>84</v>
      </c>
      <c r="J647" t="s">
        <v>187</v>
      </c>
      <c r="K647" s="2" t="s">
        <v>157</v>
      </c>
      <c r="L647" s="2" t="s">
        <v>138</v>
      </c>
      <c r="M647" s="2">
        <v>55</v>
      </c>
      <c r="N647" s="2"/>
      <c r="O647" s="109"/>
      <c r="P647" s="109"/>
      <c r="Q647" s="109"/>
    </row>
    <row r="648" spans="2:17" x14ac:dyDescent="0.25">
      <c r="B648" s="114">
        <v>24</v>
      </c>
      <c r="C648" s="114">
        <v>63</v>
      </c>
      <c r="D648" s="114">
        <v>48</v>
      </c>
      <c r="E648" s="154" cm="1">
        <f t="array" ref="E648">IF(ISBLANK(MainData[[#This Row],[EventID]]),0,IFERROR(INDEX(MainData[],MATCH(MainData[[#This Row],[EventID]],IF(MainData[Product]="Date",MainData[EventID],0),0),12),0))</f>
        <v>44590</v>
      </c>
      <c r="F648" s="155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8" s="155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8" s="157" t="s">
        <v>84</v>
      </c>
      <c r="J648" t="s">
        <v>187</v>
      </c>
      <c r="K648" s="2" t="s">
        <v>157</v>
      </c>
      <c r="L648" s="2" t="s">
        <v>86</v>
      </c>
      <c r="M648" s="2">
        <v>2.5</v>
      </c>
      <c r="N648" s="2"/>
      <c r="O648" s="109"/>
      <c r="P648" s="109"/>
      <c r="Q648" s="109"/>
    </row>
    <row r="649" spans="2:17" x14ac:dyDescent="0.25">
      <c r="B649" s="114">
        <v>24</v>
      </c>
      <c r="C649" s="114">
        <v>63</v>
      </c>
      <c r="D649" s="114">
        <v>48</v>
      </c>
      <c r="E649" s="154" cm="1">
        <f t="array" ref="E649">IF(ISBLANK(MainData[[#This Row],[EventID]]),0,IFERROR(INDEX(MainData[],MATCH(MainData[[#This Row],[EventID]],IF(MainData[Product]="Date",MainData[EventID],0),0),12),0))</f>
        <v>44590</v>
      </c>
      <c r="F649" s="155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9" s="155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9" s="157" t="s">
        <v>84</v>
      </c>
      <c r="J649" t="s">
        <v>187</v>
      </c>
      <c r="K649" s="2" t="s">
        <v>157</v>
      </c>
      <c r="L649" s="2" t="s">
        <v>118</v>
      </c>
      <c r="M649" s="2" t="s">
        <v>472</v>
      </c>
      <c r="N649" s="2"/>
      <c r="O649" s="109"/>
      <c r="P649" s="109"/>
      <c r="Q649" s="109"/>
    </row>
    <row r="650" spans="2:17" x14ac:dyDescent="0.25">
      <c r="B650" s="114">
        <v>24</v>
      </c>
      <c r="C650" s="114">
        <v>63</v>
      </c>
      <c r="D650" s="114">
        <v>48</v>
      </c>
      <c r="E650" s="154" cm="1">
        <f t="array" ref="E650">IF(ISBLANK(MainData[[#This Row],[EventID]]),0,IFERROR(INDEX(MainData[],MATCH(MainData[[#This Row],[EventID]],IF(MainData[Product]="Date",MainData[EventID],0),0),12),0))</f>
        <v>44590</v>
      </c>
      <c r="F650" s="155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0" s="155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0" s="20" t="s">
        <v>85</v>
      </c>
      <c r="J650" t="s">
        <v>20</v>
      </c>
      <c r="K650" s="2" t="s">
        <v>116</v>
      </c>
      <c r="L650" s="2" t="s">
        <v>88</v>
      </c>
      <c r="M650" s="2" t="s">
        <v>189</v>
      </c>
      <c r="N650" s="2" t="s">
        <v>233</v>
      </c>
      <c r="O650" s="109">
        <v>1</v>
      </c>
      <c r="P650" s="109"/>
      <c r="Q650" s="109"/>
    </row>
    <row r="651" spans="2:17" x14ac:dyDescent="0.25">
      <c r="B651" s="114">
        <v>24</v>
      </c>
      <c r="C651" s="114">
        <v>63</v>
      </c>
      <c r="D651" s="114">
        <v>48</v>
      </c>
      <c r="E651" s="154" cm="1">
        <f t="array" ref="E651">IF(ISBLANK(MainData[[#This Row],[EventID]]),0,IFERROR(INDEX(MainData[],MATCH(MainData[[#This Row],[EventID]],IF(MainData[Product]="Date",MainData[EventID],0),0),12),0))</f>
        <v>44590</v>
      </c>
      <c r="F651" s="155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1" s="155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1" s="20" t="s">
        <v>85</v>
      </c>
      <c r="J651" t="s">
        <v>20</v>
      </c>
      <c r="K651" s="2" t="s">
        <v>116</v>
      </c>
      <c r="L651" s="2" t="s">
        <v>87</v>
      </c>
      <c r="M651" s="2" t="s">
        <v>188</v>
      </c>
      <c r="N651" s="2" t="s">
        <v>233</v>
      </c>
      <c r="O651" s="109">
        <v>1</v>
      </c>
      <c r="P651" s="109"/>
      <c r="Q651" s="109">
        <v>100</v>
      </c>
    </row>
    <row r="652" spans="2:17" x14ac:dyDescent="0.25">
      <c r="B652" s="114">
        <v>24</v>
      </c>
      <c r="C652" s="114">
        <v>63</v>
      </c>
      <c r="D652" s="114">
        <v>48</v>
      </c>
      <c r="E652" s="154" cm="1">
        <f t="array" ref="E652">IF(ISBLANK(MainData[[#This Row],[EventID]]),0,IFERROR(INDEX(MainData[],MATCH(MainData[[#This Row],[EventID]],IF(MainData[Product]="Date",MainData[EventID],0),0),12),0))</f>
        <v>44590</v>
      </c>
      <c r="F652" s="155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2" s="155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2" s="157" t="s">
        <v>85</v>
      </c>
      <c r="J652" t="s">
        <v>20</v>
      </c>
      <c r="K652" s="2" t="s">
        <v>29</v>
      </c>
      <c r="L652" s="2" t="s">
        <v>35</v>
      </c>
      <c r="M652" s="2" t="s">
        <v>382</v>
      </c>
      <c r="N652" s="2" t="s">
        <v>234</v>
      </c>
      <c r="O652" s="109">
        <v>1</v>
      </c>
      <c r="P652" s="109">
        <v>36</v>
      </c>
      <c r="Q652" s="109">
        <v>345</v>
      </c>
    </row>
    <row r="653" spans="2:17" x14ac:dyDescent="0.25">
      <c r="B653" s="114">
        <v>24</v>
      </c>
      <c r="C653" s="114">
        <v>63</v>
      </c>
      <c r="D653" s="114">
        <v>48</v>
      </c>
      <c r="E653" s="154" cm="1">
        <f t="array" ref="E653">IF(ISBLANK(MainData[[#This Row],[EventID]]),0,IFERROR(INDEX(MainData[],MATCH(MainData[[#This Row],[EventID]],IF(MainData[Product]="Date",MainData[EventID],0),0),12),0))</f>
        <v>44590</v>
      </c>
      <c r="F653" s="155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3" s="155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3" s="20" t="s">
        <v>85</v>
      </c>
      <c r="J653" t="s">
        <v>20</v>
      </c>
      <c r="K653" s="2" t="s">
        <v>29</v>
      </c>
      <c r="L653" s="2" t="s">
        <v>36</v>
      </c>
      <c r="M653" s="2" t="s">
        <v>387</v>
      </c>
      <c r="N653" s="2" t="s">
        <v>234</v>
      </c>
      <c r="O653" s="109">
        <v>1</v>
      </c>
      <c r="P653" s="109">
        <v>38.99</v>
      </c>
      <c r="Q653" s="109">
        <v>427</v>
      </c>
    </row>
    <row r="654" spans="2:17" x14ac:dyDescent="0.25">
      <c r="B654" s="114">
        <v>24</v>
      </c>
      <c r="C654" s="114">
        <v>63</v>
      </c>
      <c r="D654" s="114">
        <v>48</v>
      </c>
      <c r="E654" s="154" cm="1">
        <f t="array" ref="E654">IF(ISBLANK(MainData[[#This Row],[EventID]]),0,IFERROR(INDEX(MainData[],MATCH(MainData[[#This Row],[EventID]],IF(MainData[Product]="Date",MainData[EventID],0),0),12),0))</f>
        <v>44590</v>
      </c>
      <c r="F654" s="155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4" s="155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4" s="157" t="s">
        <v>85</v>
      </c>
      <c r="J654" t="s">
        <v>20</v>
      </c>
      <c r="K654" s="2" t="s">
        <v>29</v>
      </c>
      <c r="L654" s="2" t="s">
        <v>65</v>
      </c>
      <c r="M654" s="2" t="s">
        <v>383</v>
      </c>
      <c r="N654" s="2" t="s">
        <v>234</v>
      </c>
      <c r="O654" s="109">
        <v>1</v>
      </c>
      <c r="P654" s="109">
        <v>1.25</v>
      </c>
      <c r="Q654" s="109">
        <v>36.5</v>
      </c>
    </row>
    <row r="655" spans="2:17" x14ac:dyDescent="0.25">
      <c r="B655" s="114">
        <v>24</v>
      </c>
      <c r="C655" s="114">
        <v>63</v>
      </c>
      <c r="D655" s="114">
        <v>48</v>
      </c>
      <c r="E655" s="154" cm="1">
        <f t="array" ref="E655">IF(ISBLANK(MainData[[#This Row],[EventID]]),0,IFERROR(INDEX(MainData[],MATCH(MainData[[#This Row],[EventID]],IF(MainData[Product]="Date",MainData[EventID],0),0),12),0))</f>
        <v>44590</v>
      </c>
      <c r="F655" s="155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5" s="155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5" s="157" t="s">
        <v>85</v>
      </c>
      <c r="J655" t="s">
        <v>20</v>
      </c>
      <c r="K655" s="2" t="s">
        <v>29</v>
      </c>
      <c r="L655" s="2" t="s">
        <v>25</v>
      </c>
      <c r="M655" s="2" t="s">
        <v>388</v>
      </c>
      <c r="N655" s="2" t="s">
        <v>234</v>
      </c>
      <c r="O655" s="109">
        <v>1</v>
      </c>
      <c r="P655" s="109">
        <v>21</v>
      </c>
      <c r="Q655" s="109">
        <v>210</v>
      </c>
    </row>
    <row r="656" spans="2:17" x14ac:dyDescent="0.25">
      <c r="B656" s="114">
        <v>11</v>
      </c>
      <c r="C656" s="114">
        <v>22</v>
      </c>
      <c r="D656" s="114">
        <v>49</v>
      </c>
      <c r="E656" s="154" cm="1">
        <f t="array" ref="E656">IF(ISBLANK(MainData[[#This Row],[EventID]]),0,IFERROR(INDEX(MainData[],MATCH(MainData[[#This Row],[EventID]],IF(MainData[Product]="Date",MainData[EventID],0),0),12),0))</f>
        <v>44591</v>
      </c>
      <c r="F656" s="155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6" s="155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6" s="157" t="s">
        <v>84</v>
      </c>
      <c r="J656" t="s">
        <v>187</v>
      </c>
      <c r="K656" s="2" t="s">
        <v>157</v>
      </c>
      <c r="L656" s="2" t="s">
        <v>81</v>
      </c>
      <c r="M656" s="2">
        <v>1</v>
      </c>
      <c r="N656" s="2"/>
      <c r="O656" s="109"/>
      <c r="P656" s="109"/>
      <c r="Q656" s="109"/>
    </row>
    <row r="657" spans="2:17" x14ac:dyDescent="0.25">
      <c r="B657" s="114">
        <v>11</v>
      </c>
      <c r="C657" s="114">
        <v>22</v>
      </c>
      <c r="D657" s="114">
        <v>49</v>
      </c>
      <c r="E657" s="154" cm="1">
        <f t="array" ref="E657">IF(ISBLANK(MainData[[#This Row],[EventID]]),0,IFERROR(INDEX(MainData[],MATCH(MainData[[#This Row],[EventID]],IF(MainData[Product]="Date",MainData[EventID],0),0),12),0))</f>
        <v>44591</v>
      </c>
      <c r="F657" s="155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7" s="155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7" s="157" t="s">
        <v>84</v>
      </c>
      <c r="J657" t="s">
        <v>187</v>
      </c>
      <c r="K657" s="2" t="s">
        <v>157</v>
      </c>
      <c r="L657" s="2" t="s">
        <v>0</v>
      </c>
      <c r="M657" s="158">
        <v>44591</v>
      </c>
      <c r="N657" s="2"/>
      <c r="O657" s="109"/>
      <c r="P657" s="109"/>
      <c r="Q657" s="109"/>
    </row>
    <row r="658" spans="2:17" x14ac:dyDescent="0.25">
      <c r="B658" s="114">
        <v>11</v>
      </c>
      <c r="C658" s="114">
        <v>22</v>
      </c>
      <c r="D658" s="114">
        <v>49</v>
      </c>
      <c r="E658" s="154" cm="1">
        <f t="array" ref="E658">IF(ISBLANK(MainData[[#This Row],[EventID]]),0,IFERROR(INDEX(MainData[],MATCH(MainData[[#This Row],[EventID]],IF(MainData[Product]="Date",MainData[EventID],0),0),12),0))</f>
        <v>44591</v>
      </c>
      <c r="F658" s="155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8" s="155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8" s="157" t="s">
        <v>84</v>
      </c>
      <c r="J658" t="s">
        <v>187</v>
      </c>
      <c r="K658" s="2" t="s">
        <v>157</v>
      </c>
      <c r="L658" s="2" t="s">
        <v>82</v>
      </c>
      <c r="M658" s="2">
        <v>118901</v>
      </c>
      <c r="N658" s="2"/>
      <c r="O658" s="109"/>
      <c r="P658" s="109"/>
      <c r="Q658" s="109"/>
    </row>
    <row r="659" spans="2:17" x14ac:dyDescent="0.25">
      <c r="B659" s="114">
        <v>11</v>
      </c>
      <c r="C659" s="114">
        <v>22</v>
      </c>
      <c r="D659" s="114">
        <v>49</v>
      </c>
      <c r="E659" s="154" cm="1">
        <f t="array" ref="E659">IF(ISBLANK(MainData[[#This Row],[EventID]]),0,IFERROR(INDEX(MainData[],MATCH(MainData[[#This Row],[EventID]],IF(MainData[Product]="Date",MainData[EventID],0),0),12),0))</f>
        <v>44591</v>
      </c>
      <c r="F659" s="155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9" s="155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9" s="157" t="s">
        <v>84</v>
      </c>
      <c r="J659" t="s">
        <v>187</v>
      </c>
      <c r="K659" s="2" t="s">
        <v>157</v>
      </c>
      <c r="L659" s="2" t="s">
        <v>175</v>
      </c>
      <c r="M659" s="2" t="s">
        <v>459</v>
      </c>
      <c r="N659" s="2"/>
      <c r="O659" s="109"/>
      <c r="P659" s="109"/>
      <c r="Q659" s="109"/>
    </row>
    <row r="660" spans="2:17" x14ac:dyDescent="0.25">
      <c r="B660" s="114">
        <v>11</v>
      </c>
      <c r="C660" s="114">
        <v>22</v>
      </c>
      <c r="D660" s="114">
        <v>49</v>
      </c>
      <c r="E660" s="154" cm="1">
        <f t="array" ref="E660">IF(ISBLANK(MainData[[#This Row],[EventID]]),0,IFERROR(INDEX(MainData[],MATCH(MainData[[#This Row],[EventID]],IF(MainData[Product]="Date",MainData[EventID],0),0),12),0))</f>
        <v>44591</v>
      </c>
      <c r="F660" s="155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0" s="155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0" s="157" t="s">
        <v>84</v>
      </c>
      <c r="J660" t="s">
        <v>187</v>
      </c>
      <c r="K660" s="2" t="s">
        <v>157</v>
      </c>
      <c r="L660" s="2" t="s">
        <v>138</v>
      </c>
      <c r="M660" s="2">
        <v>25</v>
      </c>
      <c r="N660" s="2"/>
      <c r="O660" s="109"/>
      <c r="P660" s="109"/>
      <c r="Q660" s="109"/>
    </row>
    <row r="661" spans="2:17" x14ac:dyDescent="0.25">
      <c r="B661" s="114">
        <v>11</v>
      </c>
      <c r="C661" s="114">
        <v>22</v>
      </c>
      <c r="D661" s="114">
        <v>49</v>
      </c>
      <c r="E661" s="154" cm="1">
        <f t="array" ref="E661">IF(ISBLANK(MainData[[#This Row],[EventID]]),0,IFERROR(INDEX(MainData[],MATCH(MainData[[#This Row],[EventID]],IF(MainData[Product]="Date",MainData[EventID],0),0),12),0))</f>
        <v>44591</v>
      </c>
      <c r="F661" s="155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1" s="155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1" s="157" t="s">
        <v>84</v>
      </c>
      <c r="J661" t="s">
        <v>187</v>
      </c>
      <c r="K661" s="2" t="s">
        <v>157</v>
      </c>
      <c r="L661" s="2" t="s">
        <v>86</v>
      </c>
      <c r="M661" s="2">
        <v>12</v>
      </c>
      <c r="N661" s="2"/>
      <c r="O661" s="109"/>
      <c r="P661" s="109"/>
      <c r="Q661" s="109"/>
    </row>
    <row r="662" spans="2:17" x14ac:dyDescent="0.25">
      <c r="B662" s="114">
        <v>11</v>
      </c>
      <c r="C662" s="114">
        <v>22</v>
      </c>
      <c r="D662" s="114">
        <v>49</v>
      </c>
      <c r="E662" s="154" cm="1">
        <f t="array" ref="E662">IF(ISBLANK(MainData[[#This Row],[EventID]]),0,IFERROR(INDEX(MainData[],MATCH(MainData[[#This Row],[EventID]],IF(MainData[Product]="Date",MainData[EventID],0),0),12),0))</f>
        <v>44591</v>
      </c>
      <c r="F662" s="155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2" s="155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2" s="157" t="s">
        <v>84</v>
      </c>
      <c r="J662" t="s">
        <v>187</v>
      </c>
      <c r="K662" s="2" t="s">
        <v>157</v>
      </c>
      <c r="L662" s="2" t="s">
        <v>118</v>
      </c>
      <c r="M662" s="2" t="s">
        <v>460</v>
      </c>
      <c r="N662" s="2"/>
      <c r="O662" s="109"/>
      <c r="P662" s="109"/>
      <c r="Q662" s="109"/>
    </row>
    <row r="663" spans="2:17" x14ac:dyDescent="0.25">
      <c r="B663" s="114">
        <v>11</v>
      </c>
      <c r="C663" s="114">
        <v>22</v>
      </c>
      <c r="D663" s="114">
        <v>49</v>
      </c>
      <c r="E663" s="154" cm="1">
        <f t="array" ref="E663">IF(ISBLANK(MainData[[#This Row],[EventID]]),0,IFERROR(INDEX(MainData[],MATCH(MainData[[#This Row],[EventID]],IF(MainData[Product]="Date",MainData[EventID],0),0),12),0))</f>
        <v>44591</v>
      </c>
      <c r="F663" s="155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3" s="155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3" s="20" t="s">
        <v>85</v>
      </c>
      <c r="J663" t="s">
        <v>20</v>
      </c>
      <c r="K663" s="2" t="s">
        <v>116</v>
      </c>
      <c r="L663" s="2" t="s">
        <v>88</v>
      </c>
      <c r="M663" s="2" t="s">
        <v>189</v>
      </c>
      <c r="N663" s="2" t="s">
        <v>233</v>
      </c>
      <c r="O663" s="109">
        <v>1</v>
      </c>
      <c r="P663" s="109"/>
      <c r="Q663" s="109"/>
    </row>
    <row r="664" spans="2:17" x14ac:dyDescent="0.25">
      <c r="B664" s="114">
        <v>11</v>
      </c>
      <c r="C664" s="114">
        <v>22</v>
      </c>
      <c r="D664" s="114">
        <v>49</v>
      </c>
      <c r="E664" s="154" cm="1">
        <f t="array" ref="E664">IF(ISBLANK(MainData[[#This Row],[EventID]]),0,IFERROR(INDEX(MainData[],MATCH(MainData[[#This Row],[EventID]],IF(MainData[Product]="Date",MainData[EventID],0),0),12),0))</f>
        <v>44591</v>
      </c>
      <c r="F664" s="155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4" s="155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4" s="20" t="s">
        <v>85</v>
      </c>
      <c r="J664" t="s">
        <v>20</v>
      </c>
      <c r="K664" s="2" t="s">
        <v>116</v>
      </c>
      <c r="L664" s="2" t="s">
        <v>152</v>
      </c>
      <c r="M664" s="2" t="s">
        <v>198</v>
      </c>
      <c r="N664" s="2" t="s">
        <v>233</v>
      </c>
      <c r="O664" s="109">
        <v>1</v>
      </c>
      <c r="P664" s="109"/>
      <c r="Q664" s="109"/>
    </row>
    <row r="665" spans="2:17" x14ac:dyDescent="0.25">
      <c r="B665" s="114">
        <v>11</v>
      </c>
      <c r="C665" s="114">
        <v>22</v>
      </c>
      <c r="D665" s="114">
        <v>49</v>
      </c>
      <c r="E665" s="154" cm="1">
        <f t="array" ref="E665">IF(ISBLANK(MainData[[#This Row],[EventID]]),0,IFERROR(INDEX(MainData[],MATCH(MainData[[#This Row],[EventID]],IF(MainData[Product]="Date",MainData[EventID],0),0),12),0))</f>
        <v>44591</v>
      </c>
      <c r="F665" s="155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5" s="155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5" s="157" t="s">
        <v>85</v>
      </c>
      <c r="J665" t="s">
        <v>20</v>
      </c>
      <c r="K665" s="2" t="s">
        <v>29</v>
      </c>
      <c r="L665" s="2" t="s">
        <v>35</v>
      </c>
      <c r="M665" s="2" t="s">
        <v>382</v>
      </c>
      <c r="N665" s="2" t="s">
        <v>273</v>
      </c>
      <c r="O665" s="109">
        <v>1</v>
      </c>
      <c r="P665" s="109">
        <v>12</v>
      </c>
      <c r="Q665" s="109">
        <v>120</v>
      </c>
    </row>
    <row r="666" spans="2:17" x14ac:dyDescent="0.25">
      <c r="B666" s="114">
        <v>11</v>
      </c>
      <c r="C666" s="114">
        <v>22</v>
      </c>
      <c r="D666" s="114">
        <v>49</v>
      </c>
      <c r="E666" s="154" cm="1">
        <f t="array" ref="E666">IF(ISBLANK(MainData[[#This Row],[EventID]]),0,IFERROR(INDEX(MainData[],MATCH(MainData[[#This Row],[EventID]],IF(MainData[Product]="Date",MainData[EventID],0),0),12),0))</f>
        <v>44591</v>
      </c>
      <c r="F666" s="155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6" s="155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6" s="20" t="s">
        <v>85</v>
      </c>
      <c r="J666" t="s">
        <v>20</v>
      </c>
      <c r="K666" s="2" t="s">
        <v>29</v>
      </c>
      <c r="L666" s="2" t="s">
        <v>36</v>
      </c>
      <c r="M666" s="2" t="s">
        <v>384</v>
      </c>
      <c r="N666" s="2" t="s">
        <v>237</v>
      </c>
      <c r="O666" s="109">
        <v>1</v>
      </c>
      <c r="P666" s="109">
        <v>237.02</v>
      </c>
      <c r="Q666" s="109">
        <v>1440</v>
      </c>
    </row>
    <row r="667" spans="2:17" x14ac:dyDescent="0.25">
      <c r="B667" s="114">
        <v>11</v>
      </c>
      <c r="C667" s="114">
        <v>22</v>
      </c>
      <c r="D667" s="114">
        <v>49</v>
      </c>
      <c r="E667" s="154" cm="1">
        <f t="array" ref="E667">IF(ISBLANK(MainData[[#This Row],[EventID]]),0,IFERROR(INDEX(MainData[],MATCH(MainData[[#This Row],[EventID]],IF(MainData[Product]="Date",MainData[EventID],0),0),12),0))</f>
        <v>44591</v>
      </c>
      <c r="F667" s="155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7" s="155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7" s="157" t="s">
        <v>85</v>
      </c>
      <c r="J667" t="s">
        <v>20</v>
      </c>
      <c r="K667" s="2" t="s">
        <v>29</v>
      </c>
      <c r="L667" s="2" t="s">
        <v>65</v>
      </c>
      <c r="M667" s="2" t="s">
        <v>383</v>
      </c>
      <c r="N667" s="2" t="s">
        <v>234</v>
      </c>
      <c r="O667" s="109">
        <v>1</v>
      </c>
      <c r="P667" s="109">
        <v>1.25</v>
      </c>
      <c r="Q667" s="109">
        <v>45.75</v>
      </c>
    </row>
    <row r="668" spans="2:17" x14ac:dyDescent="0.25">
      <c r="B668" s="114">
        <v>11</v>
      </c>
      <c r="C668" s="114">
        <v>22</v>
      </c>
      <c r="D668" s="114">
        <v>49</v>
      </c>
      <c r="E668" s="154" cm="1">
        <f t="array" ref="E668">IF(ISBLANK(MainData[[#This Row],[EventID]]),0,IFERROR(INDEX(MainData[],MATCH(MainData[[#This Row],[EventID]],IF(MainData[Product]="Date",MainData[EventID],0),0),12),0))</f>
        <v>44591</v>
      </c>
      <c r="F668" s="155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8" s="155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8" s="157" t="s">
        <v>85</v>
      </c>
      <c r="J668" t="s">
        <v>20</v>
      </c>
      <c r="K668" s="2" t="s">
        <v>29</v>
      </c>
      <c r="L668" s="2" t="s">
        <v>25</v>
      </c>
      <c r="M668" s="2" t="s">
        <v>385</v>
      </c>
      <c r="N668" s="2" t="s">
        <v>237</v>
      </c>
      <c r="O668" s="109">
        <v>1</v>
      </c>
      <c r="P668" s="109">
        <v>24</v>
      </c>
      <c r="Q668" s="109">
        <v>240</v>
      </c>
    </row>
    <row r="669" spans="2:17" x14ac:dyDescent="0.25">
      <c r="B669" s="114" t="s">
        <v>223</v>
      </c>
      <c r="C669" s="114" t="s">
        <v>222</v>
      </c>
      <c r="D669" s="114" t="s">
        <v>223</v>
      </c>
      <c r="E669" s="154" cm="1">
        <f t="array" ref="E669">IF(ISBLANK(MainData[[#This Row],[EventID]]),0,IFERROR(INDEX(MainData[],MATCH(MainData[[#This Row],[EventID]],IF(MainData[Product]="Date",MainData[EventID],0),0),12),0))</f>
        <v>44592.999988425923</v>
      </c>
      <c r="F669" s="155" t="str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9" s="155" t="str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9" s="157" t="s">
        <v>84</v>
      </c>
      <c r="J669" t="s">
        <v>187</v>
      </c>
      <c r="K669" s="2" t="s">
        <v>157</v>
      </c>
      <c r="L669" s="2" t="s">
        <v>0</v>
      </c>
      <c r="M669" s="164">
        <v>44592.999988425923</v>
      </c>
      <c r="N669" s="2" t="s">
        <v>215</v>
      </c>
      <c r="O669" s="109"/>
      <c r="P669" s="109"/>
      <c r="Q669" s="109"/>
    </row>
    <row r="670" spans="2:17" x14ac:dyDescent="0.25">
      <c r="B670" s="114" t="s">
        <v>223</v>
      </c>
      <c r="C670" s="114" t="s">
        <v>222</v>
      </c>
      <c r="D670" s="114" t="s">
        <v>223</v>
      </c>
      <c r="E670" s="154" cm="1">
        <f t="array" ref="E670">IF(ISBLANK(MainData[[#This Row],[EventID]]),0,IFERROR(INDEX(MainData[],MATCH(MainData[[#This Row],[EventID]],IF(MainData[Product]="Date",MainData[EventID],0),0),12),0))</f>
        <v>44592.999988425923</v>
      </c>
      <c r="F670" s="155" t="str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0" s="155" t="str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0" s="157" t="s">
        <v>85</v>
      </c>
      <c r="J670" t="s">
        <v>20</v>
      </c>
      <c r="K670" s="2" t="s">
        <v>29</v>
      </c>
      <c r="L670" s="2" t="s">
        <v>35</v>
      </c>
      <c r="M670" s="2" t="s">
        <v>393</v>
      </c>
      <c r="N670" s="2" t="s">
        <v>215</v>
      </c>
      <c r="O670" s="109"/>
      <c r="P670" s="109">
        <v>-641.3799999999992</v>
      </c>
      <c r="Q670" s="109">
        <v>0</v>
      </c>
    </row>
    <row r="671" spans="2:17" x14ac:dyDescent="0.25">
      <c r="B671" s="114" t="s">
        <v>223</v>
      </c>
      <c r="C671" s="114" t="s">
        <v>222</v>
      </c>
      <c r="D671" s="114" t="s">
        <v>223</v>
      </c>
      <c r="E671" s="154" cm="1">
        <f t="array" ref="E671">IF(ISBLANK(MainData[[#This Row],[EventID]]),0,IFERROR(INDEX(MainData[],MATCH(MainData[[#This Row],[EventID]],IF(MainData[Product]="Date",MainData[EventID],0),0),12),0))</f>
        <v>44592.999988425923</v>
      </c>
      <c r="F671" s="155" t="str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1" s="155" t="str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1" s="157" t="s">
        <v>85</v>
      </c>
      <c r="J671" t="s">
        <v>20</v>
      </c>
      <c r="K671" s="2" t="s">
        <v>29</v>
      </c>
      <c r="L671" s="2" t="s">
        <v>156</v>
      </c>
      <c r="M671" s="2" t="s">
        <v>216</v>
      </c>
      <c r="N671" s="2" t="s">
        <v>215</v>
      </c>
      <c r="O671" s="109"/>
      <c r="P671" s="109">
        <v>-309.46000000000095</v>
      </c>
      <c r="Q671" s="109">
        <v>0</v>
      </c>
    </row>
    <row r="672" spans="2:17" x14ac:dyDescent="0.25">
      <c r="B672" s="114" t="s">
        <v>223</v>
      </c>
      <c r="C672" s="114" t="s">
        <v>222</v>
      </c>
      <c r="D672" s="114" t="s">
        <v>223</v>
      </c>
      <c r="E672" s="154" cm="1">
        <f t="array" ref="E672">IF(ISBLANK(MainData[[#This Row],[EventID]]),0,IFERROR(INDEX(MainData[],MATCH(MainData[[#This Row],[EventID]],IF(MainData[Product]="Date",MainData[EventID],0),0),12),0))</f>
        <v>44592.999988425923</v>
      </c>
      <c r="F672" s="155" t="str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2" s="155" t="str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2" s="157" t="s">
        <v>85</v>
      </c>
      <c r="J672" t="s">
        <v>20</v>
      </c>
      <c r="K672" s="2" t="s">
        <v>29</v>
      </c>
      <c r="L672" s="2" t="s">
        <v>36</v>
      </c>
      <c r="M672" s="2" t="s">
        <v>392</v>
      </c>
      <c r="N672" s="2" t="s">
        <v>215</v>
      </c>
      <c r="O672" s="109"/>
      <c r="P672" s="109">
        <v>-641.2699999999968</v>
      </c>
      <c r="Q672" s="109">
        <v>0</v>
      </c>
    </row>
    <row r="673" spans="2:17" x14ac:dyDescent="0.25">
      <c r="B673" s="114" t="s">
        <v>223</v>
      </c>
      <c r="C673" s="114" t="s">
        <v>222</v>
      </c>
      <c r="D673" s="114" t="s">
        <v>223</v>
      </c>
      <c r="E673" s="154" cm="1">
        <f t="array" ref="E673">IF(ISBLANK(MainData[[#This Row],[EventID]]),0,IFERROR(INDEX(MainData[],MATCH(MainData[[#This Row],[EventID]],IF(MainData[Product]="Date",MainData[EventID],0),0),12),0))</f>
        <v>44592.999988425923</v>
      </c>
      <c r="F673" s="155" t="str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3" s="155" t="str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3" s="157" t="s">
        <v>85</v>
      </c>
      <c r="J673" t="s">
        <v>20</v>
      </c>
      <c r="K673" s="2" t="s">
        <v>29</v>
      </c>
      <c r="L673" s="2" t="s">
        <v>25</v>
      </c>
      <c r="M673" s="2" t="s">
        <v>214</v>
      </c>
      <c r="N673" s="2" t="s">
        <v>215</v>
      </c>
      <c r="O673" s="109"/>
      <c r="P673" s="109">
        <v>-2098.2999999999993</v>
      </c>
      <c r="Q673" s="109">
        <v>0</v>
      </c>
    </row>
    <row r="674" spans="2:17" x14ac:dyDescent="0.25">
      <c r="B674" s="114">
        <v>8</v>
      </c>
      <c r="C674" s="114">
        <v>11</v>
      </c>
      <c r="D674" s="114">
        <v>50</v>
      </c>
      <c r="E674" s="154" cm="1">
        <f t="array" ref="E674">IF(ISBLANK(MainData[[#This Row],[EventID]]),0,IFERROR(INDEX(MainData[],MATCH(MainData[[#This Row],[EventID]],IF(MainData[Product]="Date",MainData[EventID],0),0),12),0))</f>
        <v>44594</v>
      </c>
      <c r="F674" s="155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4" s="155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4" s="157" t="s">
        <v>84</v>
      </c>
      <c r="J674" t="s">
        <v>187</v>
      </c>
      <c r="K674" s="2" t="s">
        <v>157</v>
      </c>
      <c r="L674" s="2" t="s">
        <v>81</v>
      </c>
      <c r="M674" s="2">
        <v>1</v>
      </c>
      <c r="N674" s="2"/>
      <c r="O674" s="109"/>
      <c r="P674" s="109"/>
      <c r="Q674" s="109"/>
    </row>
    <row r="675" spans="2:17" x14ac:dyDescent="0.25">
      <c r="B675" s="114">
        <v>8</v>
      </c>
      <c r="C675" s="114">
        <v>11</v>
      </c>
      <c r="D675" s="114">
        <v>50</v>
      </c>
      <c r="E675" s="154" cm="1">
        <f t="array" ref="E675">IF(ISBLANK(MainData[[#This Row],[EventID]]),0,IFERROR(INDEX(MainData[],MATCH(MainData[[#This Row],[EventID]],IF(MainData[Product]="Date",MainData[EventID],0),0),12),0))</f>
        <v>44594</v>
      </c>
      <c r="F675" s="155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5" s="155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5" s="157" t="s">
        <v>84</v>
      </c>
      <c r="J675" t="s">
        <v>187</v>
      </c>
      <c r="K675" s="2" t="s">
        <v>157</v>
      </c>
      <c r="L675" s="2" t="s">
        <v>164</v>
      </c>
      <c r="M675" s="2" t="s">
        <v>415</v>
      </c>
      <c r="N675" s="2"/>
      <c r="O675" s="109"/>
      <c r="P675" s="109"/>
      <c r="Q675" s="109"/>
    </row>
    <row r="676" spans="2:17" x14ac:dyDescent="0.25">
      <c r="B676" s="114">
        <v>8</v>
      </c>
      <c r="C676" s="114">
        <v>11</v>
      </c>
      <c r="D676" s="114">
        <v>50</v>
      </c>
      <c r="E676" s="154" cm="1">
        <f t="array" ref="E676">IF(ISBLANK(MainData[[#This Row],[EventID]]),0,IFERROR(INDEX(MainData[],MATCH(MainData[[#This Row],[EventID]],IF(MainData[Product]="Date",MainData[EventID],0),0),12),0))</f>
        <v>44594</v>
      </c>
      <c r="F676" s="155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6" s="155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6" s="157" t="s">
        <v>84</v>
      </c>
      <c r="J676" t="s">
        <v>187</v>
      </c>
      <c r="K676" s="2" t="s">
        <v>157</v>
      </c>
      <c r="L676" s="2" t="s">
        <v>0</v>
      </c>
      <c r="M676" s="158">
        <v>44594</v>
      </c>
      <c r="N676" s="2"/>
      <c r="O676" s="109"/>
      <c r="P676" s="109"/>
      <c r="Q676" s="109"/>
    </row>
    <row r="677" spans="2:17" x14ac:dyDescent="0.25">
      <c r="B677" s="114">
        <v>8</v>
      </c>
      <c r="C677" s="114">
        <v>11</v>
      </c>
      <c r="D677" s="114">
        <v>50</v>
      </c>
      <c r="E677" s="154" cm="1">
        <f t="array" ref="E677">IF(ISBLANK(MainData[[#This Row],[EventID]]),0,IFERROR(INDEX(MainData[],MATCH(MainData[[#This Row],[EventID]],IF(MainData[Product]="Date",MainData[EventID],0),0),12),0))</f>
        <v>44594</v>
      </c>
      <c r="F677" s="155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7" s="155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7" s="157" t="s">
        <v>84</v>
      </c>
      <c r="J677" t="s">
        <v>187</v>
      </c>
      <c r="K677" s="2" t="s">
        <v>157</v>
      </c>
      <c r="L677" s="2" t="s">
        <v>82</v>
      </c>
      <c r="M677" s="2">
        <v>366228</v>
      </c>
      <c r="N677" s="2"/>
      <c r="O677" s="109"/>
      <c r="P677" s="109"/>
      <c r="Q677" s="109"/>
    </row>
    <row r="678" spans="2:17" x14ac:dyDescent="0.25">
      <c r="B678" s="114">
        <v>8</v>
      </c>
      <c r="C678" s="114">
        <v>11</v>
      </c>
      <c r="D678" s="114">
        <v>50</v>
      </c>
      <c r="E678" s="154" cm="1">
        <f t="array" ref="E678">IF(ISBLANK(MainData[[#This Row],[EventID]]),0,IFERROR(INDEX(MainData[],MATCH(MainData[[#This Row],[EventID]],IF(MainData[Product]="Date",MainData[EventID],0),0),12),0))</f>
        <v>44594</v>
      </c>
      <c r="F678" s="155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8" s="155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8" s="157" t="s">
        <v>84</v>
      </c>
      <c r="J678" t="s">
        <v>187</v>
      </c>
      <c r="K678" s="2" t="s">
        <v>157</v>
      </c>
      <c r="L678" s="2" t="s">
        <v>175</v>
      </c>
      <c r="M678" s="2" t="s">
        <v>455</v>
      </c>
      <c r="N678" s="2"/>
      <c r="O678" s="109"/>
      <c r="P678" s="109"/>
      <c r="Q678" s="109"/>
    </row>
    <row r="679" spans="2:17" x14ac:dyDescent="0.25">
      <c r="B679" s="114">
        <v>8</v>
      </c>
      <c r="C679" s="114">
        <v>11</v>
      </c>
      <c r="D679" s="114">
        <v>50</v>
      </c>
      <c r="E679" s="154" cm="1">
        <f t="array" ref="E679">IF(ISBLANK(MainData[[#This Row],[EventID]]),0,IFERROR(INDEX(MainData[],MATCH(MainData[[#This Row],[EventID]],IF(MainData[Product]="Date",MainData[EventID],0),0),12),0))</f>
        <v>44594</v>
      </c>
      <c r="F679" s="155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9" s="155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9" s="157" t="s">
        <v>84</v>
      </c>
      <c r="J679" t="s">
        <v>187</v>
      </c>
      <c r="K679" s="2" t="s">
        <v>157</v>
      </c>
      <c r="L679" s="2" t="s">
        <v>20</v>
      </c>
      <c r="M679" s="2" t="s">
        <v>379</v>
      </c>
      <c r="N679" s="2"/>
      <c r="O679" s="109"/>
      <c r="P679" s="109"/>
      <c r="Q679" s="109"/>
    </row>
    <row r="680" spans="2:17" x14ac:dyDescent="0.25">
      <c r="B680" s="114">
        <v>8</v>
      </c>
      <c r="C680" s="114">
        <v>11</v>
      </c>
      <c r="D680" s="114">
        <v>50</v>
      </c>
      <c r="E680" s="154" cm="1">
        <f t="array" ref="E680">IF(ISBLANK(MainData[[#This Row],[EventID]]),0,IFERROR(INDEX(MainData[],MATCH(MainData[[#This Row],[EventID]],IF(MainData[Product]="Date",MainData[EventID],0),0),12),0))</f>
        <v>44594</v>
      </c>
      <c r="F680" s="155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0" s="155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0" s="157" t="s">
        <v>84</v>
      </c>
      <c r="J680" t="s">
        <v>187</v>
      </c>
      <c r="K680" s="2" t="s">
        <v>157</v>
      </c>
      <c r="L680" s="2" t="s">
        <v>138</v>
      </c>
      <c r="M680" s="2">
        <v>80</v>
      </c>
      <c r="N680" s="2"/>
      <c r="O680" s="109"/>
      <c r="P680" s="109"/>
      <c r="Q680" s="109"/>
    </row>
    <row r="681" spans="2:17" x14ac:dyDescent="0.25">
      <c r="B681" s="114">
        <v>8</v>
      </c>
      <c r="C681" s="114">
        <v>11</v>
      </c>
      <c r="D681" s="114">
        <v>50</v>
      </c>
      <c r="E681" s="154" cm="1">
        <f t="array" ref="E681">IF(ISBLANK(MainData[[#This Row],[EventID]]),0,IFERROR(INDEX(MainData[],MATCH(MainData[[#This Row],[EventID]],IF(MainData[Product]="Date",MainData[EventID],0),0),12),0))</f>
        <v>44594</v>
      </c>
      <c r="F681" s="155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1" s="155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1" s="157" t="s">
        <v>84</v>
      </c>
      <c r="J681" t="s">
        <v>187</v>
      </c>
      <c r="K681" s="2" t="s">
        <v>157</v>
      </c>
      <c r="L681" s="2" t="s">
        <v>86</v>
      </c>
      <c r="M681" s="2">
        <v>2</v>
      </c>
      <c r="N681" s="2"/>
      <c r="O681" s="109"/>
      <c r="P681" s="109"/>
      <c r="Q681" s="109"/>
    </row>
    <row r="682" spans="2:17" x14ac:dyDescent="0.25">
      <c r="B682" s="114">
        <v>8</v>
      </c>
      <c r="C682" s="114">
        <v>11</v>
      </c>
      <c r="D682" s="114">
        <v>50</v>
      </c>
      <c r="E682" s="154" cm="1">
        <f t="array" ref="E682">IF(ISBLANK(MainData[[#This Row],[EventID]]),0,IFERROR(INDEX(MainData[],MATCH(MainData[[#This Row],[EventID]],IF(MainData[Product]="Date",MainData[EventID],0),0),12),0))</f>
        <v>44594</v>
      </c>
      <c r="F682" s="155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2" s="155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2" s="157" t="s">
        <v>84</v>
      </c>
      <c r="J682" t="s">
        <v>187</v>
      </c>
      <c r="K682" s="2" t="s">
        <v>157</v>
      </c>
      <c r="L682" s="2" t="s">
        <v>118</v>
      </c>
      <c r="M682" s="2" t="s">
        <v>500</v>
      </c>
      <c r="N682" s="2"/>
      <c r="O682" s="109"/>
      <c r="P682" s="109"/>
      <c r="Q682" s="109"/>
    </row>
    <row r="683" spans="2:17" x14ac:dyDescent="0.25">
      <c r="B683" s="114">
        <v>8</v>
      </c>
      <c r="C683" s="114">
        <v>11</v>
      </c>
      <c r="D683" s="114">
        <v>50</v>
      </c>
      <c r="E683" s="154" cm="1">
        <f t="array" ref="E683">IF(ISBLANK(MainData[[#This Row],[EventID]]),0,IFERROR(INDEX(MainData[],MATCH(MainData[[#This Row],[EventID]],IF(MainData[Product]="Date",MainData[EventID],0),0),12),0))</f>
        <v>44594</v>
      </c>
      <c r="F683" s="155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3" s="155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3" s="157" t="s">
        <v>84</v>
      </c>
      <c r="J683" t="s">
        <v>187</v>
      </c>
      <c r="K683" s="2" t="s">
        <v>157</v>
      </c>
      <c r="L683" s="2" t="s">
        <v>165</v>
      </c>
      <c r="M683" s="2" t="s">
        <v>414</v>
      </c>
      <c r="N683" s="2"/>
      <c r="O683" s="109"/>
      <c r="P683" s="109"/>
      <c r="Q683" s="109"/>
    </row>
    <row r="684" spans="2:17" x14ac:dyDescent="0.25">
      <c r="B684" s="114">
        <v>8</v>
      </c>
      <c r="C684" s="114">
        <v>11</v>
      </c>
      <c r="D684" s="114">
        <v>50</v>
      </c>
      <c r="E684" s="154" cm="1">
        <f t="array" ref="E684">IF(ISBLANK(MainData[[#This Row],[EventID]]),0,IFERROR(INDEX(MainData[],MATCH(MainData[[#This Row],[EventID]],IF(MainData[Product]="Date",MainData[EventID],0),0),12),0))</f>
        <v>44594</v>
      </c>
      <c r="F684" s="155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4" s="155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4" s="20" t="s">
        <v>85</v>
      </c>
      <c r="J684" t="s">
        <v>21</v>
      </c>
      <c r="K684" s="2" t="s">
        <v>116</v>
      </c>
      <c r="L684" s="2" t="s">
        <v>88</v>
      </c>
      <c r="M684" s="2" t="s">
        <v>189</v>
      </c>
      <c r="N684" s="2" t="s">
        <v>233</v>
      </c>
      <c r="O684" s="109">
        <v>1</v>
      </c>
      <c r="P684" s="109"/>
      <c r="Q684" s="109"/>
    </row>
    <row r="685" spans="2:17" x14ac:dyDescent="0.25">
      <c r="B685" s="114">
        <v>8</v>
      </c>
      <c r="C685" s="114">
        <v>11</v>
      </c>
      <c r="D685" s="114">
        <v>50</v>
      </c>
      <c r="E685" s="154" cm="1">
        <f t="array" ref="E685">IF(ISBLANK(MainData[[#This Row],[EventID]]),0,IFERROR(INDEX(MainData[],MATCH(MainData[[#This Row],[EventID]],IF(MainData[Product]="Date",MainData[EventID],0),0),12),0))</f>
        <v>44594</v>
      </c>
      <c r="F685" s="155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5" s="155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5" s="20" t="s">
        <v>85</v>
      </c>
      <c r="J685" t="s">
        <v>21</v>
      </c>
      <c r="K685" s="2" t="s">
        <v>116</v>
      </c>
      <c r="L685" s="2" t="s">
        <v>87</v>
      </c>
      <c r="M685" s="2" t="s">
        <v>188</v>
      </c>
      <c r="N685" s="2" t="s">
        <v>233</v>
      </c>
      <c r="O685" s="109">
        <v>1</v>
      </c>
      <c r="P685" s="109"/>
      <c r="Q685" s="109"/>
    </row>
    <row r="686" spans="2:17" x14ac:dyDescent="0.25">
      <c r="B686" s="114">
        <v>8</v>
      </c>
      <c r="C686" s="114">
        <v>11</v>
      </c>
      <c r="D686" s="114">
        <v>50</v>
      </c>
      <c r="E686" s="154" cm="1">
        <f t="array" ref="E686">IF(ISBLANK(MainData[[#This Row],[EventID]]),0,IFERROR(INDEX(MainData[],MATCH(MainData[[#This Row],[EventID]],IF(MainData[Product]="Date",MainData[EventID],0),0),12),0))</f>
        <v>44594</v>
      </c>
      <c r="F686" s="155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6" s="155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6" s="157" t="s">
        <v>85</v>
      </c>
      <c r="J686" t="s">
        <v>21</v>
      </c>
      <c r="K686" s="2" t="s">
        <v>29</v>
      </c>
      <c r="L686" s="2" t="s">
        <v>35</v>
      </c>
      <c r="M686" s="2" t="s">
        <v>382</v>
      </c>
      <c r="N686" s="2" t="s">
        <v>234</v>
      </c>
      <c r="O686" s="109">
        <v>1</v>
      </c>
      <c r="P686" s="109">
        <v>60</v>
      </c>
      <c r="Q686" s="109">
        <v>495</v>
      </c>
    </row>
    <row r="687" spans="2:17" x14ac:dyDescent="0.25">
      <c r="B687" s="114">
        <v>8</v>
      </c>
      <c r="C687" s="114">
        <v>11</v>
      </c>
      <c r="D687" s="114">
        <v>50</v>
      </c>
      <c r="E687" s="154" cm="1">
        <f t="array" ref="E687">IF(ISBLANK(MainData[[#This Row],[EventID]]),0,IFERROR(INDEX(MainData[],MATCH(MainData[[#This Row],[EventID]],IF(MainData[Product]="Date",MainData[EventID],0),0),12),0))</f>
        <v>44594</v>
      </c>
      <c r="F687" s="155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7" s="155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7" s="20" t="s">
        <v>85</v>
      </c>
      <c r="J687" t="s">
        <v>21</v>
      </c>
      <c r="K687" s="2" t="s">
        <v>29</v>
      </c>
      <c r="L687" s="2" t="s">
        <v>36</v>
      </c>
      <c r="M687" s="2" t="s">
        <v>390</v>
      </c>
      <c r="N687" s="2" t="s">
        <v>234</v>
      </c>
      <c r="O687" s="109">
        <v>1</v>
      </c>
      <c r="P687" s="109">
        <v>168.22</v>
      </c>
      <c r="Q687" s="109">
        <v>1060</v>
      </c>
    </row>
    <row r="688" spans="2:17" x14ac:dyDescent="0.25">
      <c r="B688" s="114">
        <v>8</v>
      </c>
      <c r="C688" s="114">
        <v>11</v>
      </c>
      <c r="D688" s="114">
        <v>50</v>
      </c>
      <c r="E688" s="154" cm="1">
        <f t="array" ref="E688">IF(ISBLANK(MainData[[#This Row],[EventID]]),0,IFERROR(INDEX(MainData[],MATCH(MainData[[#This Row],[EventID]],IF(MainData[Product]="Date",MainData[EventID],0),0),12),0))</f>
        <v>44594</v>
      </c>
      <c r="F688" s="155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8" s="155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8" s="157" t="s">
        <v>85</v>
      </c>
      <c r="J688" t="s">
        <v>21</v>
      </c>
      <c r="K688" s="2" t="s">
        <v>29</v>
      </c>
      <c r="L688" s="2" t="s">
        <v>65</v>
      </c>
      <c r="M688" s="2" t="s">
        <v>383</v>
      </c>
      <c r="N688" s="2" t="s">
        <v>234</v>
      </c>
      <c r="O688" s="109">
        <v>1</v>
      </c>
      <c r="P688" s="109">
        <v>8.5</v>
      </c>
      <c r="Q688" s="109">
        <v>85</v>
      </c>
    </row>
    <row r="689" spans="2:17" x14ac:dyDescent="0.25">
      <c r="B689" s="114">
        <v>8</v>
      </c>
      <c r="C689" s="114">
        <v>11</v>
      </c>
      <c r="D689" s="114">
        <v>50</v>
      </c>
      <c r="E689" s="154" cm="1">
        <f t="array" ref="E689">IF(ISBLANK(MainData[[#This Row],[EventID]]),0,IFERROR(INDEX(MainData[],MATCH(MainData[[#This Row],[EventID]],IF(MainData[Product]="Date",MainData[EventID],0),0),12),0))</f>
        <v>44594</v>
      </c>
      <c r="F689" s="155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9" s="155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9" s="157" t="s">
        <v>85</v>
      </c>
      <c r="J689" t="s">
        <v>21</v>
      </c>
      <c r="K689" s="2" t="s">
        <v>29</v>
      </c>
      <c r="L689" s="2" t="s">
        <v>25</v>
      </c>
      <c r="M689" s="2" t="s">
        <v>385</v>
      </c>
      <c r="N689" s="2" t="s">
        <v>234</v>
      </c>
      <c r="O689" s="109">
        <v>1</v>
      </c>
      <c r="P689" s="109">
        <v>65</v>
      </c>
      <c r="Q689" s="109">
        <v>525</v>
      </c>
    </row>
    <row r="690" spans="2:17" x14ac:dyDescent="0.25">
      <c r="B690" s="114">
        <v>43</v>
      </c>
      <c r="C690" s="114">
        <v>103</v>
      </c>
      <c r="D690" s="114">
        <v>51</v>
      </c>
      <c r="E690" s="154" cm="1">
        <f t="array" ref="E690">IF(ISBLANK(MainData[[#This Row],[EventID]]),0,IFERROR(INDEX(MainData[],MATCH(MainData[[#This Row],[EventID]],IF(MainData[Product]="Date",MainData[EventID],0),0),12),0))</f>
        <v>44594</v>
      </c>
      <c r="F690" s="155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0" s="155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20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0" s="157" t="s">
        <v>84</v>
      </c>
      <c r="J690" t="s">
        <v>187</v>
      </c>
      <c r="K690" s="2" t="s">
        <v>157</v>
      </c>
      <c r="L690" s="2" t="s">
        <v>150</v>
      </c>
      <c r="M690" s="2">
        <v>1</v>
      </c>
      <c r="N690" s="2"/>
      <c r="O690" s="109"/>
      <c r="P690" s="109"/>
      <c r="Q690" s="109"/>
    </row>
    <row r="691" spans="2:17" x14ac:dyDescent="0.25">
      <c r="B691" s="114">
        <v>43</v>
      </c>
      <c r="C691" s="114">
        <v>103</v>
      </c>
      <c r="D691" s="114">
        <v>51</v>
      </c>
      <c r="E691" s="154" cm="1">
        <f t="array" ref="E691">IF(ISBLANK(MainData[[#This Row],[EventID]]),0,IFERROR(INDEX(MainData[],MATCH(MainData[[#This Row],[EventID]],IF(MainData[Product]="Date",MainData[EventID],0),0),12),0))</f>
        <v>44594</v>
      </c>
      <c r="F691" s="155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1" s="155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1" s="157" t="s">
        <v>84</v>
      </c>
      <c r="J691" t="s">
        <v>187</v>
      </c>
      <c r="K691" s="2" t="s">
        <v>157</v>
      </c>
      <c r="L691" s="2" t="s">
        <v>81</v>
      </c>
      <c r="M691" s="2">
        <v>1</v>
      </c>
      <c r="N691" s="2"/>
      <c r="O691" s="109"/>
      <c r="P691" s="109"/>
      <c r="Q691" s="109"/>
    </row>
    <row r="692" spans="2:17" x14ac:dyDescent="0.25">
      <c r="B692" s="114">
        <v>43</v>
      </c>
      <c r="C692" s="114">
        <v>103</v>
      </c>
      <c r="D692" s="114">
        <v>51</v>
      </c>
      <c r="E692" s="154" cm="1">
        <f t="array" ref="E692">IF(ISBLANK(MainData[[#This Row],[EventID]]),0,IFERROR(INDEX(MainData[],MATCH(MainData[[#This Row],[EventID]],IF(MainData[Product]="Date",MainData[EventID],0),0),12),0))</f>
        <v>44594</v>
      </c>
      <c r="F692" s="155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2" s="155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2" s="157" t="s">
        <v>84</v>
      </c>
      <c r="J692" t="s">
        <v>187</v>
      </c>
      <c r="K692" s="2" t="s">
        <v>157</v>
      </c>
      <c r="L692" s="2" t="s">
        <v>164</v>
      </c>
      <c r="M692" s="2" t="s">
        <v>443</v>
      </c>
      <c r="N692" s="2"/>
      <c r="O692" s="109"/>
      <c r="P692" s="109"/>
      <c r="Q692" s="109"/>
    </row>
    <row r="693" spans="2:17" x14ac:dyDescent="0.25">
      <c r="B693" s="114">
        <v>43</v>
      </c>
      <c r="C693" s="114">
        <v>103</v>
      </c>
      <c r="D693" s="114">
        <v>51</v>
      </c>
      <c r="E693" s="154" cm="1">
        <f t="array" ref="E693">IF(ISBLANK(MainData[[#This Row],[EventID]]),0,IFERROR(INDEX(MainData[],MATCH(MainData[[#This Row],[EventID]],IF(MainData[Product]="Date",MainData[EventID],0),0),12),0))</f>
        <v>44594</v>
      </c>
      <c r="F693" s="155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3" s="155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3" s="157" t="s">
        <v>84</v>
      </c>
      <c r="J693" t="s">
        <v>187</v>
      </c>
      <c r="K693" s="2" t="s">
        <v>157</v>
      </c>
      <c r="L693" s="2" t="s">
        <v>0</v>
      </c>
      <c r="M693" s="158">
        <v>44594</v>
      </c>
      <c r="N693" s="2"/>
      <c r="O693" s="109"/>
      <c r="P693" s="109"/>
      <c r="Q693" s="109"/>
    </row>
    <row r="694" spans="2:17" x14ac:dyDescent="0.25">
      <c r="B694" s="114">
        <v>43</v>
      </c>
      <c r="C694" s="114">
        <v>103</v>
      </c>
      <c r="D694" s="114">
        <v>51</v>
      </c>
      <c r="E694" s="154" cm="1">
        <f t="array" ref="E694">IF(ISBLANK(MainData[[#This Row],[EventID]]),0,IFERROR(INDEX(MainData[],MATCH(MainData[[#This Row],[EventID]],IF(MainData[Product]="Date",MainData[EventID],0),0),12),0))</f>
        <v>44594</v>
      </c>
      <c r="F694" s="155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4" s="155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4" s="157" t="s">
        <v>84</v>
      </c>
      <c r="J694" t="s">
        <v>187</v>
      </c>
      <c r="K694" s="2" t="s">
        <v>157</v>
      </c>
      <c r="L694" s="2" t="s">
        <v>82</v>
      </c>
      <c r="M694" s="2">
        <v>347625</v>
      </c>
      <c r="N694" s="2"/>
      <c r="O694" s="109"/>
      <c r="P694" s="109"/>
      <c r="Q694" s="109"/>
    </row>
    <row r="695" spans="2:17" x14ac:dyDescent="0.25">
      <c r="B695" s="114">
        <v>43</v>
      </c>
      <c r="C695" s="114">
        <v>103</v>
      </c>
      <c r="D695" s="114">
        <v>51</v>
      </c>
      <c r="E695" s="154" cm="1">
        <f t="array" ref="E695">IF(ISBLANK(MainData[[#This Row],[EventID]]),0,IFERROR(INDEX(MainData[],MATCH(MainData[[#This Row],[EventID]],IF(MainData[Product]="Date",MainData[EventID],0),0),12),0))</f>
        <v>44594</v>
      </c>
      <c r="F695" s="155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5" s="155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157" t="s">
        <v>84</v>
      </c>
      <c r="J695" t="s">
        <v>187</v>
      </c>
      <c r="K695" s="2" t="s">
        <v>157</v>
      </c>
      <c r="L695" s="2" t="s">
        <v>175</v>
      </c>
      <c r="M695" s="2" t="s">
        <v>475</v>
      </c>
      <c r="N695" s="2"/>
      <c r="O695" s="109"/>
      <c r="P695" s="109"/>
      <c r="Q695" s="109"/>
    </row>
    <row r="696" spans="2:17" x14ac:dyDescent="0.25">
      <c r="B696" s="114">
        <v>43</v>
      </c>
      <c r="C696" s="114">
        <v>103</v>
      </c>
      <c r="D696" s="114">
        <v>51</v>
      </c>
      <c r="E696" s="154" cm="1">
        <f t="array" ref="E696">IF(ISBLANK(MainData[[#This Row],[EventID]]),0,IFERROR(INDEX(MainData[],MATCH(MainData[[#This Row],[EventID]],IF(MainData[Product]="Date",MainData[EventID],0),0),12),0))</f>
        <v>44594</v>
      </c>
      <c r="F696" s="155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6" s="155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157" t="s">
        <v>84</v>
      </c>
      <c r="J696" t="s">
        <v>187</v>
      </c>
      <c r="K696" s="2" t="s">
        <v>157</v>
      </c>
      <c r="L696" s="2" t="s">
        <v>20</v>
      </c>
      <c r="M696" s="2" t="s">
        <v>349</v>
      </c>
      <c r="N696" s="2"/>
      <c r="O696" s="109"/>
      <c r="P696" s="109"/>
      <c r="Q696" s="109"/>
    </row>
    <row r="697" spans="2:17" x14ac:dyDescent="0.25">
      <c r="B697" s="114">
        <v>43</v>
      </c>
      <c r="C697" s="114">
        <v>103</v>
      </c>
      <c r="D697" s="114">
        <v>51</v>
      </c>
      <c r="E697" s="154" cm="1">
        <f t="array" ref="E697">IF(ISBLANK(MainData[[#This Row],[EventID]]),0,IFERROR(INDEX(MainData[],MATCH(MainData[[#This Row],[EventID]],IF(MainData[Product]="Date",MainData[EventID],0),0),12),0))</f>
        <v>44594</v>
      </c>
      <c r="F697" s="155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7" s="155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157" t="s">
        <v>84</v>
      </c>
      <c r="J697" t="s">
        <v>187</v>
      </c>
      <c r="K697" s="2" t="s">
        <v>157</v>
      </c>
      <c r="L697" s="2" t="s">
        <v>138</v>
      </c>
      <c r="M697" s="2">
        <v>18</v>
      </c>
      <c r="N697" s="2"/>
      <c r="O697" s="109"/>
      <c r="P697" s="109"/>
      <c r="Q697" s="109"/>
    </row>
    <row r="698" spans="2:17" x14ac:dyDescent="0.25">
      <c r="B698" s="114">
        <v>43</v>
      </c>
      <c r="C698" s="114">
        <v>103</v>
      </c>
      <c r="D698" s="114">
        <v>51</v>
      </c>
      <c r="E698" s="154" cm="1">
        <f t="array" ref="E698">IF(ISBLANK(MainData[[#This Row],[EventID]]),0,IFERROR(INDEX(MainData[],MATCH(MainData[[#This Row],[EventID]],IF(MainData[Product]="Date",MainData[EventID],0),0),12),0))</f>
        <v>44594</v>
      </c>
      <c r="F698" s="155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8" s="155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8" s="157" t="s">
        <v>84</v>
      </c>
      <c r="J698" t="s">
        <v>187</v>
      </c>
      <c r="K698" s="2" t="s">
        <v>157</v>
      </c>
      <c r="L698" s="2" t="s">
        <v>86</v>
      </c>
      <c r="M698" s="2">
        <v>1</v>
      </c>
      <c r="N698" s="2"/>
      <c r="O698" s="109"/>
      <c r="P698" s="109"/>
      <c r="Q698" s="109"/>
    </row>
    <row r="699" spans="2:17" x14ac:dyDescent="0.25">
      <c r="B699" s="114">
        <v>43</v>
      </c>
      <c r="C699" s="114">
        <v>103</v>
      </c>
      <c r="D699" s="114">
        <v>51</v>
      </c>
      <c r="E699" s="154" cm="1">
        <f t="array" ref="E699">IF(ISBLANK(MainData[[#This Row],[EventID]]),0,IFERROR(INDEX(MainData[],MATCH(MainData[[#This Row],[EventID]],IF(MainData[Product]="Date",MainData[EventID],0),0),12),0))</f>
        <v>44594</v>
      </c>
      <c r="F699" s="155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9" s="155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9" s="157" t="s">
        <v>84</v>
      </c>
      <c r="J699" t="s">
        <v>187</v>
      </c>
      <c r="K699" s="2" t="s">
        <v>157</v>
      </c>
      <c r="L699" s="2" t="s">
        <v>118</v>
      </c>
      <c r="M699" s="2" t="s">
        <v>479</v>
      </c>
      <c r="N699" s="2"/>
      <c r="O699" s="109"/>
      <c r="P699" s="109"/>
      <c r="Q699" s="109"/>
    </row>
    <row r="700" spans="2:17" x14ac:dyDescent="0.25">
      <c r="B700" s="114">
        <v>43</v>
      </c>
      <c r="C700" s="114">
        <v>103</v>
      </c>
      <c r="D700" s="114">
        <v>51</v>
      </c>
      <c r="E700" s="154" cm="1">
        <f t="array" ref="E700">IF(ISBLANK(MainData[[#This Row],[EventID]]),0,IFERROR(INDEX(MainData[],MATCH(MainData[[#This Row],[EventID]],IF(MainData[Product]="Date",MainData[EventID],0),0),12),0))</f>
        <v>44594</v>
      </c>
      <c r="F700" s="155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0" s="155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0" s="157" t="s">
        <v>84</v>
      </c>
      <c r="J700" t="s">
        <v>187</v>
      </c>
      <c r="K700" s="2" t="s">
        <v>157</v>
      </c>
      <c r="L700" s="2" t="s">
        <v>165</v>
      </c>
      <c r="M700" s="2" t="s">
        <v>406</v>
      </c>
      <c r="N700" s="2"/>
      <c r="O700" s="109"/>
      <c r="P700" s="109"/>
      <c r="Q700" s="109"/>
    </row>
    <row r="701" spans="2:17" x14ac:dyDescent="0.25">
      <c r="B701" s="114">
        <v>43</v>
      </c>
      <c r="C701" s="114">
        <v>103</v>
      </c>
      <c r="D701" s="114">
        <v>51</v>
      </c>
      <c r="E701" s="154" cm="1">
        <f t="array" ref="E701">IF(ISBLANK(MainData[[#This Row],[EventID]]),0,IFERROR(INDEX(MainData[],MATCH(MainData[[#This Row],[EventID]],IF(MainData[Product]="Date",MainData[EventID],0),0),12),0))</f>
        <v>44594</v>
      </c>
      <c r="F701" s="155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1" s="155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1" s="20" t="s">
        <v>85</v>
      </c>
      <c r="J701" t="s">
        <v>21</v>
      </c>
      <c r="K701" s="2" t="s">
        <v>116</v>
      </c>
      <c r="L701" s="2" t="s">
        <v>107</v>
      </c>
      <c r="M701" s="2" t="s">
        <v>190</v>
      </c>
      <c r="N701" s="2" t="s">
        <v>233</v>
      </c>
      <c r="O701" s="109">
        <v>1</v>
      </c>
      <c r="P701" s="109"/>
      <c r="Q701" s="109"/>
    </row>
    <row r="702" spans="2:17" x14ac:dyDescent="0.25">
      <c r="B702" s="114">
        <v>43</v>
      </c>
      <c r="C702" s="114">
        <v>103</v>
      </c>
      <c r="D702" s="114">
        <v>51</v>
      </c>
      <c r="E702" s="154" cm="1">
        <f t="array" ref="E702">IF(ISBLANK(MainData[[#This Row],[EventID]]),0,IFERROR(INDEX(MainData[],MATCH(MainData[[#This Row],[EventID]],IF(MainData[Product]="Date",MainData[EventID],0),0),12),0))</f>
        <v>44594</v>
      </c>
      <c r="F702" s="155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2" s="155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2" s="20" t="s">
        <v>85</v>
      </c>
      <c r="J702" t="s">
        <v>21</v>
      </c>
      <c r="K702" s="2" t="s">
        <v>29</v>
      </c>
      <c r="L702" s="2" t="s">
        <v>25</v>
      </c>
      <c r="M702" s="2" t="s">
        <v>6</v>
      </c>
      <c r="N702" s="2" t="s">
        <v>235</v>
      </c>
      <c r="O702" s="109">
        <v>1</v>
      </c>
      <c r="P702" s="109">
        <v>11.5</v>
      </c>
      <c r="Q702" s="109">
        <v>41</v>
      </c>
    </row>
    <row r="703" spans="2:17" x14ac:dyDescent="0.25">
      <c r="B703" s="114">
        <v>8</v>
      </c>
      <c r="C703" s="114">
        <v>13</v>
      </c>
      <c r="D703" s="114">
        <v>53</v>
      </c>
      <c r="E703" s="154" cm="1">
        <f t="array" ref="E703">IF(ISBLANK(MainData[[#This Row],[EventID]]),0,IFERROR(INDEX(MainData[],MATCH(MainData[[#This Row],[EventID]],IF(MainData[Product]="Date",MainData[EventID],0),0),12),0))</f>
        <v>44595</v>
      </c>
      <c r="F703" s="155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3" s="155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3" s="157" t="s">
        <v>84</v>
      </c>
      <c r="J703" t="s">
        <v>187</v>
      </c>
      <c r="K703" s="2" t="s">
        <v>157</v>
      </c>
      <c r="L703" s="2" t="s">
        <v>81</v>
      </c>
      <c r="M703" s="2">
        <v>1</v>
      </c>
      <c r="N703" s="2"/>
      <c r="O703" s="109"/>
      <c r="P703" s="109"/>
      <c r="Q703" s="109"/>
    </row>
    <row r="704" spans="2:17" x14ac:dyDescent="0.25">
      <c r="B704" s="114">
        <v>8</v>
      </c>
      <c r="C704" s="114">
        <v>13</v>
      </c>
      <c r="D704" s="114">
        <v>53</v>
      </c>
      <c r="E704" s="154" cm="1">
        <f t="array" ref="E704">IF(ISBLANK(MainData[[#This Row],[EventID]]),0,IFERROR(INDEX(MainData[],MATCH(MainData[[#This Row],[EventID]],IF(MainData[Product]="Date",MainData[EventID],0),0),12),0))</f>
        <v>44595</v>
      </c>
      <c r="F704" s="155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4" s="155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4" s="157" t="s">
        <v>84</v>
      </c>
      <c r="J704" t="s">
        <v>187</v>
      </c>
      <c r="K704" s="2" t="s">
        <v>157</v>
      </c>
      <c r="L704" s="2" t="s">
        <v>0</v>
      </c>
      <c r="M704" s="158">
        <v>44595</v>
      </c>
      <c r="N704" s="2"/>
      <c r="O704" s="109"/>
      <c r="P704" s="109"/>
      <c r="Q704" s="109"/>
    </row>
    <row r="705" spans="2:17" x14ac:dyDescent="0.25">
      <c r="B705" s="114">
        <v>8</v>
      </c>
      <c r="C705" s="114">
        <v>13</v>
      </c>
      <c r="D705" s="114">
        <v>53</v>
      </c>
      <c r="E705" s="154" cm="1">
        <f t="array" ref="E705">IF(ISBLANK(MainData[[#This Row],[EventID]]),0,IFERROR(INDEX(MainData[],MATCH(MainData[[#This Row],[EventID]],IF(MainData[Product]="Date",MainData[EventID],0),0),12),0))</f>
        <v>44595</v>
      </c>
      <c r="F705" s="155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5" s="155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5" s="157" t="s">
        <v>84</v>
      </c>
      <c r="J705" t="s">
        <v>187</v>
      </c>
      <c r="K705" s="2" t="s">
        <v>157</v>
      </c>
      <c r="L705" s="2" t="s">
        <v>82</v>
      </c>
      <c r="M705" s="2">
        <v>764685</v>
      </c>
      <c r="N705" s="2"/>
      <c r="O705" s="109"/>
      <c r="P705" s="109"/>
      <c r="Q705" s="109"/>
    </row>
    <row r="706" spans="2:17" x14ac:dyDescent="0.25">
      <c r="B706" s="114">
        <v>8</v>
      </c>
      <c r="C706" s="114">
        <v>13</v>
      </c>
      <c r="D706" s="114">
        <v>53</v>
      </c>
      <c r="E706" s="154" cm="1">
        <f t="array" ref="E706">IF(ISBLANK(MainData[[#This Row],[EventID]]),0,IFERROR(INDEX(MainData[],MATCH(MainData[[#This Row],[EventID]],IF(MainData[Product]="Date",MainData[EventID],0),0),12),0))</f>
        <v>44595</v>
      </c>
      <c r="F706" s="155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6" s="155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6" s="157" t="s">
        <v>84</v>
      </c>
      <c r="J706" t="s">
        <v>187</v>
      </c>
      <c r="K706" s="2" t="s">
        <v>157</v>
      </c>
      <c r="L706" s="2" t="s">
        <v>175</v>
      </c>
      <c r="M706" s="2" t="s">
        <v>455</v>
      </c>
      <c r="N706" s="2"/>
      <c r="O706" s="109"/>
      <c r="P706" s="109"/>
      <c r="Q706" s="109"/>
    </row>
    <row r="707" spans="2:17" x14ac:dyDescent="0.25">
      <c r="B707" s="114">
        <v>8</v>
      </c>
      <c r="C707" s="114">
        <v>13</v>
      </c>
      <c r="D707" s="114">
        <v>53</v>
      </c>
      <c r="E707" s="154" cm="1">
        <f t="array" ref="E707">IF(ISBLANK(MainData[[#This Row],[EventID]]),0,IFERROR(INDEX(MainData[],MATCH(MainData[[#This Row],[EventID]],IF(MainData[Product]="Date",MainData[EventID],0),0),12),0))</f>
        <v>44595</v>
      </c>
      <c r="F707" s="155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7" s="155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7" s="157" t="s">
        <v>84</v>
      </c>
      <c r="J707" t="s">
        <v>187</v>
      </c>
      <c r="K707" s="2" t="s">
        <v>157</v>
      </c>
      <c r="L707" s="2" t="s">
        <v>138</v>
      </c>
      <c r="M707" s="2">
        <v>45</v>
      </c>
      <c r="N707" s="2"/>
      <c r="O707" s="109"/>
      <c r="P707" s="109"/>
      <c r="Q707" s="109"/>
    </row>
    <row r="708" spans="2:17" x14ac:dyDescent="0.25">
      <c r="B708" s="114">
        <v>8</v>
      </c>
      <c r="C708" s="114">
        <v>13</v>
      </c>
      <c r="D708" s="114">
        <v>53</v>
      </c>
      <c r="E708" s="154" cm="1">
        <f t="array" ref="E708">IF(ISBLANK(MainData[[#This Row],[EventID]]),0,IFERROR(INDEX(MainData[],MATCH(MainData[[#This Row],[EventID]],IF(MainData[Product]="Date",MainData[EventID],0),0),12),0))</f>
        <v>44595</v>
      </c>
      <c r="F708" s="155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8" s="155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8" s="157" t="s">
        <v>84</v>
      </c>
      <c r="J708" t="s">
        <v>187</v>
      </c>
      <c r="K708" s="2" t="s">
        <v>157</v>
      </c>
      <c r="L708" s="2" t="s">
        <v>86</v>
      </c>
      <c r="M708" s="2">
        <v>1</v>
      </c>
      <c r="N708" s="2"/>
      <c r="O708" s="109"/>
      <c r="P708" s="109"/>
      <c r="Q708" s="109"/>
    </row>
    <row r="709" spans="2:17" x14ac:dyDescent="0.25">
      <c r="B709" s="114">
        <v>8</v>
      </c>
      <c r="C709" s="114">
        <v>13</v>
      </c>
      <c r="D709" s="114">
        <v>53</v>
      </c>
      <c r="E709" s="154" cm="1">
        <f t="array" ref="E709">IF(ISBLANK(MainData[[#This Row],[EventID]]),0,IFERROR(INDEX(MainData[],MATCH(MainData[[#This Row],[EventID]],IF(MainData[Product]="Date",MainData[EventID],0),0),12),0))</f>
        <v>44595</v>
      </c>
      <c r="F709" s="155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9" s="155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9" s="157" t="s">
        <v>84</v>
      </c>
      <c r="J709" t="s">
        <v>187</v>
      </c>
      <c r="K709" s="2" t="s">
        <v>157</v>
      </c>
      <c r="L709" s="2" t="s">
        <v>118</v>
      </c>
      <c r="M709" s="2" t="s">
        <v>501</v>
      </c>
      <c r="N709" s="2"/>
      <c r="O709" s="109"/>
      <c r="P709" s="109"/>
      <c r="Q709" s="109"/>
    </row>
    <row r="710" spans="2:17" x14ac:dyDescent="0.25">
      <c r="B710" s="114">
        <v>8</v>
      </c>
      <c r="C710" s="114">
        <v>13</v>
      </c>
      <c r="D710" s="114">
        <v>53</v>
      </c>
      <c r="E710" s="154" cm="1">
        <f t="array" ref="E710">IF(ISBLANK(MainData[[#This Row],[EventID]]),0,IFERROR(INDEX(MainData[],MATCH(MainData[[#This Row],[EventID]],IF(MainData[Product]="Date",MainData[EventID],0),0),12),0))</f>
        <v>44595</v>
      </c>
      <c r="F710" s="155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0" s="155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0" s="20" t="s">
        <v>85</v>
      </c>
      <c r="J710" t="s">
        <v>20</v>
      </c>
      <c r="K710" s="2" t="s">
        <v>116</v>
      </c>
      <c r="L710" s="2" t="s">
        <v>88</v>
      </c>
      <c r="M710" s="2" t="s">
        <v>189</v>
      </c>
      <c r="N710" s="2" t="s">
        <v>233</v>
      </c>
      <c r="O710" s="109">
        <v>1</v>
      </c>
      <c r="P710" s="109"/>
      <c r="Q710" s="109"/>
    </row>
    <row r="711" spans="2:17" x14ac:dyDescent="0.25">
      <c r="B711" s="114">
        <v>8</v>
      </c>
      <c r="C711" s="114">
        <v>13</v>
      </c>
      <c r="D711" s="114">
        <v>53</v>
      </c>
      <c r="E711" s="154" cm="1">
        <f t="array" ref="E711">IF(ISBLANK(MainData[[#This Row],[EventID]]),0,IFERROR(INDEX(MainData[],MATCH(MainData[[#This Row],[EventID]],IF(MainData[Product]="Date",MainData[EventID],0),0),12),0))</f>
        <v>44595</v>
      </c>
      <c r="F711" s="155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1" s="155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1" s="20" t="s">
        <v>85</v>
      </c>
      <c r="J711" t="s">
        <v>20</v>
      </c>
      <c r="K711" s="2" t="s">
        <v>116</v>
      </c>
      <c r="L711" s="2" t="s">
        <v>87</v>
      </c>
      <c r="M711" s="2" t="s">
        <v>188</v>
      </c>
      <c r="N711" s="2" t="s">
        <v>233</v>
      </c>
      <c r="O711" s="109">
        <v>1</v>
      </c>
      <c r="P711" s="109"/>
      <c r="Q711" s="109">
        <v>100</v>
      </c>
    </row>
    <row r="712" spans="2:17" x14ac:dyDescent="0.25">
      <c r="B712" s="114">
        <v>8</v>
      </c>
      <c r="C712" s="114">
        <v>13</v>
      </c>
      <c r="D712" s="114">
        <v>53</v>
      </c>
      <c r="E712" s="154" cm="1">
        <f t="array" ref="E712">IF(ISBLANK(MainData[[#This Row],[EventID]]),0,IFERROR(INDEX(MainData[],MATCH(MainData[[#This Row],[EventID]],IF(MainData[Product]="Date",MainData[EventID],0),0),12),0))</f>
        <v>44595</v>
      </c>
      <c r="F712" s="155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2" s="155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2" s="157" t="s">
        <v>85</v>
      </c>
      <c r="J712" t="s">
        <v>20</v>
      </c>
      <c r="K712" s="2" t="s">
        <v>29</v>
      </c>
      <c r="L712" s="2" t="s">
        <v>35</v>
      </c>
      <c r="M712" s="2" t="s">
        <v>382</v>
      </c>
      <c r="N712" s="2" t="s">
        <v>234</v>
      </c>
      <c r="O712" s="109">
        <v>1</v>
      </c>
      <c r="P712" s="109">
        <v>7.5</v>
      </c>
      <c r="Q712" s="109">
        <v>70</v>
      </c>
    </row>
    <row r="713" spans="2:17" x14ac:dyDescent="0.25">
      <c r="B713" s="114">
        <v>8</v>
      </c>
      <c r="C713" s="114">
        <v>13</v>
      </c>
      <c r="D713" s="114">
        <v>53</v>
      </c>
      <c r="E713" s="154" cm="1">
        <f t="array" ref="E713">IF(ISBLANK(MainData[[#This Row],[EventID]]),0,IFERROR(INDEX(MainData[],MATCH(MainData[[#This Row],[EventID]],IF(MainData[Product]="Date",MainData[EventID],0),0),12),0))</f>
        <v>44595</v>
      </c>
      <c r="F713" s="155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3" s="155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3" s="20" t="s">
        <v>85</v>
      </c>
      <c r="J713" t="s">
        <v>20</v>
      </c>
      <c r="K713" s="2" t="s">
        <v>29</v>
      </c>
      <c r="L713" s="2" t="s">
        <v>36</v>
      </c>
      <c r="M713" s="2" t="s">
        <v>387</v>
      </c>
      <c r="N713" s="2" t="s">
        <v>234</v>
      </c>
      <c r="O713" s="109">
        <v>1</v>
      </c>
      <c r="P713" s="109">
        <v>25.67</v>
      </c>
      <c r="Q713" s="109">
        <v>306</v>
      </c>
    </row>
    <row r="714" spans="2:17" x14ac:dyDescent="0.25">
      <c r="B714" s="114">
        <v>8</v>
      </c>
      <c r="C714" s="114">
        <v>13</v>
      </c>
      <c r="D714" s="114">
        <v>53</v>
      </c>
      <c r="E714" s="154" cm="1">
        <f t="array" ref="E714">IF(ISBLANK(MainData[[#This Row],[EventID]]),0,IFERROR(INDEX(MainData[],MATCH(MainData[[#This Row],[EventID]],IF(MainData[Product]="Date",MainData[EventID],0),0),12),0))</f>
        <v>44595</v>
      </c>
      <c r="F714" s="155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4" s="155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4" s="157" t="s">
        <v>85</v>
      </c>
      <c r="J714" t="s">
        <v>20</v>
      </c>
      <c r="K714" s="2" t="s">
        <v>29</v>
      </c>
      <c r="L714" s="2" t="s">
        <v>65</v>
      </c>
      <c r="M714" s="2" t="s">
        <v>383</v>
      </c>
      <c r="N714" s="2" t="s">
        <v>234</v>
      </c>
      <c r="O714" s="109">
        <v>1</v>
      </c>
      <c r="P714" s="109">
        <v>1.25</v>
      </c>
      <c r="Q714" s="109">
        <v>25</v>
      </c>
    </row>
    <row r="715" spans="2:17" x14ac:dyDescent="0.25">
      <c r="B715" s="114">
        <v>8</v>
      </c>
      <c r="C715" s="114">
        <v>13</v>
      </c>
      <c r="D715" s="114">
        <v>53</v>
      </c>
      <c r="E715" s="154" cm="1">
        <f t="array" ref="E715">IF(ISBLANK(MainData[[#This Row],[EventID]]),0,IFERROR(INDEX(MainData[],MATCH(MainData[[#This Row],[EventID]],IF(MainData[Product]="Date",MainData[EventID],0),0),12),0))</f>
        <v>44595</v>
      </c>
      <c r="F715" s="155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5" s="155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5" s="157" t="s">
        <v>85</v>
      </c>
      <c r="J715" t="s">
        <v>20</v>
      </c>
      <c r="K715" s="2" t="s">
        <v>29</v>
      </c>
      <c r="L715" s="2" t="s">
        <v>25</v>
      </c>
      <c r="M715" s="2" t="s">
        <v>388</v>
      </c>
      <c r="N715" s="2" t="s">
        <v>234</v>
      </c>
      <c r="O715" s="109">
        <v>1</v>
      </c>
      <c r="P715" s="109">
        <v>12.5</v>
      </c>
      <c r="Q715" s="109">
        <v>125</v>
      </c>
    </row>
    <row r="716" spans="2:17" x14ac:dyDescent="0.25">
      <c r="B716" s="114">
        <v>7</v>
      </c>
      <c r="C716" s="114">
        <v>10</v>
      </c>
      <c r="D716" s="114">
        <v>52</v>
      </c>
      <c r="E716" s="154" cm="1">
        <f t="array" ref="E716">IF(ISBLANK(MainData[[#This Row],[EventID]]),0,IFERROR(INDEX(MainData[],MATCH(MainData[[#This Row],[EventID]],IF(MainData[Product]="Date",MainData[EventID],0),0),12),0))</f>
        <v>44595</v>
      </c>
      <c r="F716" s="155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6" s="155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6" s="157" t="s">
        <v>84</v>
      </c>
      <c r="J716" t="s">
        <v>187</v>
      </c>
      <c r="K716" s="2" t="s">
        <v>157</v>
      </c>
      <c r="L716" s="2" t="s">
        <v>81</v>
      </c>
      <c r="M716" s="2">
        <v>1</v>
      </c>
      <c r="N716" s="2"/>
      <c r="O716" s="109"/>
      <c r="P716" s="109"/>
      <c r="Q716" s="109"/>
    </row>
    <row r="717" spans="2:17" x14ac:dyDescent="0.25">
      <c r="B717" s="114">
        <v>7</v>
      </c>
      <c r="C717" s="114">
        <v>10</v>
      </c>
      <c r="D717" s="114">
        <v>52</v>
      </c>
      <c r="E717" s="154" cm="1">
        <f t="array" ref="E717">IF(ISBLANK(MainData[[#This Row],[EventID]]),0,IFERROR(INDEX(MainData[],MATCH(MainData[[#This Row],[EventID]],IF(MainData[Product]="Date",MainData[EventID],0),0),12),0))</f>
        <v>44595</v>
      </c>
      <c r="F717" s="155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7" s="155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7" s="157" t="s">
        <v>84</v>
      </c>
      <c r="J717" t="s">
        <v>187</v>
      </c>
      <c r="K717" s="2" t="s">
        <v>157</v>
      </c>
      <c r="L717" s="2" t="s">
        <v>164</v>
      </c>
      <c r="M717" s="2" t="s">
        <v>413</v>
      </c>
      <c r="N717" s="2"/>
      <c r="O717" s="109"/>
      <c r="P717" s="109"/>
      <c r="Q717" s="109"/>
    </row>
    <row r="718" spans="2:17" x14ac:dyDescent="0.25">
      <c r="B718" s="114">
        <v>7</v>
      </c>
      <c r="C718" s="114">
        <v>10</v>
      </c>
      <c r="D718" s="114">
        <v>52</v>
      </c>
      <c r="E718" s="154" cm="1">
        <f t="array" ref="E718">IF(ISBLANK(MainData[[#This Row],[EventID]]),0,IFERROR(INDEX(MainData[],MATCH(MainData[[#This Row],[EventID]],IF(MainData[Product]="Date",MainData[EventID],0),0),12),0))</f>
        <v>44595</v>
      </c>
      <c r="F718" s="155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8" s="155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8" s="157" t="s">
        <v>84</v>
      </c>
      <c r="J718" t="s">
        <v>187</v>
      </c>
      <c r="K718" s="2" t="s">
        <v>157</v>
      </c>
      <c r="L718" s="2" t="s">
        <v>0</v>
      </c>
      <c r="M718" s="158">
        <v>44595</v>
      </c>
      <c r="N718" s="2"/>
      <c r="O718" s="109"/>
      <c r="P718" s="109"/>
      <c r="Q718" s="109"/>
    </row>
    <row r="719" spans="2:17" x14ac:dyDescent="0.25">
      <c r="B719" s="114">
        <v>7</v>
      </c>
      <c r="C719" s="114">
        <v>10</v>
      </c>
      <c r="D719" s="114">
        <v>52</v>
      </c>
      <c r="E719" s="154" cm="1">
        <f t="array" ref="E719">IF(ISBLANK(MainData[[#This Row],[EventID]]),0,IFERROR(INDEX(MainData[],MATCH(MainData[[#This Row],[EventID]],IF(MainData[Product]="Date",MainData[EventID],0),0),12),0))</f>
        <v>44595</v>
      </c>
      <c r="F719" s="155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9" s="155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9" s="157" t="s">
        <v>84</v>
      </c>
      <c r="J719" t="s">
        <v>187</v>
      </c>
      <c r="K719" s="2" t="s">
        <v>157</v>
      </c>
      <c r="L719" s="2" t="s">
        <v>82</v>
      </c>
      <c r="M719" s="2">
        <v>911349</v>
      </c>
      <c r="N719" s="2"/>
      <c r="O719" s="109"/>
      <c r="P719" s="109"/>
      <c r="Q719" s="109"/>
    </row>
    <row r="720" spans="2:17" x14ac:dyDescent="0.25">
      <c r="B720" s="114">
        <v>7</v>
      </c>
      <c r="C720" s="114">
        <v>10</v>
      </c>
      <c r="D720" s="114">
        <v>52</v>
      </c>
      <c r="E720" s="154" cm="1">
        <f t="array" ref="E720">IF(ISBLANK(MainData[[#This Row],[EventID]]),0,IFERROR(INDEX(MainData[],MATCH(MainData[[#This Row],[EventID]],IF(MainData[Product]="Date",MainData[EventID],0),0),12),0))</f>
        <v>44595</v>
      </c>
      <c r="F720" s="155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0" s="155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0" s="157" t="s">
        <v>84</v>
      </c>
      <c r="J720" t="s">
        <v>187</v>
      </c>
      <c r="K720" s="2" t="s">
        <v>157</v>
      </c>
      <c r="L720" s="2" t="s">
        <v>175</v>
      </c>
      <c r="M720" s="2" t="s">
        <v>455</v>
      </c>
      <c r="N720" s="2"/>
      <c r="O720" s="109"/>
      <c r="P720" s="109"/>
      <c r="Q720" s="109"/>
    </row>
    <row r="721" spans="2:17" x14ac:dyDescent="0.25">
      <c r="B721" s="114">
        <v>7</v>
      </c>
      <c r="C721" s="114">
        <v>10</v>
      </c>
      <c r="D721" s="114">
        <v>52</v>
      </c>
      <c r="E721" s="154" cm="1">
        <f t="array" ref="E721">IF(ISBLANK(MainData[[#This Row],[EventID]]),0,IFERROR(INDEX(MainData[],MATCH(MainData[[#This Row],[EventID]],IF(MainData[Product]="Date",MainData[EventID],0),0),12),0))</f>
        <v>44595</v>
      </c>
      <c r="F721" s="155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1" s="155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1" s="157" t="s">
        <v>84</v>
      </c>
      <c r="J721" t="s">
        <v>187</v>
      </c>
      <c r="K721" s="2" t="s">
        <v>157</v>
      </c>
      <c r="L721" s="2" t="s">
        <v>20</v>
      </c>
      <c r="M721" s="2" t="s">
        <v>370</v>
      </c>
      <c r="N721" s="2"/>
      <c r="O721" s="109"/>
      <c r="P721" s="109"/>
      <c r="Q721" s="109"/>
    </row>
    <row r="722" spans="2:17" x14ac:dyDescent="0.25">
      <c r="B722" s="114">
        <v>7</v>
      </c>
      <c r="C722" s="114">
        <v>10</v>
      </c>
      <c r="D722" s="114">
        <v>52</v>
      </c>
      <c r="E722" s="154" cm="1">
        <f t="array" ref="E722">IF(ISBLANK(MainData[[#This Row],[EventID]]),0,IFERROR(INDEX(MainData[],MATCH(MainData[[#This Row],[EventID]],IF(MainData[Product]="Date",MainData[EventID],0),0),12),0))</f>
        <v>44595</v>
      </c>
      <c r="F722" s="155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2" s="155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2" s="157" t="s">
        <v>84</v>
      </c>
      <c r="J722" t="s">
        <v>187</v>
      </c>
      <c r="K722" s="2" t="s">
        <v>157</v>
      </c>
      <c r="L722" s="2" t="s">
        <v>138</v>
      </c>
      <c r="M722" s="2">
        <v>60</v>
      </c>
      <c r="N722" s="2"/>
      <c r="O722" s="109"/>
      <c r="P722" s="109"/>
      <c r="Q722" s="109"/>
    </row>
    <row r="723" spans="2:17" x14ac:dyDescent="0.25">
      <c r="B723" s="114">
        <v>7</v>
      </c>
      <c r="C723" s="114">
        <v>10</v>
      </c>
      <c r="D723" s="114">
        <v>52</v>
      </c>
      <c r="E723" s="154" cm="1">
        <f t="array" ref="E723">IF(ISBLANK(MainData[[#This Row],[EventID]]),0,IFERROR(INDEX(MainData[],MATCH(MainData[[#This Row],[EventID]],IF(MainData[Product]="Date",MainData[EventID],0),0),12),0))</f>
        <v>44595</v>
      </c>
      <c r="F723" s="155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3" s="155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3" s="157" t="s">
        <v>84</v>
      </c>
      <c r="J723" t="s">
        <v>187</v>
      </c>
      <c r="K723" s="2" t="s">
        <v>157</v>
      </c>
      <c r="L723" s="2" t="s">
        <v>86</v>
      </c>
      <c r="M723" s="2">
        <v>2</v>
      </c>
      <c r="N723" s="2"/>
      <c r="O723" s="109"/>
      <c r="P723" s="109"/>
      <c r="Q723" s="109"/>
    </row>
    <row r="724" spans="2:17" x14ac:dyDescent="0.25">
      <c r="B724" s="114">
        <v>7</v>
      </c>
      <c r="C724" s="114">
        <v>10</v>
      </c>
      <c r="D724" s="114">
        <v>52</v>
      </c>
      <c r="E724" s="154" cm="1">
        <f t="array" ref="E724">IF(ISBLANK(MainData[[#This Row],[EventID]]),0,IFERROR(INDEX(MainData[],MATCH(MainData[[#This Row],[EventID]],IF(MainData[Product]="Date",MainData[EventID],0),0),12),0))</f>
        <v>44595</v>
      </c>
      <c r="F724" s="155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4" s="155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4" s="157" t="s">
        <v>84</v>
      </c>
      <c r="J724" t="s">
        <v>187</v>
      </c>
      <c r="K724" s="2" t="s">
        <v>157</v>
      </c>
      <c r="L724" s="2" t="s">
        <v>118</v>
      </c>
      <c r="M724" s="2" t="s">
        <v>503</v>
      </c>
      <c r="N724" s="2"/>
      <c r="O724" s="109"/>
      <c r="P724" s="109"/>
      <c r="Q724" s="109"/>
    </row>
    <row r="725" spans="2:17" x14ac:dyDescent="0.25">
      <c r="B725" s="114">
        <v>7</v>
      </c>
      <c r="C725" s="114">
        <v>10</v>
      </c>
      <c r="D725" s="114">
        <v>52</v>
      </c>
      <c r="E725" s="154" cm="1">
        <f t="array" ref="E725">IF(ISBLANK(MainData[[#This Row],[EventID]]),0,IFERROR(INDEX(MainData[],MATCH(MainData[[#This Row],[EventID]],IF(MainData[Product]="Date",MainData[EventID],0),0),12),0))</f>
        <v>44595</v>
      </c>
      <c r="F725" s="155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5" s="155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5" s="157" t="s">
        <v>84</v>
      </c>
      <c r="J725" t="s">
        <v>187</v>
      </c>
      <c r="K725" s="2" t="s">
        <v>157</v>
      </c>
      <c r="L725" s="2" t="s">
        <v>165</v>
      </c>
      <c r="M725" s="2" t="s">
        <v>412</v>
      </c>
      <c r="N725" s="2"/>
      <c r="O725" s="109"/>
      <c r="P725" s="109"/>
      <c r="Q725" s="109"/>
    </row>
    <row r="726" spans="2:17" x14ac:dyDescent="0.25">
      <c r="B726" s="114">
        <v>7</v>
      </c>
      <c r="C726" s="114">
        <v>10</v>
      </c>
      <c r="D726" s="114">
        <v>52</v>
      </c>
      <c r="E726" s="154" cm="1">
        <f t="array" ref="E726">IF(ISBLANK(MainData[[#This Row],[EventID]]),0,IFERROR(INDEX(MainData[],MATCH(MainData[[#This Row],[EventID]],IF(MainData[Product]="Date",MainData[EventID],0),0),12),0))</f>
        <v>44595</v>
      </c>
      <c r="F726" s="155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6" s="155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6" s="20" t="s">
        <v>85</v>
      </c>
      <c r="J726" t="s">
        <v>20</v>
      </c>
      <c r="K726" s="2" t="s">
        <v>116</v>
      </c>
      <c r="L726" s="2" t="s">
        <v>88</v>
      </c>
      <c r="M726" s="2" t="s">
        <v>189</v>
      </c>
      <c r="N726" s="2" t="s">
        <v>233</v>
      </c>
      <c r="O726" s="109">
        <v>1</v>
      </c>
      <c r="P726" s="109"/>
      <c r="Q726" s="109"/>
    </row>
    <row r="727" spans="2:17" x14ac:dyDescent="0.25">
      <c r="B727" s="114">
        <v>7</v>
      </c>
      <c r="C727" s="114">
        <v>10</v>
      </c>
      <c r="D727" s="114">
        <v>52</v>
      </c>
      <c r="E727" s="154" cm="1">
        <f t="array" ref="E727">IF(ISBLANK(MainData[[#This Row],[EventID]]),0,IFERROR(INDEX(MainData[],MATCH(MainData[[#This Row],[EventID]],IF(MainData[Product]="Date",MainData[EventID],0),0),12),0))</f>
        <v>44595</v>
      </c>
      <c r="F727" s="155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7" s="155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7" s="20" t="s">
        <v>85</v>
      </c>
      <c r="J727" t="s">
        <v>20</v>
      </c>
      <c r="K727" s="2" t="s">
        <v>116</v>
      </c>
      <c r="L727" s="2" t="s">
        <v>87</v>
      </c>
      <c r="M727" s="2" t="s">
        <v>188</v>
      </c>
      <c r="N727" s="2" t="s">
        <v>233</v>
      </c>
      <c r="O727" s="109">
        <v>1</v>
      </c>
      <c r="P727" s="109"/>
      <c r="Q727" s="109">
        <v>100</v>
      </c>
    </row>
    <row r="728" spans="2:17" x14ac:dyDescent="0.25">
      <c r="B728" s="114">
        <v>7</v>
      </c>
      <c r="C728" s="114">
        <v>10</v>
      </c>
      <c r="D728" s="114">
        <v>52</v>
      </c>
      <c r="E728" s="154" cm="1">
        <f t="array" ref="E728">IF(ISBLANK(MainData[[#This Row],[EventID]]),0,IFERROR(INDEX(MainData[],MATCH(MainData[[#This Row],[EventID]],IF(MainData[Product]="Date",MainData[EventID],0),0),12),0))</f>
        <v>44595</v>
      </c>
      <c r="F728" s="155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8" s="155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8" s="157" t="s">
        <v>85</v>
      </c>
      <c r="J728" t="s">
        <v>20</v>
      </c>
      <c r="K728" s="2" t="s">
        <v>29</v>
      </c>
      <c r="L728" s="2" t="s">
        <v>35</v>
      </c>
      <c r="M728" s="2" t="s">
        <v>382</v>
      </c>
      <c r="N728" s="2" t="s">
        <v>234</v>
      </c>
      <c r="O728" s="109">
        <v>1</v>
      </c>
      <c r="P728" s="109">
        <v>16.5</v>
      </c>
      <c r="Q728" s="109">
        <v>165</v>
      </c>
    </row>
    <row r="729" spans="2:17" x14ac:dyDescent="0.25">
      <c r="B729" s="114">
        <v>7</v>
      </c>
      <c r="C729" s="114">
        <v>10</v>
      </c>
      <c r="D729" s="114">
        <v>52</v>
      </c>
      <c r="E729" s="154" cm="1">
        <f t="array" ref="E729">IF(ISBLANK(MainData[[#This Row],[EventID]]),0,IFERROR(INDEX(MainData[],MATCH(MainData[[#This Row],[EventID]],IF(MainData[Product]="Date",MainData[EventID],0),0),12),0))</f>
        <v>44595</v>
      </c>
      <c r="F729" s="155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9" s="155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9" s="20" t="s">
        <v>85</v>
      </c>
      <c r="J729" t="s">
        <v>20</v>
      </c>
      <c r="K729" s="2" t="s">
        <v>29</v>
      </c>
      <c r="L729" s="2" t="s">
        <v>36</v>
      </c>
      <c r="M729" s="2" t="s">
        <v>387</v>
      </c>
      <c r="N729" s="2" t="s">
        <v>234</v>
      </c>
      <c r="O729" s="109">
        <v>1</v>
      </c>
      <c r="P729" s="109">
        <v>58.02</v>
      </c>
      <c r="Q729" s="109">
        <v>700</v>
      </c>
    </row>
    <row r="730" spans="2:17" x14ac:dyDescent="0.25">
      <c r="B730" s="114">
        <v>7</v>
      </c>
      <c r="C730" s="114">
        <v>10</v>
      </c>
      <c r="D730" s="114">
        <v>52</v>
      </c>
      <c r="E730" s="154" cm="1">
        <f t="array" ref="E730">IF(ISBLANK(MainData[[#This Row],[EventID]]),0,IFERROR(INDEX(MainData[],MATCH(MainData[[#This Row],[EventID]],IF(MainData[Product]="Date",MainData[EventID],0),0),12),0))</f>
        <v>44595</v>
      </c>
      <c r="F730" s="155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30" s="155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30" s="157" t="s">
        <v>85</v>
      </c>
      <c r="J730" t="s">
        <v>20</v>
      </c>
      <c r="K730" s="2" t="s">
        <v>29</v>
      </c>
      <c r="L730" s="2" t="s">
        <v>65</v>
      </c>
      <c r="M730" s="2" t="s">
        <v>383</v>
      </c>
      <c r="N730" s="2" t="s">
        <v>234</v>
      </c>
      <c r="O730" s="109">
        <v>1</v>
      </c>
      <c r="P730" s="109">
        <v>1.25</v>
      </c>
      <c r="Q730" s="109">
        <v>35</v>
      </c>
    </row>
    <row r="731" spans="2:17" x14ac:dyDescent="0.25">
      <c r="B731" s="114">
        <v>7</v>
      </c>
      <c r="C731" s="114">
        <v>10</v>
      </c>
      <c r="D731" s="114">
        <v>52</v>
      </c>
      <c r="E731" s="154" cm="1">
        <f t="array" ref="E731">IF(ISBLANK(MainData[[#This Row],[EventID]]),0,IFERROR(INDEX(MainData[],MATCH(MainData[[#This Row],[EventID]],IF(MainData[Product]="Date",MainData[EventID],0),0),12),0))</f>
        <v>44595</v>
      </c>
      <c r="F731" s="155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31" s="155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31" s="157" t="s">
        <v>85</v>
      </c>
      <c r="J731" t="s">
        <v>20</v>
      </c>
      <c r="K731" s="2" t="s">
        <v>29</v>
      </c>
      <c r="L731" s="2" t="s">
        <v>25</v>
      </c>
      <c r="M731" s="2" t="s">
        <v>388</v>
      </c>
      <c r="N731" s="2" t="s">
        <v>234</v>
      </c>
      <c r="O731" s="109">
        <v>1</v>
      </c>
      <c r="P731" s="109">
        <v>6.8</v>
      </c>
      <c r="Q731" s="109">
        <v>68</v>
      </c>
    </row>
    <row r="732" spans="2:17" x14ac:dyDescent="0.25">
      <c r="B732" s="114">
        <v>43</v>
      </c>
      <c r="C732" s="114">
        <v>105</v>
      </c>
      <c r="D732" s="114">
        <v>54</v>
      </c>
      <c r="E732" s="154" cm="1">
        <f t="array" ref="E732">IF(ISBLANK(MainData[[#This Row],[EventID]]),0,IFERROR(INDEX(MainData[],MATCH(MainData[[#This Row],[EventID]],IF(MainData[Product]="Date",MainData[EventID],0),0),12),0))</f>
        <v>44595</v>
      </c>
      <c r="F732" s="155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2" s="155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2" s="157" t="s">
        <v>84</v>
      </c>
      <c r="J732" t="s">
        <v>187</v>
      </c>
      <c r="K732" s="2" t="s">
        <v>157</v>
      </c>
      <c r="L732" s="2" t="s">
        <v>81</v>
      </c>
      <c r="M732" s="2">
        <v>1</v>
      </c>
      <c r="N732" s="2"/>
      <c r="O732" s="109"/>
      <c r="P732" s="109"/>
      <c r="Q732" s="109"/>
    </row>
    <row r="733" spans="2:17" x14ac:dyDescent="0.25">
      <c r="B733" s="114">
        <v>43</v>
      </c>
      <c r="C733" s="114">
        <v>105</v>
      </c>
      <c r="D733" s="114">
        <v>55</v>
      </c>
      <c r="E733" s="154" cm="1">
        <f t="array" ref="E733">IF(ISBLANK(MainData[[#This Row],[EventID]]),0,IFERROR(INDEX(MainData[],MATCH(MainData[[#This Row],[EventID]],IF(MainData[Product]="Date",MainData[EventID],0),0),12),0))</f>
        <v>44595</v>
      </c>
      <c r="F733" s="155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3" s="155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3" s="157" t="s">
        <v>84</v>
      </c>
      <c r="J733" t="s">
        <v>187</v>
      </c>
      <c r="K733" s="2" t="s">
        <v>157</v>
      </c>
      <c r="L733" s="2" t="s">
        <v>81</v>
      </c>
      <c r="M733" s="2">
        <v>2</v>
      </c>
      <c r="N733" s="2"/>
      <c r="O733" s="109"/>
      <c r="P733" s="109"/>
      <c r="Q733" s="109"/>
    </row>
    <row r="734" spans="2:17" x14ac:dyDescent="0.25">
      <c r="B734" s="114">
        <v>43</v>
      </c>
      <c r="C734" s="114">
        <v>105</v>
      </c>
      <c r="D734" s="114">
        <v>54</v>
      </c>
      <c r="E734" s="154" cm="1">
        <f t="array" ref="E734">IF(ISBLANK(MainData[[#This Row],[EventID]]),0,IFERROR(INDEX(MainData[],MATCH(MainData[[#This Row],[EventID]],IF(MainData[Product]="Date",MainData[EventID],0),0),12),0))</f>
        <v>44595</v>
      </c>
      <c r="F734" s="155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4" s="155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4" s="157" t="s">
        <v>84</v>
      </c>
      <c r="J734" t="s">
        <v>187</v>
      </c>
      <c r="K734" s="2" t="s">
        <v>157</v>
      </c>
      <c r="L734" s="2" t="s">
        <v>0</v>
      </c>
      <c r="M734" s="158">
        <v>44595</v>
      </c>
      <c r="N734" s="2"/>
      <c r="O734" s="109"/>
      <c r="P734" s="109"/>
      <c r="Q734" s="109"/>
    </row>
    <row r="735" spans="2:17" x14ac:dyDescent="0.25">
      <c r="B735" s="114">
        <v>43</v>
      </c>
      <c r="C735" s="114">
        <v>105</v>
      </c>
      <c r="D735" s="114">
        <v>54</v>
      </c>
      <c r="E735" s="154" cm="1">
        <f t="array" ref="E735">IF(ISBLANK(MainData[[#This Row],[EventID]]),0,IFERROR(INDEX(MainData[],MATCH(MainData[[#This Row],[EventID]],IF(MainData[Product]="Date",MainData[EventID],0),0),12),0))</f>
        <v>44595</v>
      </c>
      <c r="F735" s="155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5" s="155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5" s="157" t="s">
        <v>84</v>
      </c>
      <c r="J735" t="s">
        <v>187</v>
      </c>
      <c r="K735" s="2" t="s">
        <v>157</v>
      </c>
      <c r="L735" s="2" t="s">
        <v>82</v>
      </c>
      <c r="M735" s="2">
        <v>601273</v>
      </c>
      <c r="N735" s="2"/>
      <c r="O735" s="109"/>
      <c r="P735" s="109"/>
      <c r="Q735" s="109"/>
    </row>
    <row r="736" spans="2:17" x14ac:dyDescent="0.25">
      <c r="B736" s="114">
        <v>43</v>
      </c>
      <c r="C736" s="114">
        <v>105</v>
      </c>
      <c r="D736" s="114">
        <v>54</v>
      </c>
      <c r="E736" s="154" cm="1">
        <f t="array" ref="E736">IF(ISBLANK(MainData[[#This Row],[EventID]]),0,IFERROR(INDEX(MainData[],MATCH(MainData[[#This Row],[EventID]],IF(MainData[Product]="Date",MainData[EventID],0),0),12),0))</f>
        <v>44595</v>
      </c>
      <c r="F736" s="155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6" s="155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6" s="157" t="s">
        <v>84</v>
      </c>
      <c r="J736" t="s">
        <v>187</v>
      </c>
      <c r="K736" s="2" t="s">
        <v>157</v>
      </c>
      <c r="L736" s="2" t="s">
        <v>175</v>
      </c>
      <c r="M736" s="2" t="s">
        <v>466</v>
      </c>
      <c r="N736" s="2"/>
      <c r="O736" s="109"/>
      <c r="P736" s="109"/>
      <c r="Q736" s="109"/>
    </row>
    <row r="737" spans="2:17" x14ac:dyDescent="0.25">
      <c r="B737" s="114">
        <v>43</v>
      </c>
      <c r="C737" s="114">
        <v>105</v>
      </c>
      <c r="D737" s="114">
        <v>54</v>
      </c>
      <c r="E737" s="154" cm="1">
        <f t="array" ref="E737">IF(ISBLANK(MainData[[#This Row],[EventID]]),0,IFERROR(INDEX(MainData[],MATCH(MainData[[#This Row],[EventID]],IF(MainData[Product]="Date",MainData[EventID],0),0),12),0))</f>
        <v>44595</v>
      </c>
      <c r="F737" s="155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7" s="155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7" s="157" t="s">
        <v>84</v>
      </c>
      <c r="J737" t="s">
        <v>187</v>
      </c>
      <c r="K737" s="2" t="s">
        <v>157</v>
      </c>
      <c r="L737" s="2" t="s">
        <v>138</v>
      </c>
      <c r="M737" s="2">
        <v>270</v>
      </c>
      <c r="N737" s="2"/>
      <c r="O737" s="109"/>
      <c r="P737" s="109"/>
      <c r="Q737" s="109"/>
    </row>
    <row r="738" spans="2:17" x14ac:dyDescent="0.25">
      <c r="B738" s="114">
        <v>43</v>
      </c>
      <c r="C738" s="114">
        <v>105</v>
      </c>
      <c r="D738" s="114">
        <v>54</v>
      </c>
      <c r="E738" s="154" cm="1">
        <f t="array" ref="E738">IF(ISBLANK(MainData[[#This Row],[EventID]]),0,IFERROR(INDEX(MainData[],MATCH(MainData[[#This Row],[EventID]],IF(MainData[Product]="Date",MainData[EventID],0),0),12),0))</f>
        <v>44595</v>
      </c>
      <c r="F738" s="155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8" s="155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8" s="157" t="s">
        <v>84</v>
      </c>
      <c r="J738" t="s">
        <v>187</v>
      </c>
      <c r="K738" s="2" t="s">
        <v>157</v>
      </c>
      <c r="L738" s="2" t="s">
        <v>86</v>
      </c>
      <c r="M738" s="2">
        <v>4</v>
      </c>
      <c r="N738" s="2"/>
      <c r="O738" s="109"/>
      <c r="P738" s="109"/>
      <c r="Q738" s="109"/>
    </row>
    <row r="739" spans="2:17" x14ac:dyDescent="0.25">
      <c r="B739" s="114">
        <v>43</v>
      </c>
      <c r="C739" s="114">
        <v>105</v>
      </c>
      <c r="D739" s="114">
        <v>54</v>
      </c>
      <c r="E739" s="154" cm="1">
        <f t="array" ref="E739">IF(ISBLANK(MainData[[#This Row],[EventID]]),0,IFERROR(INDEX(MainData[],MATCH(MainData[[#This Row],[EventID]],IF(MainData[Product]="Date",MainData[EventID],0),0),12),0))</f>
        <v>44595</v>
      </c>
      <c r="F739" s="155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9" s="155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9" s="157" t="s">
        <v>84</v>
      </c>
      <c r="J739" t="s">
        <v>187</v>
      </c>
      <c r="K739" s="2" t="s">
        <v>157</v>
      </c>
      <c r="L739" s="2" t="s">
        <v>118</v>
      </c>
      <c r="M739" s="2" t="s">
        <v>480</v>
      </c>
      <c r="N739" s="2"/>
      <c r="O739" s="109"/>
      <c r="P739" s="109"/>
      <c r="Q739" s="109"/>
    </row>
    <row r="740" spans="2:17" x14ac:dyDescent="0.25">
      <c r="B740" s="114">
        <v>43</v>
      </c>
      <c r="C740" s="114">
        <v>105</v>
      </c>
      <c r="D740" s="114">
        <v>55</v>
      </c>
      <c r="E740" s="154" cm="1">
        <f t="array" ref="E740">IF(ISBLANK(MainData[[#This Row],[EventID]]),0,IFERROR(INDEX(MainData[],MATCH(MainData[[#This Row],[EventID]],IF(MainData[Product]="Date",MainData[EventID],0),0),12),0))</f>
        <v>44595</v>
      </c>
      <c r="F740" s="155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0" s="155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0" s="157" t="s">
        <v>85</v>
      </c>
      <c r="J740" t="s">
        <v>22</v>
      </c>
      <c r="K740" s="2" t="s">
        <v>29</v>
      </c>
      <c r="L740" s="2" t="s">
        <v>35</v>
      </c>
      <c r="M740" s="2" t="s">
        <v>382</v>
      </c>
      <c r="N740" s="2" t="s">
        <v>234</v>
      </c>
      <c r="O740" s="109">
        <v>3</v>
      </c>
      <c r="P740" s="109">
        <v>3</v>
      </c>
      <c r="Q740" s="109">
        <v>26</v>
      </c>
    </row>
    <row r="741" spans="2:17" x14ac:dyDescent="0.25">
      <c r="B741" s="114">
        <v>43</v>
      </c>
      <c r="C741" s="114">
        <v>105</v>
      </c>
      <c r="D741" s="114">
        <v>55</v>
      </c>
      <c r="E741" s="154" cm="1">
        <f t="array" ref="E741">IF(ISBLANK(MainData[[#This Row],[EventID]]),0,IFERROR(INDEX(MainData[],MATCH(MainData[[#This Row],[EventID]],IF(MainData[Product]="Date",MainData[EventID],0),0),12),0))</f>
        <v>44595</v>
      </c>
      <c r="F741" s="155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1" s="155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1" s="20" t="s">
        <v>85</v>
      </c>
      <c r="J741" t="s">
        <v>22</v>
      </c>
      <c r="K741" s="2" t="s">
        <v>29</v>
      </c>
      <c r="L741" s="2" t="s">
        <v>36</v>
      </c>
      <c r="M741" s="2" t="s">
        <v>387</v>
      </c>
      <c r="N741" s="2" t="s">
        <v>234</v>
      </c>
      <c r="O741" s="109">
        <v>3</v>
      </c>
      <c r="P741" s="109">
        <v>21.45</v>
      </c>
      <c r="Q741" s="109">
        <v>197.31</v>
      </c>
    </row>
    <row r="742" spans="2:17" x14ac:dyDescent="0.25">
      <c r="B742" s="114">
        <v>43</v>
      </c>
      <c r="C742" s="114">
        <v>105</v>
      </c>
      <c r="D742" s="114">
        <v>55</v>
      </c>
      <c r="E742" s="154" cm="1">
        <f t="array" ref="E742">IF(ISBLANK(MainData[[#This Row],[EventID]]),0,IFERROR(INDEX(MainData[],MATCH(MainData[[#This Row],[EventID]],IF(MainData[Product]="Date",MainData[EventID],0),0),12),0))</f>
        <v>44595</v>
      </c>
      <c r="F742" s="155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2" s="155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2" s="157" t="s">
        <v>85</v>
      </c>
      <c r="J742" t="s">
        <v>22</v>
      </c>
      <c r="K742" s="2" t="s">
        <v>29</v>
      </c>
      <c r="L742" s="2" t="s">
        <v>65</v>
      </c>
      <c r="M742" s="2" t="s">
        <v>383</v>
      </c>
      <c r="N742" s="2" t="s">
        <v>234</v>
      </c>
      <c r="O742" s="109">
        <v>3</v>
      </c>
      <c r="P742" s="109"/>
      <c r="Q742" s="109"/>
    </row>
    <row r="743" spans="2:17" x14ac:dyDescent="0.25">
      <c r="B743" s="114">
        <v>43</v>
      </c>
      <c r="C743" s="114">
        <v>105</v>
      </c>
      <c r="D743" s="114">
        <v>55</v>
      </c>
      <c r="E743" s="154" cm="1">
        <f t="array" ref="E743">IF(ISBLANK(MainData[[#This Row],[EventID]]),0,IFERROR(INDEX(MainData[],MATCH(MainData[[#This Row],[EventID]],IF(MainData[Product]="Date",MainData[EventID],0),0),12),0))</f>
        <v>44595</v>
      </c>
      <c r="F743" s="155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3" s="155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3" s="157" t="s">
        <v>85</v>
      </c>
      <c r="J743" t="s">
        <v>22</v>
      </c>
      <c r="K743" s="2" t="s">
        <v>29</v>
      </c>
      <c r="L743" s="2" t="s">
        <v>25</v>
      </c>
      <c r="M743" s="2" t="s">
        <v>388</v>
      </c>
      <c r="N743" s="2" t="s">
        <v>234</v>
      </c>
      <c r="O743" s="109">
        <v>3</v>
      </c>
      <c r="P743" s="109">
        <v>15</v>
      </c>
      <c r="Q743" s="109">
        <v>144</v>
      </c>
    </row>
    <row r="744" spans="2:17" x14ac:dyDescent="0.25">
      <c r="B744" s="114">
        <v>43</v>
      </c>
      <c r="C744" s="114">
        <v>105</v>
      </c>
      <c r="D744" s="114">
        <v>54</v>
      </c>
      <c r="E744" s="154" cm="1">
        <f t="array" ref="E744">IF(ISBLANK(MainData[[#This Row],[EventID]]),0,IFERROR(INDEX(MainData[],MATCH(MainData[[#This Row],[EventID]],IF(MainData[Product]="Date",MainData[EventID],0),0),12),0))</f>
        <v>44595</v>
      </c>
      <c r="F744" s="155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4" s="155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4" s="20" t="s">
        <v>85</v>
      </c>
      <c r="J744" t="s">
        <v>20</v>
      </c>
      <c r="K744" s="2" t="s">
        <v>116</v>
      </c>
      <c r="L744" s="2" t="s">
        <v>88</v>
      </c>
      <c r="M744" s="2" t="s">
        <v>189</v>
      </c>
      <c r="N744" s="2" t="s">
        <v>233</v>
      </c>
      <c r="O744" s="109">
        <v>2</v>
      </c>
      <c r="P744" s="109"/>
      <c r="Q744" s="109"/>
    </row>
    <row r="745" spans="2:17" x14ac:dyDescent="0.25">
      <c r="B745" s="114">
        <v>43</v>
      </c>
      <c r="C745" s="114">
        <v>105</v>
      </c>
      <c r="D745" s="114">
        <v>54</v>
      </c>
      <c r="E745" s="154" cm="1">
        <f t="array" ref="E745">IF(ISBLANK(MainData[[#This Row],[EventID]]),0,IFERROR(INDEX(MainData[],MATCH(MainData[[#This Row],[EventID]],IF(MainData[Product]="Date",MainData[EventID],0),0),12),0))</f>
        <v>44595</v>
      </c>
      <c r="F745" s="155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5" s="155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5" s="20" t="s">
        <v>85</v>
      </c>
      <c r="J745" t="s">
        <v>20</v>
      </c>
      <c r="K745" s="2" t="s">
        <v>116</v>
      </c>
      <c r="L745" s="2" t="s">
        <v>87</v>
      </c>
      <c r="M745" s="2" t="s">
        <v>188</v>
      </c>
      <c r="N745" s="2" t="s">
        <v>233</v>
      </c>
      <c r="O745" s="109">
        <v>3</v>
      </c>
      <c r="P745" s="109"/>
      <c r="Q745" s="109">
        <v>300</v>
      </c>
    </row>
    <row r="746" spans="2:17" x14ac:dyDescent="0.25">
      <c r="B746" s="114">
        <v>43</v>
      </c>
      <c r="C746" s="114">
        <v>105</v>
      </c>
      <c r="D746" s="114">
        <v>54</v>
      </c>
      <c r="E746" s="154" cm="1">
        <f t="array" ref="E746">IF(ISBLANK(MainData[[#This Row],[EventID]]),0,IFERROR(INDEX(MainData[],MATCH(MainData[[#This Row],[EventID]],IF(MainData[Product]="Date",MainData[EventID],0),0),12),0))</f>
        <v>44595</v>
      </c>
      <c r="F746" s="155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6" s="155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6" s="157" t="s">
        <v>85</v>
      </c>
      <c r="J746" t="s">
        <v>20</v>
      </c>
      <c r="K746" s="2" t="s">
        <v>29</v>
      </c>
      <c r="L746" s="2" t="s">
        <v>35</v>
      </c>
      <c r="M746" s="2" t="s">
        <v>382</v>
      </c>
      <c r="N746" s="2" t="s">
        <v>234</v>
      </c>
      <c r="O746" s="109"/>
      <c r="P746" s="109">
        <v>56</v>
      </c>
      <c r="Q746" s="109">
        <v>560</v>
      </c>
    </row>
    <row r="747" spans="2:17" x14ac:dyDescent="0.25">
      <c r="B747" s="114">
        <v>43</v>
      </c>
      <c r="C747" s="114">
        <v>105</v>
      </c>
      <c r="D747" s="114">
        <v>54</v>
      </c>
      <c r="E747" s="154" cm="1">
        <f t="array" ref="E747">IF(ISBLANK(MainData[[#This Row],[EventID]]),0,IFERROR(INDEX(MainData[],MATCH(MainData[[#This Row],[EventID]],IF(MainData[Product]="Date",MainData[EventID],0),0),12),0))</f>
        <v>44595</v>
      </c>
      <c r="F747" s="155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7" s="155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7" s="20" t="s">
        <v>85</v>
      </c>
      <c r="J747" t="s">
        <v>20</v>
      </c>
      <c r="K747" s="2" t="s">
        <v>29</v>
      </c>
      <c r="L747" s="2" t="s">
        <v>36</v>
      </c>
      <c r="M747" s="2" t="s">
        <v>387</v>
      </c>
      <c r="N747" s="2" t="s">
        <v>234</v>
      </c>
      <c r="O747" s="109"/>
      <c r="P747" s="109">
        <v>105</v>
      </c>
      <c r="Q747" s="109">
        <v>1042.5</v>
      </c>
    </row>
    <row r="748" spans="2:17" x14ac:dyDescent="0.25">
      <c r="B748" s="114">
        <v>43</v>
      </c>
      <c r="C748" s="114">
        <v>105</v>
      </c>
      <c r="D748" s="114">
        <v>54</v>
      </c>
      <c r="E748" s="154" cm="1">
        <f t="array" ref="E748">IF(ISBLANK(MainData[[#This Row],[EventID]]),0,IFERROR(INDEX(MainData[],MATCH(MainData[[#This Row],[EventID]],IF(MainData[Product]="Date",MainData[EventID],0),0),12),0))</f>
        <v>44595</v>
      </c>
      <c r="F748" s="155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8" s="155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8" s="157" t="s">
        <v>85</v>
      </c>
      <c r="J748" t="s">
        <v>20</v>
      </c>
      <c r="K748" s="2" t="s">
        <v>29</v>
      </c>
      <c r="L748" s="2" t="s">
        <v>65</v>
      </c>
      <c r="M748" s="2" t="s">
        <v>383</v>
      </c>
      <c r="N748" s="2" t="s">
        <v>234</v>
      </c>
      <c r="O748" s="109"/>
      <c r="P748" s="109">
        <v>6.5</v>
      </c>
      <c r="Q748" s="109">
        <v>125</v>
      </c>
    </row>
    <row r="749" spans="2:17" x14ac:dyDescent="0.25">
      <c r="B749" s="114">
        <v>43</v>
      </c>
      <c r="C749" s="114">
        <v>105</v>
      </c>
      <c r="D749" s="114">
        <v>54</v>
      </c>
      <c r="E749" s="154" cm="1">
        <f t="array" ref="E749">IF(ISBLANK(MainData[[#This Row],[EventID]]),0,IFERROR(INDEX(MainData[],MATCH(MainData[[#This Row],[EventID]],IF(MainData[Product]="Date",MainData[EventID],0),0),12),0))</f>
        <v>44595</v>
      </c>
      <c r="F749" s="155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9" s="155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9" s="157" t="s">
        <v>85</v>
      </c>
      <c r="J749" t="s">
        <v>20</v>
      </c>
      <c r="K749" s="2" t="s">
        <v>29</v>
      </c>
      <c r="L749" s="2" t="s">
        <v>25</v>
      </c>
      <c r="M749" s="2" t="s">
        <v>388</v>
      </c>
      <c r="N749" s="2" t="s">
        <v>234</v>
      </c>
      <c r="O749" s="109"/>
      <c r="P749" s="109">
        <v>49</v>
      </c>
      <c r="Q749" s="109">
        <v>490</v>
      </c>
    </row>
    <row r="750" spans="2:17" x14ac:dyDescent="0.25">
      <c r="B750" s="114">
        <v>8</v>
      </c>
      <c r="C750" s="114">
        <v>12</v>
      </c>
      <c r="D750" s="114">
        <v>56</v>
      </c>
      <c r="E750" s="154" cm="1">
        <f t="array" ref="E750">IF(ISBLANK(MainData[[#This Row],[EventID]]),0,IFERROR(INDEX(MainData[],MATCH(MainData[[#This Row],[EventID]],IF(MainData[Product]="Date",MainData[EventID],0),0),12),0))</f>
        <v>44596</v>
      </c>
      <c r="F750" s="155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0" s="155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0" s="157" t="s">
        <v>84</v>
      </c>
      <c r="J750" t="s">
        <v>187</v>
      </c>
      <c r="K750" s="2" t="s">
        <v>157</v>
      </c>
      <c r="L750" s="2" t="s">
        <v>81</v>
      </c>
      <c r="M750" s="2">
        <v>1</v>
      </c>
      <c r="N750" s="2"/>
      <c r="O750" s="109"/>
      <c r="P750" s="109"/>
      <c r="Q750" s="109"/>
    </row>
    <row r="751" spans="2:17" x14ac:dyDescent="0.25">
      <c r="B751" s="114">
        <v>8</v>
      </c>
      <c r="C751" s="114">
        <v>12</v>
      </c>
      <c r="D751" s="114">
        <v>56</v>
      </c>
      <c r="E751" s="154" cm="1">
        <f t="array" ref="E751">IF(ISBLANK(MainData[[#This Row],[EventID]]),0,IFERROR(INDEX(MainData[],MATCH(MainData[[#This Row],[EventID]],IF(MainData[Product]="Date",MainData[EventID],0),0),12),0))</f>
        <v>44596</v>
      </c>
      <c r="F751" s="155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1" s="155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1" s="157" t="s">
        <v>84</v>
      </c>
      <c r="J751" t="s">
        <v>187</v>
      </c>
      <c r="K751" s="2" t="s">
        <v>157</v>
      </c>
      <c r="L751" s="2" t="s">
        <v>0</v>
      </c>
      <c r="M751" s="158">
        <v>44596</v>
      </c>
      <c r="N751" s="2"/>
      <c r="O751" s="109"/>
      <c r="P751" s="109"/>
      <c r="Q751" s="109"/>
    </row>
    <row r="752" spans="2:17" x14ac:dyDescent="0.25">
      <c r="B752" s="114">
        <v>8</v>
      </c>
      <c r="C752" s="114">
        <v>12</v>
      </c>
      <c r="D752" s="114">
        <v>56</v>
      </c>
      <c r="E752" s="154" cm="1">
        <f t="array" ref="E752">IF(ISBLANK(MainData[[#This Row],[EventID]]),0,IFERROR(INDEX(MainData[],MATCH(MainData[[#This Row],[EventID]],IF(MainData[Product]="Date",MainData[EventID],0),0),12),0))</f>
        <v>44596</v>
      </c>
      <c r="F752" s="155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2" s="155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2" s="157" t="s">
        <v>84</v>
      </c>
      <c r="J752" t="s">
        <v>187</v>
      </c>
      <c r="K752" s="2" t="s">
        <v>157</v>
      </c>
      <c r="L752" s="2" t="s">
        <v>82</v>
      </c>
      <c r="M752" s="2">
        <v>689164</v>
      </c>
      <c r="N752" s="2"/>
      <c r="O752" s="109"/>
      <c r="P752" s="109"/>
      <c r="Q752" s="109"/>
    </row>
    <row r="753" spans="2:17" x14ac:dyDescent="0.25">
      <c r="B753" s="114">
        <v>8</v>
      </c>
      <c r="C753" s="114">
        <v>12</v>
      </c>
      <c r="D753" s="114">
        <v>56</v>
      </c>
      <c r="E753" s="154" cm="1">
        <f t="array" ref="E753">IF(ISBLANK(MainData[[#This Row],[EventID]]),0,IFERROR(INDEX(MainData[],MATCH(MainData[[#This Row],[EventID]],IF(MainData[Product]="Date",MainData[EventID],0),0),12),0))</f>
        <v>44596</v>
      </c>
      <c r="F753" s="155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3" s="155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3" s="157" t="s">
        <v>84</v>
      </c>
      <c r="J753" t="s">
        <v>187</v>
      </c>
      <c r="K753" s="2" t="s">
        <v>157</v>
      </c>
      <c r="L753" s="2" t="s">
        <v>175</v>
      </c>
      <c r="M753" s="2" t="s">
        <v>457</v>
      </c>
      <c r="N753" s="2"/>
      <c r="O753" s="109"/>
      <c r="P753" s="109"/>
      <c r="Q753" s="109"/>
    </row>
    <row r="754" spans="2:17" x14ac:dyDescent="0.25">
      <c r="B754" s="114">
        <v>8</v>
      </c>
      <c r="C754" s="114">
        <v>12</v>
      </c>
      <c r="D754" s="114">
        <v>56</v>
      </c>
      <c r="E754" s="154" cm="1">
        <f t="array" ref="E754">IF(ISBLANK(MainData[[#This Row],[EventID]]),0,IFERROR(INDEX(MainData[],MATCH(MainData[[#This Row],[EventID]],IF(MainData[Product]="Date",MainData[EventID],0),0),12),0))</f>
        <v>44596</v>
      </c>
      <c r="F754" s="155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4" s="155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4" s="157" t="s">
        <v>84</v>
      </c>
      <c r="J754" t="s">
        <v>187</v>
      </c>
      <c r="K754" s="2" t="s">
        <v>157</v>
      </c>
      <c r="L754" s="2" t="s">
        <v>138</v>
      </c>
      <c r="M754" s="2">
        <v>165</v>
      </c>
      <c r="N754" s="2"/>
      <c r="O754" s="109"/>
      <c r="P754" s="109"/>
      <c r="Q754" s="109"/>
    </row>
    <row r="755" spans="2:17" x14ac:dyDescent="0.25">
      <c r="B755" s="114">
        <v>8</v>
      </c>
      <c r="C755" s="114">
        <v>12</v>
      </c>
      <c r="D755" s="114">
        <v>56</v>
      </c>
      <c r="E755" s="154" cm="1">
        <f t="array" ref="E755">IF(ISBLANK(MainData[[#This Row],[EventID]]),0,IFERROR(INDEX(MainData[],MATCH(MainData[[#This Row],[EventID]],IF(MainData[Product]="Date",MainData[EventID],0),0),12),0))</f>
        <v>44596</v>
      </c>
      <c r="F755" s="155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5" s="155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5" s="157" t="s">
        <v>84</v>
      </c>
      <c r="J755" t="s">
        <v>187</v>
      </c>
      <c r="K755" s="2" t="s">
        <v>157</v>
      </c>
      <c r="L755" s="2" t="s">
        <v>86</v>
      </c>
      <c r="M755" s="2">
        <v>3</v>
      </c>
      <c r="N755" s="2"/>
      <c r="O755" s="109"/>
      <c r="P755" s="109"/>
      <c r="Q755" s="109"/>
    </row>
    <row r="756" spans="2:17" x14ac:dyDescent="0.25">
      <c r="B756" s="114">
        <v>8</v>
      </c>
      <c r="C756" s="114">
        <v>12</v>
      </c>
      <c r="D756" s="114">
        <v>56</v>
      </c>
      <c r="E756" s="154" cm="1">
        <f t="array" ref="E756">IF(ISBLANK(MainData[[#This Row],[EventID]]),0,IFERROR(INDEX(MainData[],MATCH(MainData[[#This Row],[EventID]],IF(MainData[Product]="Date",MainData[EventID],0),0),12),0))</f>
        <v>44596</v>
      </c>
      <c r="F756" s="155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6" s="155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6" s="157" t="s">
        <v>84</v>
      </c>
      <c r="J756" t="s">
        <v>187</v>
      </c>
      <c r="K756" s="2" t="s">
        <v>157</v>
      </c>
      <c r="L756" s="2" t="s">
        <v>118</v>
      </c>
      <c r="M756" s="2" t="s">
        <v>465</v>
      </c>
      <c r="N756" s="2"/>
      <c r="O756" s="109"/>
      <c r="P756" s="109"/>
      <c r="Q756" s="109"/>
    </row>
    <row r="757" spans="2:17" x14ac:dyDescent="0.25">
      <c r="B757" s="114">
        <v>8</v>
      </c>
      <c r="C757" s="114">
        <v>12</v>
      </c>
      <c r="D757" s="114">
        <v>56</v>
      </c>
      <c r="E757" s="154" cm="1">
        <f t="array" ref="E757">IF(ISBLANK(MainData[[#This Row],[EventID]]),0,IFERROR(INDEX(MainData[],MATCH(MainData[[#This Row],[EventID]],IF(MainData[Product]="Date",MainData[EventID],0),0),12),0))</f>
        <v>44596</v>
      </c>
      <c r="F757" s="155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7" s="155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7" s="20" t="s">
        <v>85</v>
      </c>
      <c r="J757" t="s">
        <v>20</v>
      </c>
      <c r="K757" s="2" t="s">
        <v>116</v>
      </c>
      <c r="L757" s="2" t="s">
        <v>88</v>
      </c>
      <c r="M757" s="2" t="s">
        <v>189</v>
      </c>
      <c r="N757" s="2" t="s">
        <v>233</v>
      </c>
      <c r="O757" s="109">
        <v>1</v>
      </c>
      <c r="P757" s="109"/>
      <c r="Q757" s="109"/>
    </row>
    <row r="758" spans="2:17" x14ac:dyDescent="0.25">
      <c r="B758" s="114">
        <v>8</v>
      </c>
      <c r="C758" s="114">
        <v>12</v>
      </c>
      <c r="D758" s="114">
        <v>56</v>
      </c>
      <c r="E758" s="154" cm="1">
        <f t="array" ref="E758">IF(ISBLANK(MainData[[#This Row],[EventID]]),0,IFERROR(INDEX(MainData[],MATCH(MainData[[#This Row],[EventID]],IF(MainData[Product]="Date",MainData[EventID],0),0),12),0))</f>
        <v>44596</v>
      </c>
      <c r="F758" s="155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8" s="155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8" s="20" t="s">
        <v>85</v>
      </c>
      <c r="J758" t="s">
        <v>20</v>
      </c>
      <c r="K758" s="2" t="s">
        <v>116</v>
      </c>
      <c r="L758" s="2" t="s">
        <v>87</v>
      </c>
      <c r="M758" s="2" t="s">
        <v>188</v>
      </c>
      <c r="N758" s="2" t="s">
        <v>233</v>
      </c>
      <c r="O758" s="109">
        <v>2</v>
      </c>
      <c r="P758" s="109"/>
      <c r="Q758" s="109">
        <v>200</v>
      </c>
    </row>
    <row r="759" spans="2:17" x14ac:dyDescent="0.25">
      <c r="B759" s="114">
        <v>8</v>
      </c>
      <c r="C759" s="114">
        <v>12</v>
      </c>
      <c r="D759" s="114">
        <v>56</v>
      </c>
      <c r="E759" s="154" cm="1">
        <f t="array" ref="E759">IF(ISBLANK(MainData[[#This Row],[EventID]]),0,IFERROR(INDEX(MainData[],MATCH(MainData[[#This Row],[EventID]],IF(MainData[Product]="Date",MainData[EventID],0),0),12),0))</f>
        <v>44596</v>
      </c>
      <c r="F759" s="155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9" s="155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9" s="157" t="s">
        <v>85</v>
      </c>
      <c r="J759" t="s">
        <v>20</v>
      </c>
      <c r="K759" s="2" t="s">
        <v>29</v>
      </c>
      <c r="L759" s="2" t="s">
        <v>35</v>
      </c>
      <c r="M759" s="2" t="s">
        <v>382</v>
      </c>
      <c r="N759" s="2" t="s">
        <v>234</v>
      </c>
      <c r="O759" s="109">
        <v>2</v>
      </c>
      <c r="P759" s="109">
        <v>50</v>
      </c>
      <c r="Q759" s="109">
        <v>495</v>
      </c>
    </row>
    <row r="760" spans="2:17" x14ac:dyDescent="0.25">
      <c r="B760" s="114">
        <v>8</v>
      </c>
      <c r="C760" s="114">
        <v>12</v>
      </c>
      <c r="D760" s="114">
        <v>56</v>
      </c>
      <c r="E760" s="154" cm="1">
        <f t="array" ref="E760">IF(ISBLANK(MainData[[#This Row],[EventID]]),0,IFERROR(INDEX(MainData[],MATCH(MainData[[#This Row],[EventID]],IF(MainData[Product]="Date",MainData[EventID],0),0),12),0))</f>
        <v>44596</v>
      </c>
      <c r="F760" s="155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0" s="155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0" s="20" t="s">
        <v>85</v>
      </c>
      <c r="J760" t="s">
        <v>20</v>
      </c>
      <c r="K760" s="2" t="s">
        <v>29</v>
      </c>
      <c r="L760" s="2" t="s">
        <v>36</v>
      </c>
      <c r="M760" s="2" t="s">
        <v>387</v>
      </c>
      <c r="N760" s="2" t="s">
        <v>234</v>
      </c>
      <c r="O760" s="109">
        <v>2</v>
      </c>
      <c r="P760" s="109">
        <v>193.43</v>
      </c>
      <c r="Q760" s="109">
        <v>2140</v>
      </c>
    </row>
    <row r="761" spans="2:17" x14ac:dyDescent="0.25">
      <c r="B761" s="114">
        <v>8</v>
      </c>
      <c r="C761" s="114">
        <v>12</v>
      </c>
      <c r="D761" s="114">
        <v>56</v>
      </c>
      <c r="E761" s="154" cm="1">
        <f t="array" ref="E761">IF(ISBLANK(MainData[[#This Row],[EventID]]),0,IFERROR(INDEX(MainData[],MATCH(MainData[[#This Row],[EventID]],IF(MainData[Product]="Date",MainData[EventID],0),0),12),0))</f>
        <v>44596</v>
      </c>
      <c r="F761" s="155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1" s="155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1" s="157" t="s">
        <v>85</v>
      </c>
      <c r="J761" t="s">
        <v>20</v>
      </c>
      <c r="K761" s="2" t="s">
        <v>29</v>
      </c>
      <c r="L761" s="2" t="s">
        <v>65</v>
      </c>
      <c r="M761" s="2" t="s">
        <v>383</v>
      </c>
      <c r="N761" s="2" t="s">
        <v>234</v>
      </c>
      <c r="O761" s="109">
        <v>2</v>
      </c>
      <c r="P761" s="109">
        <v>10</v>
      </c>
      <c r="Q761" s="109">
        <v>195</v>
      </c>
    </row>
    <row r="762" spans="2:17" x14ac:dyDescent="0.25">
      <c r="B762" s="114">
        <v>8</v>
      </c>
      <c r="C762" s="114">
        <v>12</v>
      </c>
      <c r="D762" s="114">
        <v>56</v>
      </c>
      <c r="E762" s="154" cm="1">
        <f t="array" ref="E762">IF(ISBLANK(MainData[[#This Row],[EventID]]),0,IFERROR(INDEX(MainData[],MATCH(MainData[[#This Row],[EventID]],IF(MainData[Product]="Date",MainData[EventID],0),0),12),0))</f>
        <v>44596</v>
      </c>
      <c r="F762" s="155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2" s="155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2" s="157" t="s">
        <v>85</v>
      </c>
      <c r="J762" t="s">
        <v>20</v>
      </c>
      <c r="K762" s="2" t="s">
        <v>29</v>
      </c>
      <c r="L762" s="2" t="s">
        <v>25</v>
      </c>
      <c r="M762" s="2" t="s">
        <v>388</v>
      </c>
      <c r="N762" s="2" t="s">
        <v>234</v>
      </c>
      <c r="O762" s="109">
        <v>2</v>
      </c>
      <c r="P762" s="109">
        <v>65</v>
      </c>
      <c r="Q762" s="109">
        <v>650</v>
      </c>
    </row>
    <row r="763" spans="2:17" x14ac:dyDescent="0.25">
      <c r="B763" s="114">
        <v>43</v>
      </c>
      <c r="C763" s="114">
        <v>106</v>
      </c>
      <c r="D763" s="114">
        <v>58</v>
      </c>
      <c r="E763" s="154" cm="1">
        <f t="array" ref="E763">IF(ISBLANK(MainData[[#This Row],[EventID]]),0,IFERROR(INDEX(MainData[],MATCH(MainData[[#This Row],[EventID]],IF(MainData[Product]="Date",MainData[EventID],0),0),12),0))</f>
        <v>44596</v>
      </c>
      <c r="F763" s="155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3" s="155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3" s="157" t="s">
        <v>84</v>
      </c>
      <c r="J763" t="s">
        <v>187</v>
      </c>
      <c r="K763" s="2" t="s">
        <v>157</v>
      </c>
      <c r="L763" s="2" t="s">
        <v>81</v>
      </c>
      <c r="M763" s="2">
        <v>1</v>
      </c>
      <c r="N763" s="2"/>
      <c r="O763" s="109"/>
      <c r="P763" s="109"/>
      <c r="Q763" s="109"/>
    </row>
    <row r="764" spans="2:17" x14ac:dyDescent="0.25">
      <c r="B764" s="114">
        <v>43</v>
      </c>
      <c r="C764" s="114">
        <v>106</v>
      </c>
      <c r="D764" s="114">
        <v>59</v>
      </c>
      <c r="E764" s="154" cm="1">
        <f t="array" ref="E764">IF(ISBLANK(MainData[[#This Row],[EventID]]),0,IFERROR(INDEX(MainData[],MATCH(MainData[[#This Row],[EventID]],IF(MainData[Product]="Date",MainData[EventID],0),0),12),0))</f>
        <v>44596</v>
      </c>
      <c r="F764" s="155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4" s="155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4" s="157" t="s">
        <v>84</v>
      </c>
      <c r="J764" t="s">
        <v>187</v>
      </c>
      <c r="K764" s="2" t="s">
        <v>157</v>
      </c>
      <c r="L764" s="2" t="s">
        <v>81</v>
      </c>
      <c r="M764" s="2">
        <v>2</v>
      </c>
      <c r="N764" s="2"/>
      <c r="O764" s="109"/>
      <c r="P764" s="109"/>
      <c r="Q764" s="109"/>
    </row>
    <row r="765" spans="2:17" x14ac:dyDescent="0.25">
      <c r="B765" s="114">
        <v>43</v>
      </c>
      <c r="C765" s="114">
        <v>106</v>
      </c>
      <c r="D765" s="114">
        <v>58</v>
      </c>
      <c r="E765" s="154" cm="1">
        <f t="array" ref="E765">IF(ISBLANK(MainData[[#This Row],[EventID]]),0,IFERROR(INDEX(MainData[],MATCH(MainData[[#This Row],[EventID]],IF(MainData[Product]="Date",MainData[EventID],0),0),12),0))</f>
        <v>44596</v>
      </c>
      <c r="F765" s="155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5" s="155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5" s="157" t="s">
        <v>84</v>
      </c>
      <c r="J765" t="s">
        <v>187</v>
      </c>
      <c r="K765" s="2" t="s">
        <v>157</v>
      </c>
      <c r="L765" s="2" t="s">
        <v>0</v>
      </c>
      <c r="M765" s="158">
        <v>44596</v>
      </c>
      <c r="N765" s="2"/>
      <c r="O765" s="109"/>
      <c r="P765" s="109"/>
      <c r="Q765" s="109"/>
    </row>
    <row r="766" spans="2:17" x14ac:dyDescent="0.25">
      <c r="B766" s="114">
        <v>43</v>
      </c>
      <c r="C766" s="114">
        <v>106</v>
      </c>
      <c r="D766" s="114">
        <v>58</v>
      </c>
      <c r="E766" s="154" cm="1">
        <f t="array" ref="E766">IF(ISBLANK(MainData[[#This Row],[EventID]]),0,IFERROR(INDEX(MainData[],MATCH(MainData[[#This Row],[EventID]],IF(MainData[Product]="Date",MainData[EventID],0),0),12),0))</f>
        <v>44596</v>
      </c>
      <c r="F766" s="155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6" s="155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6" s="157" t="s">
        <v>84</v>
      </c>
      <c r="J766" t="s">
        <v>187</v>
      </c>
      <c r="K766" s="2" t="s">
        <v>157</v>
      </c>
      <c r="L766" s="2" t="s">
        <v>82</v>
      </c>
      <c r="M766" s="2">
        <v>602449</v>
      </c>
      <c r="N766" s="2"/>
      <c r="O766" s="109"/>
      <c r="P766" s="109"/>
      <c r="Q766" s="109"/>
    </row>
    <row r="767" spans="2:17" x14ac:dyDescent="0.25">
      <c r="B767" s="114">
        <v>43</v>
      </c>
      <c r="C767" s="114">
        <v>106</v>
      </c>
      <c r="D767" s="114">
        <v>58</v>
      </c>
      <c r="E767" s="154" cm="1">
        <f t="array" ref="E767">IF(ISBLANK(MainData[[#This Row],[EventID]]),0,IFERROR(INDEX(MainData[],MATCH(MainData[[#This Row],[EventID]],IF(MainData[Product]="Date",MainData[EventID],0),0),12),0))</f>
        <v>44596</v>
      </c>
      <c r="F767" s="155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7" s="155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7" s="157" t="s">
        <v>84</v>
      </c>
      <c r="J767" t="s">
        <v>187</v>
      </c>
      <c r="K767" s="2" t="s">
        <v>157</v>
      </c>
      <c r="L767" s="2" t="s">
        <v>175</v>
      </c>
      <c r="M767" s="2" t="s">
        <v>466</v>
      </c>
      <c r="N767" s="2"/>
      <c r="O767" s="109"/>
      <c r="P767" s="109"/>
      <c r="Q767" s="109"/>
    </row>
    <row r="768" spans="2:17" x14ac:dyDescent="0.25">
      <c r="B768" s="114">
        <v>43</v>
      </c>
      <c r="C768" s="114">
        <v>106</v>
      </c>
      <c r="D768" s="114">
        <v>58</v>
      </c>
      <c r="E768" s="154" cm="1">
        <f t="array" ref="E768">IF(ISBLANK(MainData[[#This Row],[EventID]]),0,IFERROR(INDEX(MainData[],MATCH(MainData[[#This Row],[EventID]],IF(MainData[Product]="Date",MainData[EventID],0),0),12),0))</f>
        <v>44596</v>
      </c>
      <c r="F768" s="155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8" s="155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8" s="157" t="s">
        <v>84</v>
      </c>
      <c r="J768" t="s">
        <v>187</v>
      </c>
      <c r="K768" s="2" t="s">
        <v>157</v>
      </c>
      <c r="L768" s="2" t="s">
        <v>138</v>
      </c>
      <c r="M768" s="2">
        <v>240</v>
      </c>
      <c r="N768" s="2"/>
      <c r="O768" s="109"/>
      <c r="P768" s="109"/>
      <c r="Q768" s="109"/>
    </row>
    <row r="769" spans="2:17" x14ac:dyDescent="0.25">
      <c r="B769" s="114">
        <v>43</v>
      </c>
      <c r="C769" s="114">
        <v>106</v>
      </c>
      <c r="D769" s="114">
        <v>58</v>
      </c>
      <c r="E769" s="154" cm="1">
        <f t="array" ref="E769">IF(ISBLANK(MainData[[#This Row],[EventID]]),0,IFERROR(INDEX(MainData[],MATCH(MainData[[#This Row],[EventID]],IF(MainData[Product]="Date",MainData[EventID],0),0),12),0))</f>
        <v>44596</v>
      </c>
      <c r="F769" s="155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9" s="155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9" s="157" t="s">
        <v>84</v>
      </c>
      <c r="J769" t="s">
        <v>187</v>
      </c>
      <c r="K769" s="2" t="s">
        <v>157</v>
      </c>
      <c r="L769" s="2" t="s">
        <v>86</v>
      </c>
      <c r="M769" s="2">
        <v>4</v>
      </c>
      <c r="N769" s="2"/>
      <c r="O769" s="109"/>
      <c r="P769" s="109"/>
      <c r="Q769" s="109"/>
    </row>
    <row r="770" spans="2:17" x14ac:dyDescent="0.25">
      <c r="B770" s="114">
        <v>43</v>
      </c>
      <c r="C770" s="114">
        <v>106</v>
      </c>
      <c r="D770" s="114">
        <v>58</v>
      </c>
      <c r="E770" s="154" cm="1">
        <f t="array" ref="E770">IF(ISBLANK(MainData[[#This Row],[EventID]]),0,IFERROR(INDEX(MainData[],MATCH(MainData[[#This Row],[EventID]],IF(MainData[Product]="Date",MainData[EventID],0),0),12),0))</f>
        <v>44596</v>
      </c>
      <c r="F770" s="155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0" s="155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0" s="157" t="s">
        <v>84</v>
      </c>
      <c r="J770" t="s">
        <v>187</v>
      </c>
      <c r="K770" s="2" t="s">
        <v>157</v>
      </c>
      <c r="L770" s="2" t="s">
        <v>118</v>
      </c>
      <c r="M770" s="2" t="s">
        <v>480</v>
      </c>
      <c r="N770" s="2"/>
      <c r="O770" s="109"/>
      <c r="P770" s="109"/>
      <c r="Q770" s="109"/>
    </row>
    <row r="771" spans="2:17" x14ac:dyDescent="0.25">
      <c r="B771" s="114">
        <v>43</v>
      </c>
      <c r="C771" s="114">
        <v>106</v>
      </c>
      <c r="D771" s="114">
        <v>59</v>
      </c>
      <c r="E771" s="154" cm="1">
        <f t="array" ref="E771">IF(ISBLANK(MainData[[#This Row],[EventID]]),0,IFERROR(INDEX(MainData[],MATCH(MainData[[#This Row],[EventID]],IF(MainData[Product]="Date",MainData[EventID],0),0),12),0))</f>
        <v>44596</v>
      </c>
      <c r="F771" s="155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1" s="155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1" s="157" t="s">
        <v>85</v>
      </c>
      <c r="J771" t="s">
        <v>22</v>
      </c>
      <c r="K771" s="2" t="s">
        <v>29</v>
      </c>
      <c r="L771" s="2" t="s">
        <v>35</v>
      </c>
      <c r="M771" s="2" t="s">
        <v>382</v>
      </c>
      <c r="N771" s="2" t="s">
        <v>234</v>
      </c>
      <c r="O771" s="109">
        <v>3</v>
      </c>
      <c r="P771" s="109">
        <v>11</v>
      </c>
      <c r="Q771" s="109">
        <v>110</v>
      </c>
    </row>
    <row r="772" spans="2:17" x14ac:dyDescent="0.25">
      <c r="B772" s="114">
        <v>43</v>
      </c>
      <c r="C772" s="114">
        <v>106</v>
      </c>
      <c r="D772" s="114">
        <v>59</v>
      </c>
      <c r="E772" s="154" cm="1">
        <f t="array" ref="E772">IF(ISBLANK(MainData[[#This Row],[EventID]]),0,IFERROR(INDEX(MainData[],MATCH(MainData[[#This Row],[EventID]],IF(MainData[Product]="Date",MainData[EventID],0),0),12),0))</f>
        <v>44596</v>
      </c>
      <c r="F772" s="155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2" s="155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2" s="20" t="s">
        <v>85</v>
      </c>
      <c r="J772" t="s">
        <v>22</v>
      </c>
      <c r="K772" s="2" t="s">
        <v>29</v>
      </c>
      <c r="L772" s="2" t="s">
        <v>36</v>
      </c>
      <c r="M772" s="2" t="s">
        <v>387</v>
      </c>
      <c r="N772" s="2" t="s">
        <v>234</v>
      </c>
      <c r="O772" s="109">
        <v>3</v>
      </c>
      <c r="P772" s="109">
        <v>31.3</v>
      </c>
      <c r="Q772" s="109">
        <v>328.38</v>
      </c>
    </row>
    <row r="773" spans="2:17" x14ac:dyDescent="0.25">
      <c r="B773" s="114">
        <v>43</v>
      </c>
      <c r="C773" s="114">
        <v>106</v>
      </c>
      <c r="D773" s="114">
        <v>59</v>
      </c>
      <c r="E773" s="154" cm="1">
        <f t="array" ref="E773">IF(ISBLANK(MainData[[#This Row],[EventID]]),0,IFERROR(INDEX(MainData[],MATCH(MainData[[#This Row],[EventID]],IF(MainData[Product]="Date",MainData[EventID],0),0),12),0))</f>
        <v>44596</v>
      </c>
      <c r="F773" s="155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3" s="155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3" s="157" t="s">
        <v>85</v>
      </c>
      <c r="J773" t="s">
        <v>22</v>
      </c>
      <c r="K773" s="2" t="s">
        <v>29</v>
      </c>
      <c r="L773" s="2" t="s">
        <v>65</v>
      </c>
      <c r="M773" s="2" t="s">
        <v>383</v>
      </c>
      <c r="N773" s="2" t="s">
        <v>234</v>
      </c>
      <c r="O773" s="109">
        <v>3</v>
      </c>
      <c r="P773" s="109">
        <v>0.5</v>
      </c>
      <c r="Q773" s="109">
        <v>10</v>
      </c>
    </row>
    <row r="774" spans="2:17" x14ac:dyDescent="0.25">
      <c r="B774" s="114">
        <v>43</v>
      </c>
      <c r="C774" s="114">
        <v>106</v>
      </c>
      <c r="D774" s="114">
        <v>59</v>
      </c>
      <c r="E774" s="154" cm="1">
        <f t="array" ref="E774">IF(ISBLANK(MainData[[#This Row],[EventID]]),0,IFERROR(INDEX(MainData[],MATCH(MainData[[#This Row],[EventID]],IF(MainData[Product]="Date",MainData[EventID],0),0),12),0))</f>
        <v>44596</v>
      </c>
      <c r="F774" s="155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4" s="155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4" s="157" t="s">
        <v>85</v>
      </c>
      <c r="J774" t="s">
        <v>22</v>
      </c>
      <c r="K774" s="2" t="s">
        <v>29</v>
      </c>
      <c r="L774" s="2" t="s">
        <v>25</v>
      </c>
      <c r="M774" s="2" t="s">
        <v>388</v>
      </c>
      <c r="N774" s="2" t="s">
        <v>234</v>
      </c>
      <c r="O774" s="109">
        <v>3</v>
      </c>
      <c r="P774" s="109">
        <v>20</v>
      </c>
      <c r="Q774" s="109">
        <v>190</v>
      </c>
    </row>
    <row r="775" spans="2:17" x14ac:dyDescent="0.25">
      <c r="B775" s="114">
        <v>43</v>
      </c>
      <c r="C775" s="114">
        <v>106</v>
      </c>
      <c r="D775" s="114">
        <v>58</v>
      </c>
      <c r="E775" s="154" cm="1">
        <f t="array" ref="E775">IF(ISBLANK(MainData[[#This Row],[EventID]]),0,IFERROR(INDEX(MainData[],MATCH(MainData[[#This Row],[EventID]],IF(MainData[Product]="Date",MainData[EventID],0),0),12),0))</f>
        <v>44596</v>
      </c>
      <c r="F775" s="155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5" s="155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5" s="20" t="s">
        <v>85</v>
      </c>
      <c r="J775" t="s">
        <v>20</v>
      </c>
      <c r="K775" s="2" t="s">
        <v>116</v>
      </c>
      <c r="L775" s="2" t="s">
        <v>88</v>
      </c>
      <c r="M775" s="2" t="s">
        <v>189</v>
      </c>
      <c r="N775" s="2" t="s">
        <v>233</v>
      </c>
      <c r="O775" s="109">
        <v>2</v>
      </c>
      <c r="P775" s="109"/>
      <c r="Q775" s="109"/>
    </row>
    <row r="776" spans="2:17" x14ac:dyDescent="0.25">
      <c r="B776" s="114">
        <v>43</v>
      </c>
      <c r="C776" s="114">
        <v>106</v>
      </c>
      <c r="D776" s="114">
        <v>58</v>
      </c>
      <c r="E776" s="154" cm="1">
        <f t="array" ref="E776">IF(ISBLANK(MainData[[#This Row],[EventID]]),0,IFERROR(INDEX(MainData[],MATCH(MainData[[#This Row],[EventID]],IF(MainData[Product]="Date",MainData[EventID],0),0),12),0))</f>
        <v>44596</v>
      </c>
      <c r="F776" s="155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6" s="155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6" s="20" t="s">
        <v>85</v>
      </c>
      <c r="J776" t="s">
        <v>20</v>
      </c>
      <c r="K776" s="2" t="s">
        <v>116</v>
      </c>
      <c r="L776" s="2" t="s">
        <v>87</v>
      </c>
      <c r="M776" s="2" t="s">
        <v>188</v>
      </c>
      <c r="N776" s="2" t="s">
        <v>233</v>
      </c>
      <c r="O776" s="109">
        <v>3</v>
      </c>
      <c r="P776" s="109"/>
      <c r="Q776" s="109">
        <v>300</v>
      </c>
    </row>
    <row r="777" spans="2:17" x14ac:dyDescent="0.25">
      <c r="B777" s="114">
        <v>43</v>
      </c>
      <c r="C777" s="114">
        <v>106</v>
      </c>
      <c r="D777" s="114">
        <v>58</v>
      </c>
      <c r="E777" s="154" cm="1">
        <f t="array" ref="E777">IF(ISBLANK(MainData[[#This Row],[EventID]]),0,IFERROR(INDEX(MainData[],MATCH(MainData[[#This Row],[EventID]],IF(MainData[Product]="Date",MainData[EventID],0),0),12),0))</f>
        <v>44596</v>
      </c>
      <c r="F777" s="155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7" s="155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7" s="157" t="s">
        <v>85</v>
      </c>
      <c r="J777" t="s">
        <v>20</v>
      </c>
      <c r="K777" s="2" t="s">
        <v>29</v>
      </c>
      <c r="L777" s="2" t="s">
        <v>35</v>
      </c>
      <c r="M777" s="2" t="s">
        <v>382</v>
      </c>
      <c r="N777" s="2" t="s">
        <v>234</v>
      </c>
      <c r="O777" s="109"/>
      <c r="P777" s="109">
        <v>50</v>
      </c>
      <c r="Q777" s="109">
        <v>490</v>
      </c>
    </row>
    <row r="778" spans="2:17" x14ac:dyDescent="0.25">
      <c r="B778" s="114">
        <v>43</v>
      </c>
      <c r="C778" s="114">
        <v>106</v>
      </c>
      <c r="D778" s="114">
        <v>58</v>
      </c>
      <c r="E778" s="154" cm="1">
        <f t="array" ref="E778">IF(ISBLANK(MainData[[#This Row],[EventID]]),0,IFERROR(INDEX(MainData[],MATCH(MainData[[#This Row],[EventID]],IF(MainData[Product]="Date",MainData[EventID],0),0),12),0))</f>
        <v>44596</v>
      </c>
      <c r="F778" s="155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8" s="155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8" s="20" t="s">
        <v>85</v>
      </c>
      <c r="J778" t="s">
        <v>20</v>
      </c>
      <c r="K778" s="2" t="s">
        <v>29</v>
      </c>
      <c r="L778" s="2" t="s">
        <v>36</v>
      </c>
      <c r="M778" s="2" t="s">
        <v>387</v>
      </c>
      <c r="N778" s="2" t="s">
        <v>234</v>
      </c>
      <c r="O778" s="109"/>
      <c r="P778" s="109">
        <v>140</v>
      </c>
      <c r="Q778" s="109">
        <v>1300</v>
      </c>
    </row>
    <row r="779" spans="2:17" x14ac:dyDescent="0.25">
      <c r="B779" s="114">
        <v>43</v>
      </c>
      <c r="C779" s="114">
        <v>106</v>
      </c>
      <c r="D779" s="114">
        <v>58</v>
      </c>
      <c r="E779" s="154" cm="1">
        <f t="array" ref="E779">IF(ISBLANK(MainData[[#This Row],[EventID]]),0,IFERROR(INDEX(MainData[],MATCH(MainData[[#This Row],[EventID]],IF(MainData[Product]="Date",MainData[EventID],0),0),12),0))</f>
        <v>44596</v>
      </c>
      <c r="F779" s="155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9" s="155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9" s="157" t="s">
        <v>85</v>
      </c>
      <c r="J779" t="s">
        <v>20</v>
      </c>
      <c r="K779" s="2" t="s">
        <v>29</v>
      </c>
      <c r="L779" s="2" t="s">
        <v>65</v>
      </c>
      <c r="M779" s="2" t="s">
        <v>383</v>
      </c>
      <c r="N779" s="2" t="s">
        <v>234</v>
      </c>
      <c r="O779" s="109"/>
      <c r="P779" s="109">
        <v>6</v>
      </c>
      <c r="Q779" s="109">
        <v>110</v>
      </c>
    </row>
    <row r="780" spans="2:17" x14ac:dyDescent="0.25">
      <c r="B780" s="114">
        <v>43</v>
      </c>
      <c r="C780" s="114">
        <v>106</v>
      </c>
      <c r="D780" s="114">
        <v>58</v>
      </c>
      <c r="E780" s="154" cm="1">
        <f t="array" ref="E780">IF(ISBLANK(MainData[[#This Row],[EventID]]),0,IFERROR(INDEX(MainData[],MATCH(MainData[[#This Row],[EventID]],IF(MainData[Product]="Date",MainData[EventID],0),0),12),0))</f>
        <v>44596</v>
      </c>
      <c r="F780" s="155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80" s="155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80" s="157" t="s">
        <v>85</v>
      </c>
      <c r="J780" t="s">
        <v>20</v>
      </c>
      <c r="K780" s="2" t="s">
        <v>29</v>
      </c>
      <c r="L780" s="2" t="s">
        <v>25</v>
      </c>
      <c r="M780" s="2" t="s">
        <v>388</v>
      </c>
      <c r="N780" s="2" t="s">
        <v>234</v>
      </c>
      <c r="O780" s="109"/>
      <c r="P780" s="109">
        <v>63</v>
      </c>
      <c r="Q780" s="109">
        <v>630</v>
      </c>
    </row>
    <row r="781" spans="2:17" x14ac:dyDescent="0.25">
      <c r="B781" s="114">
        <v>42</v>
      </c>
      <c r="C781" s="114">
        <v>102</v>
      </c>
      <c r="D781" s="114">
        <v>57</v>
      </c>
      <c r="E781" s="154" cm="1">
        <f t="array" ref="E781">IF(ISBLANK(MainData[[#This Row],[EventID]]),0,IFERROR(INDEX(MainData[],MATCH(MainData[[#This Row],[EventID]],IF(MainData[Product]="Date",MainData[EventID],0),0),12),0))</f>
        <v>44596</v>
      </c>
      <c r="F781" s="155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1" s="155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1" s="157" t="s">
        <v>84</v>
      </c>
      <c r="J781" t="s">
        <v>187</v>
      </c>
      <c r="K781" s="2" t="s">
        <v>157</v>
      </c>
      <c r="L781" s="2" t="s">
        <v>81</v>
      </c>
      <c r="M781" s="2">
        <v>1</v>
      </c>
      <c r="N781" s="2"/>
      <c r="O781" s="109"/>
      <c r="P781" s="109"/>
      <c r="Q781" s="109"/>
    </row>
    <row r="782" spans="2:17" x14ac:dyDescent="0.25">
      <c r="B782" s="114">
        <v>42</v>
      </c>
      <c r="C782" s="114">
        <v>102</v>
      </c>
      <c r="D782" s="114">
        <v>57</v>
      </c>
      <c r="E782" s="154" cm="1">
        <f t="array" ref="E782">IF(ISBLANK(MainData[[#This Row],[EventID]]),0,IFERROR(INDEX(MainData[],MATCH(MainData[[#This Row],[EventID]],IF(MainData[Product]="Date",MainData[EventID],0),0),12),0))</f>
        <v>44596</v>
      </c>
      <c r="F782" s="155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2" s="155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2" s="157" t="s">
        <v>84</v>
      </c>
      <c r="J782" t="s">
        <v>187</v>
      </c>
      <c r="K782" s="2" t="s">
        <v>157</v>
      </c>
      <c r="L782" s="2" t="s">
        <v>164</v>
      </c>
      <c r="M782" s="2" t="s">
        <v>442</v>
      </c>
      <c r="N782" s="2"/>
      <c r="O782" s="109"/>
      <c r="P782" s="109"/>
      <c r="Q782" s="109"/>
    </row>
    <row r="783" spans="2:17" x14ac:dyDescent="0.25">
      <c r="B783" s="114">
        <v>42</v>
      </c>
      <c r="C783" s="114">
        <v>102</v>
      </c>
      <c r="D783" s="114">
        <v>57</v>
      </c>
      <c r="E783" s="154" cm="1">
        <f t="array" ref="E783">IF(ISBLANK(MainData[[#This Row],[EventID]]),0,IFERROR(INDEX(MainData[],MATCH(MainData[[#This Row],[EventID]],IF(MainData[Product]="Date",MainData[EventID],0),0),12),0))</f>
        <v>44596</v>
      </c>
      <c r="F783" s="155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3" s="155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3" s="157" t="s">
        <v>84</v>
      </c>
      <c r="J783" t="s">
        <v>187</v>
      </c>
      <c r="K783" s="2" t="s">
        <v>157</v>
      </c>
      <c r="L783" s="2" t="s">
        <v>0</v>
      </c>
      <c r="M783" s="158">
        <v>44596</v>
      </c>
      <c r="N783" s="2"/>
      <c r="O783" s="109"/>
      <c r="P783" s="109"/>
      <c r="Q783" s="109"/>
    </row>
    <row r="784" spans="2:17" x14ac:dyDescent="0.25">
      <c r="B784" s="114">
        <v>42</v>
      </c>
      <c r="C784" s="114">
        <v>102</v>
      </c>
      <c r="D784" s="114">
        <v>57</v>
      </c>
      <c r="E784" s="154" cm="1">
        <f t="array" ref="E784">IF(ISBLANK(MainData[[#This Row],[EventID]]),0,IFERROR(INDEX(MainData[],MATCH(MainData[[#This Row],[EventID]],IF(MainData[Product]="Date",MainData[EventID],0),0),12),0))</f>
        <v>44596</v>
      </c>
      <c r="F784" s="155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4" s="155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4" s="157" t="s">
        <v>84</v>
      </c>
      <c r="J784" t="s">
        <v>187</v>
      </c>
      <c r="K784" s="2" t="s">
        <v>157</v>
      </c>
      <c r="L784" s="2" t="s">
        <v>82</v>
      </c>
      <c r="M784" s="2">
        <v>394118</v>
      </c>
      <c r="N784" s="2"/>
      <c r="O784" s="109"/>
      <c r="P784" s="109"/>
      <c r="Q784" s="109"/>
    </row>
    <row r="785" spans="2:17" x14ac:dyDescent="0.25">
      <c r="B785" s="114">
        <v>42</v>
      </c>
      <c r="C785" s="114">
        <v>102</v>
      </c>
      <c r="D785" s="114">
        <v>57</v>
      </c>
      <c r="E785" s="154" cm="1">
        <f t="array" ref="E785">IF(ISBLANK(MainData[[#This Row],[EventID]]),0,IFERROR(INDEX(MainData[],MATCH(MainData[[#This Row],[EventID]],IF(MainData[Product]="Date",MainData[EventID],0),0),12),0))</f>
        <v>44596</v>
      </c>
      <c r="F785" s="155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5" s="155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5" s="157" t="s">
        <v>84</v>
      </c>
      <c r="J785" t="s">
        <v>187</v>
      </c>
      <c r="K785" s="2" t="s">
        <v>157</v>
      </c>
      <c r="L785" s="2" t="s">
        <v>175</v>
      </c>
      <c r="M785" s="2" t="s">
        <v>457</v>
      </c>
      <c r="N785" s="2"/>
      <c r="O785" s="109"/>
      <c r="P785" s="109"/>
      <c r="Q785" s="109"/>
    </row>
    <row r="786" spans="2:17" x14ac:dyDescent="0.25">
      <c r="B786" s="114">
        <v>42</v>
      </c>
      <c r="C786" s="114">
        <v>102</v>
      </c>
      <c r="D786" s="114">
        <v>57</v>
      </c>
      <c r="E786" s="154" cm="1">
        <f t="array" ref="E786">IF(ISBLANK(MainData[[#This Row],[EventID]]),0,IFERROR(INDEX(MainData[],MATCH(MainData[[#This Row],[EventID]],IF(MainData[Product]="Date",MainData[EventID],0),0),12),0))</f>
        <v>44596</v>
      </c>
      <c r="F786" s="155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6" s="155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6" s="157" t="s">
        <v>84</v>
      </c>
      <c r="J786" t="s">
        <v>187</v>
      </c>
      <c r="K786" s="2" t="s">
        <v>157</v>
      </c>
      <c r="L786" s="2" t="s">
        <v>20</v>
      </c>
      <c r="M786" s="2" t="s">
        <v>372</v>
      </c>
      <c r="N786" s="2"/>
      <c r="O786" s="109"/>
      <c r="P786" s="109"/>
      <c r="Q786" s="109"/>
    </row>
    <row r="787" spans="2:17" x14ac:dyDescent="0.25">
      <c r="B787" s="114">
        <v>42</v>
      </c>
      <c r="C787" s="114">
        <v>102</v>
      </c>
      <c r="D787" s="114">
        <v>57</v>
      </c>
      <c r="E787" s="154" cm="1">
        <f t="array" ref="E787">IF(ISBLANK(MainData[[#This Row],[EventID]]),0,IFERROR(INDEX(MainData[],MATCH(MainData[[#This Row],[EventID]],IF(MainData[Product]="Date",MainData[EventID],0),0),12),0))</f>
        <v>44596</v>
      </c>
      <c r="F787" s="155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7" s="155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7" s="157" t="s">
        <v>84</v>
      </c>
      <c r="J787" t="s">
        <v>187</v>
      </c>
      <c r="K787" s="2" t="s">
        <v>157</v>
      </c>
      <c r="L787" s="2" t="s">
        <v>138</v>
      </c>
      <c r="M787" s="2">
        <v>375</v>
      </c>
      <c r="N787" s="2"/>
      <c r="O787" s="109"/>
      <c r="P787" s="109"/>
      <c r="Q787" s="109"/>
    </row>
    <row r="788" spans="2:17" x14ac:dyDescent="0.25">
      <c r="B788" s="114">
        <v>42</v>
      </c>
      <c r="C788" s="114">
        <v>102</v>
      </c>
      <c r="D788" s="114">
        <v>57</v>
      </c>
      <c r="E788" s="154" cm="1">
        <f t="array" ref="E788">IF(ISBLANK(MainData[[#This Row],[EventID]]),0,IFERROR(INDEX(MainData[],MATCH(MainData[[#This Row],[EventID]],IF(MainData[Product]="Date",MainData[EventID],0),0),12),0))</f>
        <v>44596</v>
      </c>
      <c r="F788" s="155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8" s="155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8" s="157" t="s">
        <v>84</v>
      </c>
      <c r="J788" t="s">
        <v>187</v>
      </c>
      <c r="K788" s="2" t="s">
        <v>157</v>
      </c>
      <c r="L788" s="2" t="s">
        <v>86</v>
      </c>
      <c r="M788" s="2">
        <v>3</v>
      </c>
      <c r="N788" s="2"/>
      <c r="O788" s="109"/>
      <c r="P788" s="109"/>
      <c r="Q788" s="109"/>
    </row>
    <row r="789" spans="2:17" x14ac:dyDescent="0.25">
      <c r="B789" s="114">
        <v>42</v>
      </c>
      <c r="C789" s="114">
        <v>102</v>
      </c>
      <c r="D789" s="114">
        <v>57</v>
      </c>
      <c r="E789" s="154" cm="1">
        <f t="array" ref="E789">IF(ISBLANK(MainData[[#This Row],[EventID]]),0,IFERROR(INDEX(MainData[],MATCH(MainData[[#This Row],[EventID]],IF(MainData[Product]="Date",MainData[EventID],0),0),12),0))</f>
        <v>44596</v>
      </c>
      <c r="F789" s="155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9" s="155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9" s="157" t="s">
        <v>84</v>
      </c>
      <c r="J789" t="s">
        <v>187</v>
      </c>
      <c r="K789" s="2" t="s">
        <v>157</v>
      </c>
      <c r="L789" s="2" t="s">
        <v>118</v>
      </c>
      <c r="M789" s="2" t="s">
        <v>471</v>
      </c>
      <c r="N789" s="2"/>
      <c r="O789" s="109"/>
      <c r="P789" s="109"/>
      <c r="Q789" s="109"/>
    </row>
    <row r="790" spans="2:17" x14ac:dyDescent="0.25">
      <c r="B790" s="114">
        <v>42</v>
      </c>
      <c r="C790" s="114">
        <v>102</v>
      </c>
      <c r="D790" s="114">
        <v>57</v>
      </c>
      <c r="E790" s="154" cm="1">
        <f t="array" ref="E790">IF(ISBLANK(MainData[[#This Row],[EventID]]),0,IFERROR(INDEX(MainData[],MATCH(MainData[[#This Row],[EventID]],IF(MainData[Product]="Date",MainData[EventID],0),0),12),0))</f>
        <v>44596</v>
      </c>
      <c r="F790" s="155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0" s="155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0" s="157" t="s">
        <v>84</v>
      </c>
      <c r="J790" t="s">
        <v>187</v>
      </c>
      <c r="K790" s="2" t="s">
        <v>157</v>
      </c>
      <c r="L790" s="2" t="s">
        <v>165</v>
      </c>
      <c r="M790" s="2" t="s">
        <v>403</v>
      </c>
      <c r="N790" s="2"/>
      <c r="O790" s="109"/>
      <c r="P790" s="109"/>
      <c r="Q790" s="109"/>
    </row>
    <row r="791" spans="2:17" x14ac:dyDescent="0.25">
      <c r="B791" s="114">
        <v>42</v>
      </c>
      <c r="C791" s="114">
        <v>102</v>
      </c>
      <c r="D791" s="114">
        <v>57</v>
      </c>
      <c r="E791" s="154" cm="1">
        <f t="array" ref="E791">IF(ISBLANK(MainData[[#This Row],[EventID]]),0,IFERROR(INDEX(MainData[],MATCH(MainData[[#This Row],[EventID]],IF(MainData[Product]="Date",MainData[EventID],0),0),12),0))</f>
        <v>44596</v>
      </c>
      <c r="F791" s="155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1" s="155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1" s="20" t="s">
        <v>85</v>
      </c>
      <c r="J791" t="s">
        <v>20</v>
      </c>
      <c r="K791" s="2" t="s">
        <v>116</v>
      </c>
      <c r="L791" s="2" t="s">
        <v>88</v>
      </c>
      <c r="M791" s="2" t="s">
        <v>189</v>
      </c>
      <c r="N791" s="2" t="s">
        <v>233</v>
      </c>
      <c r="O791" s="109">
        <v>2</v>
      </c>
      <c r="P791" s="109"/>
      <c r="Q791" s="109"/>
    </row>
    <row r="792" spans="2:17" x14ac:dyDescent="0.25">
      <c r="B792" s="114">
        <v>42</v>
      </c>
      <c r="C792" s="114">
        <v>102</v>
      </c>
      <c r="D792" s="114">
        <v>57</v>
      </c>
      <c r="E792" s="154" cm="1">
        <f t="array" ref="E792">IF(ISBLANK(MainData[[#This Row],[EventID]]),0,IFERROR(INDEX(MainData[],MATCH(MainData[[#This Row],[EventID]],IF(MainData[Product]="Date",MainData[EventID],0),0),12),0))</f>
        <v>44596</v>
      </c>
      <c r="F792" s="155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2" s="155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2" s="20" t="s">
        <v>85</v>
      </c>
      <c r="J792" t="s">
        <v>20</v>
      </c>
      <c r="K792" s="2" t="s">
        <v>116</v>
      </c>
      <c r="L792" s="2" t="s">
        <v>87</v>
      </c>
      <c r="M792" s="2" t="s">
        <v>188</v>
      </c>
      <c r="N792" s="2" t="s">
        <v>233</v>
      </c>
      <c r="O792" s="109">
        <v>4</v>
      </c>
      <c r="P792" s="109"/>
      <c r="Q792" s="109">
        <v>400</v>
      </c>
    </row>
    <row r="793" spans="2:17" x14ac:dyDescent="0.25">
      <c r="B793" s="114">
        <v>42</v>
      </c>
      <c r="C793" s="114">
        <v>102</v>
      </c>
      <c r="D793" s="114">
        <v>57</v>
      </c>
      <c r="E793" s="154" cm="1">
        <f t="array" ref="E793">IF(ISBLANK(MainData[[#This Row],[EventID]]),0,IFERROR(INDEX(MainData[],MATCH(MainData[[#This Row],[EventID]],IF(MainData[Product]="Date",MainData[EventID],0),0),12),0))</f>
        <v>44596</v>
      </c>
      <c r="F793" s="155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3" s="155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3" s="157" t="s">
        <v>85</v>
      </c>
      <c r="J793" t="s">
        <v>20</v>
      </c>
      <c r="K793" s="2" t="s">
        <v>29</v>
      </c>
      <c r="L793" s="2" t="s">
        <v>35</v>
      </c>
      <c r="M793" s="2" t="s">
        <v>382</v>
      </c>
      <c r="N793" s="2" t="s">
        <v>236</v>
      </c>
      <c r="O793" s="109">
        <v>4</v>
      </c>
      <c r="P793" s="109">
        <v>150</v>
      </c>
      <c r="Q793" s="109">
        <v>3500</v>
      </c>
    </row>
    <row r="794" spans="2:17" x14ac:dyDescent="0.25">
      <c r="B794" s="114">
        <v>42</v>
      </c>
      <c r="C794" s="114">
        <v>102</v>
      </c>
      <c r="D794" s="114">
        <v>57</v>
      </c>
      <c r="E794" s="154" cm="1">
        <f t="array" ref="E794">IF(ISBLANK(MainData[[#This Row],[EventID]]),0,IFERROR(INDEX(MainData[],MATCH(MainData[[#This Row],[EventID]],IF(MainData[Product]="Date",MainData[EventID],0),0),12),0))</f>
        <v>44596</v>
      </c>
      <c r="F794" s="155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4" s="155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4" s="20" t="s">
        <v>85</v>
      </c>
      <c r="J794" t="s">
        <v>20</v>
      </c>
      <c r="K794" s="2" t="s">
        <v>29</v>
      </c>
      <c r="L794" s="2" t="s">
        <v>36</v>
      </c>
      <c r="M794" s="2" t="s">
        <v>390</v>
      </c>
      <c r="N794" s="2" t="s">
        <v>236</v>
      </c>
      <c r="O794" s="109">
        <v>4</v>
      </c>
      <c r="P794" s="109">
        <v>319.08</v>
      </c>
      <c r="Q794" s="109">
        <v>6200</v>
      </c>
    </row>
    <row r="795" spans="2:17" x14ac:dyDescent="0.25">
      <c r="B795" s="114">
        <v>42</v>
      </c>
      <c r="C795" s="114">
        <v>102</v>
      </c>
      <c r="D795" s="114">
        <v>57</v>
      </c>
      <c r="E795" s="154" cm="1">
        <f t="array" ref="E795">IF(ISBLANK(MainData[[#This Row],[EventID]]),0,IFERROR(INDEX(MainData[],MATCH(MainData[[#This Row],[EventID]],IF(MainData[Product]="Date",MainData[EventID],0),0),12),0))</f>
        <v>44596</v>
      </c>
      <c r="F795" s="155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5" s="155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5" s="157" t="s">
        <v>85</v>
      </c>
      <c r="J795" t="s">
        <v>20</v>
      </c>
      <c r="K795" s="2" t="s">
        <v>29</v>
      </c>
      <c r="L795" s="2" t="s">
        <v>65</v>
      </c>
      <c r="M795" s="2" t="s">
        <v>383</v>
      </c>
      <c r="N795" s="2" t="s">
        <v>236</v>
      </c>
      <c r="O795" s="109">
        <v>4</v>
      </c>
      <c r="P795" s="109">
        <v>25</v>
      </c>
      <c r="Q795" s="109">
        <v>527</v>
      </c>
    </row>
    <row r="796" spans="2:17" x14ac:dyDescent="0.25">
      <c r="B796" s="114">
        <v>42</v>
      </c>
      <c r="C796" s="114">
        <v>102</v>
      </c>
      <c r="D796" s="114">
        <v>57</v>
      </c>
      <c r="E796" s="154" cm="1">
        <f t="array" ref="E796">IF(ISBLANK(MainData[[#This Row],[EventID]]),0,IFERROR(INDEX(MainData[],MATCH(MainData[[#This Row],[EventID]],IF(MainData[Product]="Date",MainData[EventID],0),0),12),0))</f>
        <v>44596</v>
      </c>
      <c r="F796" s="155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6" s="155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6" s="157" t="s">
        <v>85</v>
      </c>
      <c r="J796" t="s">
        <v>20</v>
      </c>
      <c r="K796" s="2" t="s">
        <v>29</v>
      </c>
      <c r="L796" s="2" t="s">
        <v>25</v>
      </c>
      <c r="M796" s="2" t="s">
        <v>385</v>
      </c>
      <c r="N796" s="2" t="s">
        <v>236</v>
      </c>
      <c r="O796" s="109">
        <v>4</v>
      </c>
      <c r="P796" s="109">
        <v>150</v>
      </c>
      <c r="Q796" s="109">
        <v>3500</v>
      </c>
    </row>
    <row r="797" spans="2:17" x14ac:dyDescent="0.25">
      <c r="B797" s="114">
        <v>27</v>
      </c>
      <c r="C797" s="114">
        <v>80</v>
      </c>
      <c r="D797" s="114">
        <v>61</v>
      </c>
      <c r="E797" s="154" cm="1">
        <f t="array" ref="E797">IF(ISBLANK(MainData[[#This Row],[EventID]]),0,IFERROR(INDEX(MainData[],MATCH(MainData[[#This Row],[EventID]],IF(MainData[Product]="Date",MainData[EventID],0),0),12),0))</f>
        <v>44597</v>
      </c>
      <c r="F797" s="155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7" s="155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7" s="157" t="s">
        <v>84</v>
      </c>
      <c r="J797" t="s">
        <v>187</v>
      </c>
      <c r="K797" s="2" t="s">
        <v>157</v>
      </c>
      <c r="L797" s="2" t="s">
        <v>81</v>
      </c>
      <c r="M797" s="2">
        <v>1</v>
      </c>
      <c r="N797" s="2"/>
      <c r="O797" s="109"/>
      <c r="P797" s="109"/>
      <c r="Q797" s="109"/>
    </row>
    <row r="798" spans="2:17" x14ac:dyDescent="0.25">
      <c r="B798" s="114">
        <v>27</v>
      </c>
      <c r="C798" s="114">
        <v>80</v>
      </c>
      <c r="D798" s="114">
        <v>61</v>
      </c>
      <c r="E798" s="154" cm="1">
        <f t="array" ref="E798">IF(ISBLANK(MainData[[#This Row],[EventID]]),0,IFERROR(INDEX(MainData[],MATCH(MainData[[#This Row],[EventID]],IF(MainData[Product]="Date",MainData[EventID],0),0),12),0))</f>
        <v>44597</v>
      </c>
      <c r="F798" s="155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8" s="155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8" s="157" t="s">
        <v>84</v>
      </c>
      <c r="J798" t="s">
        <v>187</v>
      </c>
      <c r="K798" s="2" t="s">
        <v>157</v>
      </c>
      <c r="L798" s="2" t="s">
        <v>164</v>
      </c>
      <c r="M798" s="2" t="s">
        <v>451</v>
      </c>
      <c r="N798" s="2"/>
      <c r="O798" s="109"/>
      <c r="P798" s="109"/>
      <c r="Q798" s="109"/>
    </row>
    <row r="799" spans="2:17" x14ac:dyDescent="0.25">
      <c r="B799" s="114">
        <v>27</v>
      </c>
      <c r="C799" s="114">
        <v>80</v>
      </c>
      <c r="D799" s="114">
        <v>61</v>
      </c>
      <c r="E799" s="154" cm="1">
        <f t="array" ref="E799">IF(ISBLANK(MainData[[#This Row],[EventID]]),0,IFERROR(INDEX(MainData[],MATCH(MainData[[#This Row],[EventID]],IF(MainData[Product]="Date",MainData[EventID],0),0),12),0))</f>
        <v>44597</v>
      </c>
      <c r="F799" s="155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9" s="155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9" s="157" t="s">
        <v>84</v>
      </c>
      <c r="J799" t="s">
        <v>187</v>
      </c>
      <c r="K799" s="2" t="s">
        <v>157</v>
      </c>
      <c r="L799" s="2" t="s">
        <v>0</v>
      </c>
      <c r="M799" s="158">
        <v>44597</v>
      </c>
      <c r="N799" s="2"/>
      <c r="O799" s="109"/>
      <c r="P799" s="109"/>
      <c r="Q799" s="109"/>
    </row>
    <row r="800" spans="2:17" x14ac:dyDescent="0.25">
      <c r="B800" s="114">
        <v>27</v>
      </c>
      <c r="C800" s="114">
        <v>80</v>
      </c>
      <c r="D800" s="114">
        <v>61</v>
      </c>
      <c r="E800" s="154" cm="1">
        <f t="array" ref="E800">IF(ISBLANK(MainData[[#This Row],[EventID]]),0,IFERROR(INDEX(MainData[],MATCH(MainData[[#This Row],[EventID]],IF(MainData[Product]="Date",MainData[EventID],0),0),12),0))</f>
        <v>44597</v>
      </c>
      <c r="F800" s="155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0" s="155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0" s="157" t="s">
        <v>84</v>
      </c>
      <c r="J800" t="s">
        <v>187</v>
      </c>
      <c r="K800" s="2" t="s">
        <v>157</v>
      </c>
      <c r="L800" s="2" t="s">
        <v>82</v>
      </c>
      <c r="M800" s="2">
        <v>890640</v>
      </c>
      <c r="N800" s="2"/>
      <c r="O800" s="109"/>
      <c r="P800" s="109"/>
      <c r="Q800" s="109"/>
    </row>
    <row r="801" spans="2:17" x14ac:dyDescent="0.25">
      <c r="B801" s="114">
        <v>27</v>
      </c>
      <c r="C801" s="114">
        <v>80</v>
      </c>
      <c r="D801" s="114">
        <v>61</v>
      </c>
      <c r="E801" s="154" cm="1">
        <f t="array" ref="E801">IF(ISBLANK(MainData[[#This Row],[EventID]]),0,IFERROR(INDEX(MainData[],MATCH(MainData[[#This Row],[EventID]],IF(MainData[Product]="Date",MainData[EventID],0),0),12),0))</f>
        <v>44597</v>
      </c>
      <c r="F801" s="155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1" s="155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1" s="157" t="s">
        <v>84</v>
      </c>
      <c r="J801" t="s">
        <v>187</v>
      </c>
      <c r="K801" s="2" t="s">
        <v>157</v>
      </c>
      <c r="L801" s="2" t="s">
        <v>175</v>
      </c>
      <c r="M801" s="2" t="s">
        <v>466</v>
      </c>
      <c r="N801" s="2"/>
      <c r="O801" s="109"/>
      <c r="P801" s="109"/>
      <c r="Q801" s="109"/>
    </row>
    <row r="802" spans="2:17" x14ac:dyDescent="0.25">
      <c r="B802" s="114">
        <v>27</v>
      </c>
      <c r="C802" s="114">
        <v>80</v>
      </c>
      <c r="D802" s="114">
        <v>61</v>
      </c>
      <c r="E802" s="154" cm="1">
        <f t="array" ref="E802">IF(ISBLANK(MainData[[#This Row],[EventID]]),0,IFERROR(INDEX(MainData[],MATCH(MainData[[#This Row],[EventID]],IF(MainData[Product]="Date",MainData[EventID],0),0),12),0))</f>
        <v>44597</v>
      </c>
      <c r="F802" s="155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2" s="155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2" s="157" t="s">
        <v>84</v>
      </c>
      <c r="J802" t="s">
        <v>187</v>
      </c>
      <c r="K802" s="2" t="s">
        <v>157</v>
      </c>
      <c r="L802" s="2" t="s">
        <v>20</v>
      </c>
      <c r="M802" s="2" t="s">
        <v>452</v>
      </c>
      <c r="N802" s="2"/>
      <c r="O802" s="109"/>
      <c r="P802" s="109"/>
      <c r="Q802" s="109"/>
    </row>
    <row r="803" spans="2:17" x14ac:dyDescent="0.25">
      <c r="B803" s="114">
        <v>27</v>
      </c>
      <c r="C803" s="114">
        <v>80</v>
      </c>
      <c r="D803" s="114">
        <v>61</v>
      </c>
      <c r="E803" s="154" cm="1">
        <f t="array" ref="E803">IF(ISBLANK(MainData[[#This Row],[EventID]]),0,IFERROR(INDEX(MainData[],MATCH(MainData[[#This Row],[EventID]],IF(MainData[Product]="Date",MainData[EventID],0),0),12),0))</f>
        <v>44597</v>
      </c>
      <c r="F803" s="155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3" s="155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3" s="157" t="s">
        <v>84</v>
      </c>
      <c r="J803" t="s">
        <v>187</v>
      </c>
      <c r="K803" s="2" t="s">
        <v>157</v>
      </c>
      <c r="L803" s="2" t="s">
        <v>138</v>
      </c>
      <c r="M803" s="2">
        <v>70</v>
      </c>
      <c r="N803" s="2"/>
      <c r="O803" s="109"/>
      <c r="P803" s="109"/>
      <c r="Q803" s="109"/>
    </row>
    <row r="804" spans="2:17" x14ac:dyDescent="0.25">
      <c r="B804" s="114">
        <v>27</v>
      </c>
      <c r="C804" s="114">
        <v>80</v>
      </c>
      <c r="D804" s="114">
        <v>61</v>
      </c>
      <c r="E804" s="154" cm="1">
        <f t="array" ref="E804">IF(ISBLANK(MainData[[#This Row],[EventID]]),0,IFERROR(INDEX(MainData[],MATCH(MainData[[#This Row],[EventID]],IF(MainData[Product]="Date",MainData[EventID],0),0),12),0))</f>
        <v>44597</v>
      </c>
      <c r="F804" s="155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4" s="155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4" s="157" t="s">
        <v>84</v>
      </c>
      <c r="J804" t="s">
        <v>187</v>
      </c>
      <c r="K804" s="2" t="s">
        <v>157</v>
      </c>
      <c r="L804" s="2" t="s">
        <v>86</v>
      </c>
      <c r="M804" s="2">
        <v>4</v>
      </c>
      <c r="N804" s="2"/>
      <c r="O804" s="109"/>
      <c r="P804" s="109"/>
      <c r="Q804" s="109"/>
    </row>
    <row r="805" spans="2:17" x14ac:dyDescent="0.25">
      <c r="B805" s="114">
        <v>27</v>
      </c>
      <c r="C805" s="114">
        <v>80</v>
      </c>
      <c r="D805" s="114">
        <v>61</v>
      </c>
      <c r="E805" s="154" cm="1">
        <f t="array" ref="E805">IF(ISBLANK(MainData[[#This Row],[EventID]]),0,IFERROR(INDEX(MainData[],MATCH(MainData[[#This Row],[EventID]],IF(MainData[Product]="Date",MainData[EventID],0),0),12),0))</f>
        <v>44597</v>
      </c>
      <c r="F805" s="155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5" s="155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5" s="157" t="s">
        <v>84</v>
      </c>
      <c r="J805" t="s">
        <v>187</v>
      </c>
      <c r="K805" s="2" t="s">
        <v>157</v>
      </c>
      <c r="L805" s="2" t="s">
        <v>118</v>
      </c>
      <c r="M805" s="2" t="s">
        <v>467</v>
      </c>
      <c r="N805" s="2"/>
      <c r="O805" s="109"/>
      <c r="P805" s="109"/>
      <c r="Q805" s="109"/>
    </row>
    <row r="806" spans="2:17" x14ac:dyDescent="0.25">
      <c r="B806" s="114">
        <v>27</v>
      </c>
      <c r="C806" s="114">
        <v>80</v>
      </c>
      <c r="D806" s="114">
        <v>61</v>
      </c>
      <c r="E806" s="154" cm="1">
        <f t="array" ref="E806">IF(ISBLANK(MainData[[#This Row],[EventID]]),0,IFERROR(INDEX(MainData[],MATCH(MainData[[#This Row],[EventID]],IF(MainData[Product]="Date",MainData[EventID],0),0),12),0))</f>
        <v>44597</v>
      </c>
      <c r="F806" s="155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6" s="155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6" s="157" t="s">
        <v>84</v>
      </c>
      <c r="J806" t="s">
        <v>187</v>
      </c>
      <c r="K806" s="2" t="s">
        <v>157</v>
      </c>
      <c r="L806" s="2" t="s">
        <v>165</v>
      </c>
      <c r="M806" s="2" t="s">
        <v>406</v>
      </c>
      <c r="N806" s="2"/>
      <c r="O806" s="109"/>
      <c r="P806" s="109"/>
      <c r="Q806" s="109"/>
    </row>
    <row r="807" spans="2:17" x14ac:dyDescent="0.25">
      <c r="B807" s="114">
        <v>27</v>
      </c>
      <c r="C807" s="114">
        <v>80</v>
      </c>
      <c r="D807" s="114">
        <v>61</v>
      </c>
      <c r="E807" s="154" cm="1">
        <f t="array" ref="E807">IF(ISBLANK(MainData[[#This Row],[EventID]]),0,IFERROR(INDEX(MainData[],MATCH(MainData[[#This Row],[EventID]],IF(MainData[Product]="Date",MainData[EventID],0),0),12),0))</f>
        <v>44597</v>
      </c>
      <c r="F807" s="155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7" s="155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7" s="20" t="s">
        <v>85</v>
      </c>
      <c r="J807" t="s">
        <v>20</v>
      </c>
      <c r="K807" s="2" t="s">
        <v>116</v>
      </c>
      <c r="L807" s="2" t="s">
        <v>88</v>
      </c>
      <c r="M807" s="2" t="s">
        <v>189</v>
      </c>
      <c r="N807" s="2" t="s">
        <v>233</v>
      </c>
      <c r="O807" s="109">
        <v>1</v>
      </c>
      <c r="P807" s="109"/>
      <c r="Q807" s="109"/>
    </row>
    <row r="808" spans="2:17" x14ac:dyDescent="0.25">
      <c r="B808" s="114">
        <v>27</v>
      </c>
      <c r="C808" s="114">
        <v>80</v>
      </c>
      <c r="D808" s="114">
        <v>61</v>
      </c>
      <c r="E808" s="154" cm="1">
        <f t="array" ref="E808">IF(ISBLANK(MainData[[#This Row],[EventID]]),0,IFERROR(INDEX(MainData[],MATCH(MainData[[#This Row],[EventID]],IF(MainData[Product]="Date",MainData[EventID],0),0),12),0))</f>
        <v>44597</v>
      </c>
      <c r="F808" s="155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8" s="155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8" s="20" t="s">
        <v>85</v>
      </c>
      <c r="J808" t="s">
        <v>20</v>
      </c>
      <c r="K808" s="2" t="s">
        <v>116</v>
      </c>
      <c r="L808" s="2" t="s">
        <v>87</v>
      </c>
      <c r="M808" s="2" t="s">
        <v>188</v>
      </c>
      <c r="N808" s="2" t="s">
        <v>233</v>
      </c>
      <c r="O808" s="109">
        <v>1</v>
      </c>
      <c r="P808" s="109"/>
      <c r="Q808" s="109">
        <v>100</v>
      </c>
    </row>
    <row r="809" spans="2:17" x14ac:dyDescent="0.25">
      <c r="B809" s="114">
        <v>27</v>
      </c>
      <c r="C809" s="114">
        <v>80</v>
      </c>
      <c r="D809" s="114">
        <v>61</v>
      </c>
      <c r="E809" s="154" cm="1">
        <f t="array" ref="E809">IF(ISBLANK(MainData[[#This Row],[EventID]]),0,IFERROR(INDEX(MainData[],MATCH(MainData[[#This Row],[EventID]],IF(MainData[Product]="Date",MainData[EventID],0),0),12),0))</f>
        <v>44597</v>
      </c>
      <c r="F809" s="155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9" s="155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9" s="157" t="s">
        <v>85</v>
      </c>
      <c r="J809" t="s">
        <v>20</v>
      </c>
      <c r="K809" s="2" t="s">
        <v>29</v>
      </c>
      <c r="L809" s="2" t="s">
        <v>35</v>
      </c>
      <c r="M809" s="2" t="s">
        <v>382</v>
      </c>
      <c r="N809" s="2" t="s">
        <v>234</v>
      </c>
      <c r="O809" s="109">
        <v>1</v>
      </c>
      <c r="P809" s="109">
        <v>36</v>
      </c>
      <c r="Q809" s="109">
        <v>360</v>
      </c>
    </row>
    <row r="810" spans="2:17" x14ac:dyDescent="0.25">
      <c r="B810" s="114">
        <v>27</v>
      </c>
      <c r="C810" s="114">
        <v>80</v>
      </c>
      <c r="D810" s="114">
        <v>61</v>
      </c>
      <c r="E810" s="154" cm="1">
        <f t="array" ref="E810">IF(ISBLANK(MainData[[#This Row],[EventID]]),0,IFERROR(INDEX(MainData[],MATCH(MainData[[#This Row],[EventID]],IF(MainData[Product]="Date",MainData[EventID],0),0),12),0))</f>
        <v>44597</v>
      </c>
      <c r="F810" s="155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0" s="155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0" s="20" t="s">
        <v>85</v>
      </c>
      <c r="J810" t="s">
        <v>20</v>
      </c>
      <c r="K810" s="2" t="s">
        <v>29</v>
      </c>
      <c r="L810" s="2" t="s">
        <v>36</v>
      </c>
      <c r="M810" s="2" t="s">
        <v>387</v>
      </c>
      <c r="N810" s="2" t="s">
        <v>234</v>
      </c>
      <c r="O810" s="109">
        <v>1</v>
      </c>
      <c r="P810" s="109">
        <v>27.8</v>
      </c>
      <c r="Q810" s="109">
        <v>573</v>
      </c>
    </row>
    <row r="811" spans="2:17" x14ac:dyDescent="0.25">
      <c r="B811" s="114">
        <v>27</v>
      </c>
      <c r="C811" s="114">
        <v>80</v>
      </c>
      <c r="D811" s="114">
        <v>61</v>
      </c>
      <c r="E811" s="154" cm="1">
        <f t="array" ref="E811">IF(ISBLANK(MainData[[#This Row],[EventID]]),0,IFERROR(INDEX(MainData[],MATCH(MainData[[#This Row],[EventID]],IF(MainData[Product]="Date",MainData[EventID],0),0),12),0))</f>
        <v>44597</v>
      </c>
      <c r="F811" s="155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1" s="155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1" s="157" t="s">
        <v>85</v>
      </c>
      <c r="J811" t="s">
        <v>20</v>
      </c>
      <c r="K811" s="2" t="s">
        <v>29</v>
      </c>
      <c r="L811" s="2" t="s">
        <v>65</v>
      </c>
      <c r="M811" s="2" t="s">
        <v>383</v>
      </c>
      <c r="N811" s="2" t="s">
        <v>234</v>
      </c>
      <c r="O811" s="109">
        <v>1</v>
      </c>
      <c r="P811" s="109">
        <v>5</v>
      </c>
      <c r="Q811" s="109">
        <v>90</v>
      </c>
    </row>
    <row r="812" spans="2:17" x14ac:dyDescent="0.25">
      <c r="B812" s="114">
        <v>27</v>
      </c>
      <c r="C812" s="114">
        <v>80</v>
      </c>
      <c r="D812" s="114">
        <v>61</v>
      </c>
      <c r="E812" s="154" cm="1">
        <f t="array" ref="E812">IF(ISBLANK(MainData[[#This Row],[EventID]]),0,IFERROR(INDEX(MainData[],MATCH(MainData[[#This Row],[EventID]],IF(MainData[Product]="Date",MainData[EventID],0),0),12),0))</f>
        <v>44597</v>
      </c>
      <c r="F812" s="155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2" s="155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2" s="157" t="s">
        <v>85</v>
      </c>
      <c r="J812" t="s">
        <v>20</v>
      </c>
      <c r="K812" s="2" t="s">
        <v>29</v>
      </c>
      <c r="L812" s="2" t="s">
        <v>25</v>
      </c>
      <c r="M812" s="2" t="s">
        <v>388</v>
      </c>
      <c r="N812" s="2" t="s">
        <v>234</v>
      </c>
      <c r="O812" s="109">
        <v>1</v>
      </c>
      <c r="P812" s="109">
        <v>24</v>
      </c>
      <c r="Q812" s="109">
        <v>240</v>
      </c>
    </row>
    <row r="813" spans="2:17" x14ac:dyDescent="0.25">
      <c r="B813" s="114">
        <v>43</v>
      </c>
      <c r="C813" s="114">
        <v>107</v>
      </c>
      <c r="D813" s="114">
        <v>62</v>
      </c>
      <c r="E813" s="154" cm="1">
        <f t="array" ref="E813">IF(ISBLANK(MainData[[#This Row],[EventID]]),0,IFERROR(INDEX(MainData[],MATCH(MainData[[#This Row],[EventID]],IF(MainData[Product]="Date",MainData[EventID],0),0),12),0))</f>
        <v>44597</v>
      </c>
      <c r="F813" s="155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3" s="155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3" s="157" t="s">
        <v>84</v>
      </c>
      <c r="J813" t="s">
        <v>187</v>
      </c>
      <c r="K813" s="2" t="s">
        <v>157</v>
      </c>
      <c r="L813" s="2" t="s">
        <v>81</v>
      </c>
      <c r="M813" s="2">
        <v>1</v>
      </c>
      <c r="N813" s="2"/>
      <c r="O813" s="109"/>
      <c r="P813" s="109"/>
      <c r="Q813" s="109"/>
    </row>
    <row r="814" spans="2:17" x14ac:dyDescent="0.25">
      <c r="B814" s="114">
        <v>43</v>
      </c>
      <c r="C814" s="114">
        <v>107</v>
      </c>
      <c r="D814" s="114">
        <v>117</v>
      </c>
      <c r="E814" s="154" cm="1">
        <f t="array" ref="E814">IF(ISBLANK(MainData[[#This Row],[EventID]]),0,IFERROR(INDEX(MainData[],MATCH(MainData[[#This Row],[EventID]],IF(MainData[Product]="Date",MainData[EventID],0),0),12),0))</f>
        <v>44597</v>
      </c>
      <c r="F814" s="155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4" s="155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4" s="157" t="s">
        <v>84</v>
      </c>
      <c r="J814" t="s">
        <v>187</v>
      </c>
      <c r="K814" s="2" t="s">
        <v>157</v>
      </c>
      <c r="L814" s="2" t="s">
        <v>81</v>
      </c>
      <c r="M814" s="2">
        <v>2</v>
      </c>
      <c r="N814" s="2"/>
      <c r="O814" s="109"/>
      <c r="P814" s="109"/>
      <c r="Q814" s="109"/>
    </row>
    <row r="815" spans="2:17" x14ac:dyDescent="0.25">
      <c r="B815" s="114">
        <v>43</v>
      </c>
      <c r="C815" s="114">
        <v>107</v>
      </c>
      <c r="D815" s="114">
        <v>62</v>
      </c>
      <c r="E815" s="154" cm="1">
        <f t="array" ref="E815">IF(ISBLANK(MainData[[#This Row],[EventID]]),0,IFERROR(INDEX(MainData[],MATCH(MainData[[#This Row],[EventID]],IF(MainData[Product]="Date",MainData[EventID],0),0),12),0))</f>
        <v>44597</v>
      </c>
      <c r="F815" s="155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5" s="155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5" s="157" t="s">
        <v>84</v>
      </c>
      <c r="J815" t="s">
        <v>187</v>
      </c>
      <c r="K815" s="2" t="s">
        <v>157</v>
      </c>
      <c r="L815" s="2" t="s">
        <v>0</v>
      </c>
      <c r="M815" s="158">
        <v>44597</v>
      </c>
      <c r="N815" s="2"/>
      <c r="O815" s="109"/>
      <c r="P815" s="109"/>
      <c r="Q815" s="109"/>
    </row>
    <row r="816" spans="2:17" x14ac:dyDescent="0.25">
      <c r="B816" s="114">
        <v>43</v>
      </c>
      <c r="C816" s="114">
        <v>107</v>
      </c>
      <c r="D816" s="114">
        <v>62</v>
      </c>
      <c r="E816" s="154" cm="1">
        <f t="array" ref="E816">IF(ISBLANK(MainData[[#This Row],[EventID]]),0,IFERROR(INDEX(MainData[],MATCH(MainData[[#This Row],[EventID]],IF(MainData[Product]="Date",MainData[EventID],0),0),12),0))</f>
        <v>44597</v>
      </c>
      <c r="F816" s="155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6" s="155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6" s="157" t="s">
        <v>84</v>
      </c>
      <c r="J816" t="s">
        <v>187</v>
      </c>
      <c r="K816" s="2" t="s">
        <v>157</v>
      </c>
      <c r="L816" s="2" t="s">
        <v>82</v>
      </c>
      <c r="M816" s="2">
        <v>974637</v>
      </c>
      <c r="N816" s="2"/>
      <c r="O816" s="109"/>
      <c r="P816" s="109"/>
      <c r="Q816" s="109"/>
    </row>
    <row r="817" spans="2:17" x14ac:dyDescent="0.25">
      <c r="B817" s="114">
        <v>43</v>
      </c>
      <c r="C817" s="114">
        <v>107</v>
      </c>
      <c r="D817" s="114">
        <v>62</v>
      </c>
      <c r="E817" s="154" cm="1">
        <f t="array" ref="E817">IF(ISBLANK(MainData[[#This Row],[EventID]]),0,IFERROR(INDEX(MainData[],MATCH(MainData[[#This Row],[EventID]],IF(MainData[Product]="Date",MainData[EventID],0),0),12),0))</f>
        <v>44597</v>
      </c>
      <c r="F817" s="155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7" s="155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7" s="157" t="s">
        <v>84</v>
      </c>
      <c r="J817" t="s">
        <v>187</v>
      </c>
      <c r="K817" s="2" t="s">
        <v>157</v>
      </c>
      <c r="L817" s="2" t="s">
        <v>175</v>
      </c>
      <c r="M817" s="2" t="s">
        <v>481</v>
      </c>
      <c r="N817" s="2"/>
      <c r="O817" s="109"/>
      <c r="P817" s="109"/>
      <c r="Q817" s="109"/>
    </row>
    <row r="818" spans="2:17" x14ac:dyDescent="0.25">
      <c r="B818" s="114">
        <v>43</v>
      </c>
      <c r="C818" s="114">
        <v>107</v>
      </c>
      <c r="D818" s="114">
        <v>62</v>
      </c>
      <c r="E818" s="154" cm="1">
        <f t="array" ref="E818">IF(ISBLANK(MainData[[#This Row],[EventID]]),0,IFERROR(INDEX(MainData[],MATCH(MainData[[#This Row],[EventID]],IF(MainData[Product]="Date",MainData[EventID],0),0),12),0))</f>
        <v>44597</v>
      </c>
      <c r="F818" s="155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8" s="155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8" s="157" t="s">
        <v>84</v>
      </c>
      <c r="J818" t="s">
        <v>187</v>
      </c>
      <c r="K818" s="2" t="s">
        <v>157</v>
      </c>
      <c r="L818" s="2" t="s">
        <v>138</v>
      </c>
      <c r="M818" s="2">
        <v>150</v>
      </c>
      <c r="N818" s="2"/>
      <c r="O818" s="109"/>
      <c r="P818" s="109"/>
      <c r="Q818" s="109"/>
    </row>
    <row r="819" spans="2:17" x14ac:dyDescent="0.25">
      <c r="B819" s="114">
        <v>43</v>
      </c>
      <c r="C819" s="114">
        <v>107</v>
      </c>
      <c r="D819" s="114">
        <v>62</v>
      </c>
      <c r="E819" s="154" cm="1">
        <f t="array" ref="E819">IF(ISBLANK(MainData[[#This Row],[EventID]]),0,IFERROR(INDEX(MainData[],MATCH(MainData[[#This Row],[EventID]],IF(MainData[Product]="Date",MainData[EventID],0),0),12),0))</f>
        <v>44597</v>
      </c>
      <c r="F819" s="155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9" s="155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9" s="157" t="s">
        <v>84</v>
      </c>
      <c r="J819" t="s">
        <v>187</v>
      </c>
      <c r="K819" s="2" t="s">
        <v>157</v>
      </c>
      <c r="L819" s="2" t="s">
        <v>86</v>
      </c>
      <c r="M819" s="2">
        <v>4</v>
      </c>
      <c r="N819" s="2"/>
      <c r="O819" s="109"/>
      <c r="P819" s="109"/>
      <c r="Q819" s="109"/>
    </row>
    <row r="820" spans="2:17" x14ac:dyDescent="0.25">
      <c r="B820" s="114">
        <v>43</v>
      </c>
      <c r="C820" s="114">
        <v>107</v>
      </c>
      <c r="D820" s="114">
        <v>62</v>
      </c>
      <c r="E820" s="154" cm="1">
        <f t="array" ref="E820">IF(ISBLANK(MainData[[#This Row],[EventID]]),0,IFERROR(INDEX(MainData[],MATCH(MainData[[#This Row],[EventID]],IF(MainData[Product]="Date",MainData[EventID],0),0),12),0))</f>
        <v>44597</v>
      </c>
      <c r="F820" s="155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0" s="155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0" s="157" t="s">
        <v>84</v>
      </c>
      <c r="J820" t="s">
        <v>187</v>
      </c>
      <c r="K820" s="2" t="s">
        <v>157</v>
      </c>
      <c r="L820" s="2" t="s">
        <v>118</v>
      </c>
      <c r="M820" s="2" t="s">
        <v>462</v>
      </c>
      <c r="N820" s="2"/>
      <c r="O820" s="109"/>
      <c r="P820" s="109"/>
      <c r="Q820" s="109"/>
    </row>
    <row r="821" spans="2:17" x14ac:dyDescent="0.25">
      <c r="B821" s="114">
        <v>43</v>
      </c>
      <c r="C821" s="114">
        <v>107</v>
      </c>
      <c r="D821" s="114">
        <v>117</v>
      </c>
      <c r="E821" s="154" cm="1">
        <f t="array" ref="E821">IF(ISBLANK(MainData[[#This Row],[EventID]]),0,IFERROR(INDEX(MainData[],MATCH(MainData[[#This Row],[EventID]],IF(MainData[Product]="Date",MainData[EventID],0),0),12),0))</f>
        <v>44597</v>
      </c>
      <c r="F821" s="155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1" s="155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1" s="157" t="s">
        <v>85</v>
      </c>
      <c r="J821" t="s">
        <v>22</v>
      </c>
      <c r="K821" s="2" t="s">
        <v>29</v>
      </c>
      <c r="L821" s="2" t="s">
        <v>35</v>
      </c>
      <c r="M821" s="2" t="s">
        <v>382</v>
      </c>
      <c r="N821" s="2" t="s">
        <v>234</v>
      </c>
      <c r="O821" s="109">
        <v>2</v>
      </c>
      <c r="P821" s="109">
        <v>12</v>
      </c>
      <c r="Q821" s="109">
        <v>120</v>
      </c>
    </row>
    <row r="822" spans="2:17" x14ac:dyDescent="0.25">
      <c r="B822" s="114">
        <v>43</v>
      </c>
      <c r="C822" s="114">
        <v>107</v>
      </c>
      <c r="D822" s="114">
        <v>117</v>
      </c>
      <c r="E822" s="154" cm="1">
        <f t="array" ref="E822">IF(ISBLANK(MainData[[#This Row],[EventID]]),0,IFERROR(INDEX(MainData[],MATCH(MainData[[#This Row],[EventID]],IF(MainData[Product]="Date",MainData[EventID],0),0),12),0))</f>
        <v>44597</v>
      </c>
      <c r="F822" s="155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2" s="155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2" s="20" t="s">
        <v>85</v>
      </c>
      <c r="J822" t="s">
        <v>22</v>
      </c>
      <c r="K822" s="2" t="s">
        <v>29</v>
      </c>
      <c r="L822" s="2" t="s">
        <v>36</v>
      </c>
      <c r="M822" s="2" t="s">
        <v>387</v>
      </c>
      <c r="N822" s="2" t="s">
        <v>234</v>
      </c>
      <c r="O822" s="109">
        <v>2</v>
      </c>
      <c r="P822" s="109">
        <v>38.049999999999997</v>
      </c>
      <c r="Q822" s="109">
        <v>267.77</v>
      </c>
    </row>
    <row r="823" spans="2:17" x14ac:dyDescent="0.25">
      <c r="B823" s="114">
        <v>43</v>
      </c>
      <c r="C823" s="114">
        <v>107</v>
      </c>
      <c r="D823" s="114">
        <v>117</v>
      </c>
      <c r="E823" s="154" cm="1">
        <f t="array" ref="E823">IF(ISBLANK(MainData[[#This Row],[EventID]]),0,IFERROR(INDEX(MainData[],MATCH(MainData[[#This Row],[EventID]],IF(MainData[Product]="Date",MainData[EventID],0),0),12),0))</f>
        <v>44597</v>
      </c>
      <c r="F823" s="155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3" s="155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3" s="157" t="s">
        <v>85</v>
      </c>
      <c r="J823" t="s">
        <v>22</v>
      </c>
      <c r="K823" s="2" t="s">
        <v>29</v>
      </c>
      <c r="L823" s="2" t="s">
        <v>65</v>
      </c>
      <c r="M823" s="2" t="s">
        <v>383</v>
      </c>
      <c r="N823" s="2" t="s">
        <v>234</v>
      </c>
      <c r="O823" s="109">
        <v>2</v>
      </c>
      <c r="P823" s="109">
        <v>1.25</v>
      </c>
      <c r="Q823" s="109">
        <v>25</v>
      </c>
    </row>
    <row r="824" spans="2:17" x14ac:dyDescent="0.25">
      <c r="B824" s="114">
        <v>43</v>
      </c>
      <c r="C824" s="114">
        <v>107</v>
      </c>
      <c r="D824" s="114">
        <v>117</v>
      </c>
      <c r="E824" s="154" cm="1">
        <f t="array" ref="E824">IF(ISBLANK(MainData[[#This Row],[EventID]]),0,IFERROR(INDEX(MainData[],MATCH(MainData[[#This Row],[EventID]],IF(MainData[Product]="Date",MainData[EventID],0),0),12),0))</f>
        <v>44597</v>
      </c>
      <c r="F824" s="155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4" s="155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4" s="157" t="s">
        <v>85</v>
      </c>
      <c r="J824" t="s">
        <v>22</v>
      </c>
      <c r="K824" s="2" t="s">
        <v>29</v>
      </c>
      <c r="L824" s="2" t="s">
        <v>25</v>
      </c>
      <c r="M824" s="2" t="s">
        <v>388</v>
      </c>
      <c r="N824" s="2" t="s">
        <v>234</v>
      </c>
      <c r="O824" s="109">
        <v>2</v>
      </c>
      <c r="P824" s="109">
        <v>10</v>
      </c>
      <c r="Q824" s="109">
        <v>100</v>
      </c>
    </row>
    <row r="825" spans="2:17" x14ac:dyDescent="0.25">
      <c r="B825" s="114">
        <v>43</v>
      </c>
      <c r="C825" s="114">
        <v>107</v>
      </c>
      <c r="D825" s="114">
        <v>62</v>
      </c>
      <c r="E825" s="154" cm="1">
        <f t="array" ref="E825">IF(ISBLANK(MainData[[#This Row],[EventID]]),0,IFERROR(INDEX(MainData[],MATCH(MainData[[#This Row],[EventID]],IF(MainData[Product]="Date",MainData[EventID],0),0),12),0))</f>
        <v>44597</v>
      </c>
      <c r="F825" s="155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5" s="155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5" s="20" t="s">
        <v>85</v>
      </c>
      <c r="J825" t="s">
        <v>20</v>
      </c>
      <c r="K825" s="2" t="s">
        <v>116</v>
      </c>
      <c r="L825" s="2" t="s">
        <v>88</v>
      </c>
      <c r="M825" s="2" t="s">
        <v>189</v>
      </c>
      <c r="N825" s="2" t="s">
        <v>233</v>
      </c>
      <c r="O825" s="109">
        <v>1</v>
      </c>
      <c r="P825" s="109"/>
      <c r="Q825" s="109"/>
    </row>
    <row r="826" spans="2:17" x14ac:dyDescent="0.25">
      <c r="B826" s="114">
        <v>43</v>
      </c>
      <c r="C826" s="114">
        <v>107</v>
      </c>
      <c r="D826" s="114">
        <v>62</v>
      </c>
      <c r="E826" s="154" cm="1">
        <f t="array" ref="E826">IF(ISBLANK(MainData[[#This Row],[EventID]]),0,IFERROR(INDEX(MainData[],MATCH(MainData[[#This Row],[EventID]],IF(MainData[Product]="Date",MainData[EventID],0),0),12),0))</f>
        <v>44597</v>
      </c>
      <c r="F826" s="155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6" s="155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6" s="20" t="s">
        <v>85</v>
      </c>
      <c r="J826" t="s">
        <v>20</v>
      </c>
      <c r="K826" s="2" t="s">
        <v>116</v>
      </c>
      <c r="L826" s="2" t="s">
        <v>87</v>
      </c>
      <c r="M826" s="2" t="s">
        <v>188</v>
      </c>
      <c r="N826" s="2" t="s">
        <v>233</v>
      </c>
      <c r="O826" s="109">
        <v>2</v>
      </c>
      <c r="P826" s="109"/>
      <c r="Q826" s="109">
        <v>20</v>
      </c>
    </row>
    <row r="827" spans="2:17" x14ac:dyDescent="0.25">
      <c r="B827" s="114">
        <v>1</v>
      </c>
      <c r="C827" s="114">
        <v>1</v>
      </c>
      <c r="D827" s="114">
        <v>60</v>
      </c>
      <c r="E827" s="154" cm="1">
        <f t="array" ref="E827">IF(ISBLANK(MainData[[#This Row],[EventID]]),0,IFERROR(INDEX(MainData[],MATCH(MainData[[#This Row],[EventID]],IF(MainData[Product]="Date",MainData[EventID],0),0),12),0))</f>
        <v>44597</v>
      </c>
      <c r="F827" s="155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7" s="155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7" s="157" t="s">
        <v>84</v>
      </c>
      <c r="J827" t="s">
        <v>187</v>
      </c>
      <c r="K827" s="2" t="s">
        <v>157</v>
      </c>
      <c r="L827" s="2" t="s">
        <v>81</v>
      </c>
      <c r="M827" s="2">
        <v>1</v>
      </c>
      <c r="N827" s="2"/>
      <c r="O827" s="109"/>
      <c r="P827" s="109"/>
      <c r="Q827" s="109"/>
    </row>
    <row r="828" spans="2:17" x14ac:dyDescent="0.25">
      <c r="B828" s="114">
        <v>1</v>
      </c>
      <c r="C828" s="114">
        <v>1</v>
      </c>
      <c r="D828" s="114">
        <v>60</v>
      </c>
      <c r="E828" s="154" cm="1">
        <f t="array" ref="E828">IF(ISBLANK(MainData[[#This Row],[EventID]]),0,IFERROR(INDEX(MainData[],MATCH(MainData[[#This Row],[EventID]],IF(MainData[Product]="Date",MainData[EventID],0),0),12),0))</f>
        <v>44597</v>
      </c>
      <c r="F828" s="155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8" s="155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8" s="157" t="s">
        <v>84</v>
      </c>
      <c r="J828" t="s">
        <v>187</v>
      </c>
      <c r="K828" s="2" t="s">
        <v>157</v>
      </c>
      <c r="L828" s="2" t="s">
        <v>164</v>
      </c>
      <c r="M828" s="2" t="s">
        <v>402</v>
      </c>
      <c r="N828" s="2"/>
      <c r="O828" s="109"/>
      <c r="P828" s="109"/>
      <c r="Q828" s="109"/>
    </row>
    <row r="829" spans="2:17" x14ac:dyDescent="0.25">
      <c r="B829" s="114">
        <v>1</v>
      </c>
      <c r="C829" s="114">
        <v>1</v>
      </c>
      <c r="D829" s="114">
        <v>60</v>
      </c>
      <c r="E829" s="154" cm="1">
        <f t="array" ref="E829">IF(ISBLANK(MainData[[#This Row],[EventID]]),0,IFERROR(INDEX(MainData[],MATCH(MainData[[#This Row],[EventID]],IF(MainData[Product]="Date",MainData[EventID],0),0),12),0))</f>
        <v>44597</v>
      </c>
      <c r="F829" s="155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9" s="155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9" s="157" t="s">
        <v>84</v>
      </c>
      <c r="J829" t="s">
        <v>187</v>
      </c>
      <c r="K829" s="2" t="s">
        <v>157</v>
      </c>
      <c r="L829" s="2" t="s">
        <v>0</v>
      </c>
      <c r="M829" s="158">
        <v>44597</v>
      </c>
      <c r="N829" s="2"/>
      <c r="O829" s="109"/>
      <c r="P829" s="109"/>
      <c r="Q829" s="109"/>
    </row>
    <row r="830" spans="2:17" x14ac:dyDescent="0.25">
      <c r="B830" s="114">
        <v>1</v>
      </c>
      <c r="C830" s="114">
        <v>1</v>
      </c>
      <c r="D830" s="114">
        <v>60</v>
      </c>
      <c r="E830" s="154" cm="1">
        <f t="array" ref="E830">IF(ISBLANK(MainData[[#This Row],[EventID]]),0,IFERROR(INDEX(MainData[],MATCH(MainData[[#This Row],[EventID]],IF(MainData[Product]="Date",MainData[EventID],0),0),12),0))</f>
        <v>44597</v>
      </c>
      <c r="F830" s="155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0" s="155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0" s="157" t="s">
        <v>84</v>
      </c>
      <c r="J830" t="s">
        <v>187</v>
      </c>
      <c r="K830" s="2" t="s">
        <v>157</v>
      </c>
      <c r="L830" s="2" t="s">
        <v>82</v>
      </c>
      <c r="M830" s="2">
        <v>417768</v>
      </c>
      <c r="N830" s="2"/>
      <c r="O830" s="109"/>
      <c r="P830" s="109"/>
      <c r="Q830" s="109"/>
    </row>
    <row r="831" spans="2:17" x14ac:dyDescent="0.25">
      <c r="B831" s="114">
        <v>1</v>
      </c>
      <c r="C831" s="114">
        <v>1</v>
      </c>
      <c r="D831" s="114">
        <v>60</v>
      </c>
      <c r="E831" s="154" cm="1">
        <f t="array" ref="E831">IF(ISBLANK(MainData[[#This Row],[EventID]]),0,IFERROR(INDEX(MainData[],MATCH(MainData[[#This Row],[EventID]],IF(MainData[Product]="Date",MainData[EventID],0),0),12),0))</f>
        <v>44597</v>
      </c>
      <c r="F831" s="155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1" s="155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1" s="157" t="s">
        <v>84</v>
      </c>
      <c r="J831" t="s">
        <v>187</v>
      </c>
      <c r="K831" s="2" t="s">
        <v>157</v>
      </c>
      <c r="L831" s="2" t="s">
        <v>175</v>
      </c>
      <c r="M831" s="2" t="s">
        <v>455</v>
      </c>
      <c r="N831" s="2"/>
      <c r="O831" s="109"/>
      <c r="P831" s="109"/>
      <c r="Q831" s="109"/>
    </row>
    <row r="832" spans="2:17" x14ac:dyDescent="0.25">
      <c r="B832" s="114">
        <v>1</v>
      </c>
      <c r="C832" s="114">
        <v>1</v>
      </c>
      <c r="D832" s="114">
        <v>60</v>
      </c>
      <c r="E832" s="154" cm="1">
        <f t="array" ref="E832">IF(ISBLANK(MainData[[#This Row],[EventID]]),0,IFERROR(INDEX(MainData[],MATCH(MainData[[#This Row],[EventID]],IF(MainData[Product]="Date",MainData[EventID],0),0),12),0))</f>
        <v>44597</v>
      </c>
      <c r="F832" s="155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2" s="155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2" s="157" t="s">
        <v>84</v>
      </c>
      <c r="J832" t="s">
        <v>187</v>
      </c>
      <c r="K832" s="2" t="s">
        <v>157</v>
      </c>
      <c r="L832" s="2" t="s">
        <v>20</v>
      </c>
      <c r="M832" s="2" t="s">
        <v>358</v>
      </c>
      <c r="N832" s="2"/>
      <c r="O832" s="109"/>
      <c r="P832" s="109"/>
      <c r="Q832" s="109"/>
    </row>
    <row r="833" spans="2:17" x14ac:dyDescent="0.25">
      <c r="B833" s="114">
        <v>1</v>
      </c>
      <c r="C833" s="114">
        <v>1</v>
      </c>
      <c r="D833" s="114">
        <v>60</v>
      </c>
      <c r="E833" s="154" cm="1">
        <f t="array" ref="E833">IF(ISBLANK(MainData[[#This Row],[EventID]]),0,IFERROR(INDEX(MainData[],MATCH(MainData[[#This Row],[EventID]],IF(MainData[Product]="Date",MainData[EventID],0),0),12),0))</f>
        <v>44597</v>
      </c>
      <c r="F833" s="155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3" s="155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3" s="157" t="s">
        <v>84</v>
      </c>
      <c r="J833" t="s">
        <v>187</v>
      </c>
      <c r="K833" s="2" t="s">
        <v>157</v>
      </c>
      <c r="L833" s="2" t="s">
        <v>138</v>
      </c>
      <c r="M833" s="2">
        <v>670</v>
      </c>
      <c r="N833" s="2"/>
      <c r="O833" s="109"/>
      <c r="P833" s="109"/>
      <c r="Q833" s="109"/>
    </row>
    <row r="834" spans="2:17" x14ac:dyDescent="0.25">
      <c r="B834" s="114">
        <v>1</v>
      </c>
      <c r="C834" s="114">
        <v>1</v>
      </c>
      <c r="D834" s="114">
        <v>60</v>
      </c>
      <c r="E834" s="154" cm="1">
        <f t="array" ref="E834">IF(ISBLANK(MainData[[#This Row],[EventID]]),0,IFERROR(INDEX(MainData[],MATCH(MainData[[#This Row],[EventID]],IF(MainData[Product]="Date",MainData[EventID],0),0),12),0))</f>
        <v>44597</v>
      </c>
      <c r="F834" s="155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4" s="155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4" s="157" t="s">
        <v>84</v>
      </c>
      <c r="J834" t="s">
        <v>187</v>
      </c>
      <c r="K834" s="2" t="s">
        <v>157</v>
      </c>
      <c r="L834" s="2" t="s">
        <v>86</v>
      </c>
      <c r="M834" s="2">
        <v>2.5</v>
      </c>
      <c r="N834" s="2"/>
      <c r="O834" s="109"/>
      <c r="P834" s="109"/>
      <c r="Q834" s="109"/>
    </row>
    <row r="835" spans="2:17" x14ac:dyDescent="0.25">
      <c r="B835" s="114">
        <v>1</v>
      </c>
      <c r="C835" s="114">
        <v>1</v>
      </c>
      <c r="D835" s="114">
        <v>60</v>
      </c>
      <c r="E835" s="154" cm="1">
        <f t="array" ref="E835">IF(ISBLANK(MainData[[#This Row],[EventID]]),0,IFERROR(INDEX(MainData[],MATCH(MainData[[#This Row],[EventID]],IF(MainData[Product]="Date",MainData[EventID],0),0),12),0))</f>
        <v>44597</v>
      </c>
      <c r="F835" s="155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5" s="155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5" s="157" t="s">
        <v>84</v>
      </c>
      <c r="J835" t="s">
        <v>187</v>
      </c>
      <c r="K835" s="2" t="s">
        <v>157</v>
      </c>
      <c r="L835" s="2" t="s">
        <v>118</v>
      </c>
      <c r="M835" s="2" t="s">
        <v>463</v>
      </c>
      <c r="N835" s="2"/>
      <c r="O835" s="109"/>
      <c r="P835" s="109"/>
      <c r="Q835" s="109"/>
    </row>
    <row r="836" spans="2:17" x14ac:dyDescent="0.25">
      <c r="B836" s="114">
        <v>1</v>
      </c>
      <c r="C836" s="114">
        <v>1</v>
      </c>
      <c r="D836" s="114">
        <v>60</v>
      </c>
      <c r="E836" s="154" cm="1">
        <f t="array" ref="E836">IF(ISBLANK(MainData[[#This Row],[EventID]]),0,IFERROR(INDEX(MainData[],MATCH(MainData[[#This Row],[EventID]],IF(MainData[Product]="Date",MainData[EventID],0),0),12),0))</f>
        <v>44597</v>
      </c>
      <c r="F836" s="155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6" s="155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6" s="157" t="s">
        <v>84</v>
      </c>
      <c r="J836" t="s">
        <v>187</v>
      </c>
      <c r="K836" s="2" t="s">
        <v>157</v>
      </c>
      <c r="L836" s="2" t="s">
        <v>165</v>
      </c>
      <c r="M836" s="2" t="s">
        <v>401</v>
      </c>
      <c r="N836" s="2"/>
      <c r="O836" s="109"/>
      <c r="P836" s="109"/>
      <c r="Q836" s="109"/>
    </row>
    <row r="837" spans="2:17" x14ac:dyDescent="0.25">
      <c r="B837" s="114">
        <v>1</v>
      </c>
      <c r="C837" s="114">
        <v>1</v>
      </c>
      <c r="D837" s="114">
        <v>60</v>
      </c>
      <c r="E837" s="154" cm="1">
        <f t="array" ref="E837">IF(ISBLANK(MainData[[#This Row],[EventID]]),0,IFERROR(INDEX(MainData[],MATCH(MainData[[#This Row],[EventID]],IF(MainData[Product]="Date",MainData[EventID],0),0),12),0))</f>
        <v>44597</v>
      </c>
      <c r="F837" s="155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7" s="155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7" s="20" t="s">
        <v>85</v>
      </c>
      <c r="J837" t="s">
        <v>20</v>
      </c>
      <c r="K837" s="2" t="s">
        <v>116</v>
      </c>
      <c r="L837" s="2" t="s">
        <v>88</v>
      </c>
      <c r="M837" s="2" t="s">
        <v>189</v>
      </c>
      <c r="N837" s="2" t="s">
        <v>233</v>
      </c>
      <c r="O837" s="109">
        <v>3</v>
      </c>
      <c r="P837" s="109"/>
      <c r="Q837" s="109"/>
    </row>
    <row r="838" spans="2:17" x14ac:dyDescent="0.25">
      <c r="B838" s="114">
        <v>1</v>
      </c>
      <c r="C838" s="114">
        <v>1</v>
      </c>
      <c r="D838" s="114">
        <v>60</v>
      </c>
      <c r="E838" s="154" cm="1">
        <f t="array" ref="E838">IF(ISBLANK(MainData[[#This Row],[EventID]]),0,IFERROR(INDEX(MainData[],MATCH(MainData[[#This Row],[EventID]],IF(MainData[Product]="Date",MainData[EventID],0),0),12),0))</f>
        <v>44597</v>
      </c>
      <c r="F838" s="155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8" s="155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8" s="20" t="s">
        <v>85</v>
      </c>
      <c r="J838" t="s">
        <v>20</v>
      </c>
      <c r="K838" s="2" t="s">
        <v>116</v>
      </c>
      <c r="L838" s="2" t="s">
        <v>87</v>
      </c>
      <c r="M838" s="2" t="s">
        <v>188</v>
      </c>
      <c r="N838" s="2" t="s">
        <v>233</v>
      </c>
      <c r="O838" s="109">
        <v>7</v>
      </c>
      <c r="P838" s="109"/>
      <c r="Q838" s="109">
        <v>700</v>
      </c>
    </row>
    <row r="839" spans="2:17" x14ac:dyDescent="0.25">
      <c r="B839" s="114">
        <v>1</v>
      </c>
      <c r="C839" s="114">
        <v>1</v>
      </c>
      <c r="D839" s="114">
        <v>60</v>
      </c>
      <c r="E839" s="154" cm="1">
        <f t="array" ref="E839">IF(ISBLANK(MainData[[#This Row],[EventID]]),0,IFERROR(INDEX(MainData[],MATCH(MainData[[#This Row],[EventID]],IF(MainData[Product]="Date",MainData[EventID],0),0),12),0))</f>
        <v>44597</v>
      </c>
      <c r="F839" s="155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9" s="155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9" s="157" t="s">
        <v>85</v>
      </c>
      <c r="J839" t="s">
        <v>20</v>
      </c>
      <c r="K839" s="2" t="s">
        <v>29</v>
      </c>
      <c r="L839" s="2" t="s">
        <v>35</v>
      </c>
      <c r="M839" s="2" t="s">
        <v>382</v>
      </c>
      <c r="N839" s="2" t="s">
        <v>234</v>
      </c>
      <c r="O839" s="109">
        <v>7</v>
      </c>
      <c r="P839" s="109">
        <v>370</v>
      </c>
      <c r="Q839" s="109">
        <v>3650</v>
      </c>
    </row>
    <row r="840" spans="2:17" x14ac:dyDescent="0.25">
      <c r="B840" s="114">
        <v>1</v>
      </c>
      <c r="C840" s="114">
        <v>1</v>
      </c>
      <c r="D840" s="114">
        <v>60</v>
      </c>
      <c r="E840" s="154" cm="1">
        <f t="array" ref="E840">IF(ISBLANK(MainData[[#This Row],[EventID]]),0,IFERROR(INDEX(MainData[],MATCH(MainData[[#This Row],[EventID]],IF(MainData[Product]="Date",MainData[EventID],0),0),12),0))</f>
        <v>44597</v>
      </c>
      <c r="F840" s="155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0" s="155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0" s="20" t="s">
        <v>85</v>
      </c>
      <c r="J840" t="s">
        <v>20</v>
      </c>
      <c r="K840" s="2" t="s">
        <v>29</v>
      </c>
      <c r="L840" s="2" t="s">
        <v>36</v>
      </c>
      <c r="M840" s="2" t="s">
        <v>384</v>
      </c>
      <c r="N840" s="2" t="s">
        <v>234</v>
      </c>
      <c r="O840" s="109">
        <v>7</v>
      </c>
      <c r="P840" s="109">
        <v>541.35</v>
      </c>
      <c r="Q840" s="109">
        <v>6894.3</v>
      </c>
    </row>
    <row r="841" spans="2:17" x14ac:dyDescent="0.25">
      <c r="B841" s="114">
        <v>1</v>
      </c>
      <c r="C841" s="114">
        <v>1</v>
      </c>
      <c r="D841" s="114">
        <v>60</v>
      </c>
      <c r="E841" s="154" cm="1">
        <f t="array" ref="E841">IF(ISBLANK(MainData[[#This Row],[EventID]]),0,IFERROR(INDEX(MainData[],MATCH(MainData[[#This Row],[EventID]],IF(MainData[Product]="Date",MainData[EventID],0),0),12),0))</f>
        <v>44597</v>
      </c>
      <c r="F841" s="155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1" s="155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1" s="157" t="s">
        <v>85</v>
      </c>
      <c r="J841" t="s">
        <v>20</v>
      </c>
      <c r="K841" s="2" t="s">
        <v>29</v>
      </c>
      <c r="L841" s="2" t="s">
        <v>65</v>
      </c>
      <c r="M841" s="2" t="s">
        <v>383</v>
      </c>
      <c r="N841" s="2" t="s">
        <v>234</v>
      </c>
      <c r="O841" s="109">
        <v>7</v>
      </c>
      <c r="P841" s="109">
        <v>45</v>
      </c>
      <c r="Q841" s="109">
        <v>880</v>
      </c>
    </row>
    <row r="842" spans="2:17" x14ac:dyDescent="0.25">
      <c r="B842" s="114">
        <v>1</v>
      </c>
      <c r="C842" s="114">
        <v>1</v>
      </c>
      <c r="D842" s="114">
        <v>60</v>
      </c>
      <c r="E842" s="154" cm="1">
        <f t="array" ref="E842">IF(ISBLANK(MainData[[#This Row],[EventID]]),0,IFERROR(INDEX(MainData[],MATCH(MainData[[#This Row],[EventID]],IF(MainData[Product]="Date",MainData[EventID],0),0),12),0))</f>
        <v>44597</v>
      </c>
      <c r="F842" s="155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2" s="155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2" s="157" t="s">
        <v>85</v>
      </c>
      <c r="J842" t="s">
        <v>20</v>
      </c>
      <c r="K842" s="2" t="s">
        <v>29</v>
      </c>
      <c r="L842" s="2" t="s">
        <v>25</v>
      </c>
      <c r="M842" s="2" t="s">
        <v>388</v>
      </c>
      <c r="N842" s="2" t="s">
        <v>234</v>
      </c>
      <c r="O842" s="109">
        <v>7</v>
      </c>
      <c r="P842" s="109">
        <v>525</v>
      </c>
      <c r="Q842" s="109">
        <v>5225</v>
      </c>
    </row>
    <row r="843" spans="2:17" x14ac:dyDescent="0.25">
      <c r="B843" s="114">
        <v>2</v>
      </c>
      <c r="C843" s="114">
        <v>3</v>
      </c>
      <c r="D843" s="114">
        <v>64</v>
      </c>
      <c r="E843" s="154" cm="1">
        <f t="array" ref="E843">IF(ISBLANK(MainData[[#This Row],[EventID]]),0,IFERROR(INDEX(MainData[],MATCH(MainData[[#This Row],[EventID]],IF(MainData[Product]="Date",MainData[EventID],0),0),12),0))</f>
        <v>44598</v>
      </c>
      <c r="F843" s="155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3" s="155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3" s="157" t="s">
        <v>84</v>
      </c>
      <c r="J843" t="s">
        <v>187</v>
      </c>
      <c r="K843" s="2" t="s">
        <v>157</v>
      </c>
      <c r="L843" s="2" t="s">
        <v>81</v>
      </c>
      <c r="M843" s="2">
        <v>1</v>
      </c>
      <c r="N843" s="2"/>
      <c r="O843" s="109"/>
      <c r="P843" s="109"/>
      <c r="Q843" s="109"/>
    </row>
    <row r="844" spans="2:17" x14ac:dyDescent="0.25">
      <c r="B844" s="114">
        <v>2</v>
      </c>
      <c r="C844" s="114">
        <v>3</v>
      </c>
      <c r="D844" s="114">
        <v>118</v>
      </c>
      <c r="E844" s="154" cm="1">
        <f t="array" ref="E844">IF(ISBLANK(MainData[[#This Row],[EventID]]),0,IFERROR(INDEX(MainData[],MATCH(MainData[[#This Row],[EventID]],IF(MainData[Product]="Date",MainData[EventID],0),0),12),0))</f>
        <v>44598</v>
      </c>
      <c r="F844" s="155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4" s="155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4" s="157" t="s">
        <v>84</v>
      </c>
      <c r="J844" t="s">
        <v>187</v>
      </c>
      <c r="K844" s="2" t="s">
        <v>157</v>
      </c>
      <c r="L844" s="2" t="s">
        <v>81</v>
      </c>
      <c r="M844" s="2">
        <v>2</v>
      </c>
      <c r="N844" s="2"/>
      <c r="O844" s="109"/>
      <c r="P844" s="109"/>
      <c r="Q844" s="109"/>
    </row>
    <row r="845" spans="2:17" x14ac:dyDescent="0.25">
      <c r="B845" s="114">
        <v>2</v>
      </c>
      <c r="C845" s="114">
        <v>3</v>
      </c>
      <c r="D845" s="114">
        <v>64</v>
      </c>
      <c r="E845" s="154" cm="1">
        <f t="array" ref="E845">IF(ISBLANK(MainData[[#This Row],[EventID]]),0,IFERROR(INDEX(MainData[],MATCH(MainData[[#This Row],[EventID]],IF(MainData[Product]="Date",MainData[EventID],0),0),12),0))</f>
        <v>44598</v>
      </c>
      <c r="F845" s="155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5" s="155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5" s="157" t="s">
        <v>84</v>
      </c>
      <c r="J845" t="s">
        <v>187</v>
      </c>
      <c r="K845" s="2" t="s">
        <v>157</v>
      </c>
      <c r="L845" s="2" t="s">
        <v>164</v>
      </c>
      <c r="M845" s="2" t="s">
        <v>404</v>
      </c>
      <c r="N845" s="2"/>
      <c r="O845" s="109"/>
      <c r="P845" s="109"/>
      <c r="Q845" s="109"/>
    </row>
    <row r="846" spans="2:17" x14ac:dyDescent="0.25">
      <c r="B846" s="114">
        <v>2</v>
      </c>
      <c r="C846" s="114">
        <v>3</v>
      </c>
      <c r="D846" s="114">
        <v>64</v>
      </c>
      <c r="E846" s="154" cm="1">
        <f t="array" ref="E846">IF(ISBLANK(MainData[[#This Row],[EventID]]),0,IFERROR(INDEX(MainData[],MATCH(MainData[[#This Row],[EventID]],IF(MainData[Product]="Date",MainData[EventID],0),0),12),0))</f>
        <v>44598</v>
      </c>
      <c r="F846" s="155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6" s="155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6" s="157" t="s">
        <v>84</v>
      </c>
      <c r="J846" t="s">
        <v>187</v>
      </c>
      <c r="K846" s="2" t="s">
        <v>157</v>
      </c>
      <c r="L846" s="2" t="s">
        <v>0</v>
      </c>
      <c r="M846" s="158">
        <v>44598</v>
      </c>
      <c r="N846" s="2"/>
      <c r="O846" s="109"/>
      <c r="P846" s="109"/>
      <c r="Q846" s="109"/>
    </row>
    <row r="847" spans="2:17" x14ac:dyDescent="0.25">
      <c r="B847" s="114">
        <v>2</v>
      </c>
      <c r="C847" s="114">
        <v>3</v>
      </c>
      <c r="D847" s="114">
        <v>64</v>
      </c>
      <c r="E847" s="154" cm="1">
        <f t="array" ref="E847">IF(ISBLANK(MainData[[#This Row],[EventID]]),0,IFERROR(INDEX(MainData[],MATCH(MainData[[#This Row],[EventID]],IF(MainData[Product]="Date",MainData[EventID],0),0),12),0))</f>
        <v>44598</v>
      </c>
      <c r="F847" s="155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7" s="155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7" s="157" t="s">
        <v>84</v>
      </c>
      <c r="J847" t="s">
        <v>187</v>
      </c>
      <c r="K847" s="2" t="s">
        <v>157</v>
      </c>
      <c r="L847" s="2" t="s">
        <v>82</v>
      </c>
      <c r="M847" s="2">
        <v>839213</v>
      </c>
      <c r="N847" s="2"/>
      <c r="O847" s="109"/>
      <c r="P847" s="109"/>
      <c r="Q847" s="109"/>
    </row>
    <row r="848" spans="2:17" x14ac:dyDescent="0.25">
      <c r="B848" s="114">
        <v>2</v>
      </c>
      <c r="C848" s="114">
        <v>3</v>
      </c>
      <c r="D848" s="114">
        <v>64</v>
      </c>
      <c r="E848" s="154" cm="1">
        <f t="array" ref="E848">IF(ISBLANK(MainData[[#This Row],[EventID]]),0,IFERROR(INDEX(MainData[],MATCH(MainData[[#This Row],[EventID]],IF(MainData[Product]="Date",MainData[EventID],0),0),12),0))</f>
        <v>44598</v>
      </c>
      <c r="F848" s="155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8" s="155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8" s="157" t="s">
        <v>84</v>
      </c>
      <c r="J848" t="s">
        <v>187</v>
      </c>
      <c r="K848" s="2" t="s">
        <v>157</v>
      </c>
      <c r="L848" s="2" t="s">
        <v>175</v>
      </c>
      <c r="M848" s="2" t="s">
        <v>455</v>
      </c>
      <c r="N848" s="2"/>
      <c r="O848" s="109"/>
      <c r="P848" s="109"/>
      <c r="Q848" s="109"/>
    </row>
    <row r="849" spans="2:17" x14ac:dyDescent="0.25">
      <c r="B849" s="114">
        <v>2</v>
      </c>
      <c r="C849" s="114">
        <v>3</v>
      </c>
      <c r="D849" s="114">
        <v>64</v>
      </c>
      <c r="E849" s="154" cm="1">
        <f t="array" ref="E849">IF(ISBLANK(MainData[[#This Row],[EventID]]),0,IFERROR(INDEX(MainData[],MATCH(MainData[[#This Row],[EventID]],IF(MainData[Product]="Date",MainData[EventID],0),0),12),0))</f>
        <v>44598</v>
      </c>
      <c r="F849" s="155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9" s="155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9" s="157" t="s">
        <v>84</v>
      </c>
      <c r="J849" t="s">
        <v>187</v>
      </c>
      <c r="K849" s="2" t="s">
        <v>157</v>
      </c>
      <c r="L849" s="2" t="s">
        <v>20</v>
      </c>
      <c r="M849" s="2" t="s">
        <v>355</v>
      </c>
      <c r="N849" s="2"/>
      <c r="O849" s="109"/>
      <c r="P849" s="109"/>
      <c r="Q849" s="109"/>
    </row>
    <row r="850" spans="2:17" x14ac:dyDescent="0.25">
      <c r="B850" s="114">
        <v>2</v>
      </c>
      <c r="C850" s="114">
        <v>3</v>
      </c>
      <c r="D850" s="114">
        <v>64</v>
      </c>
      <c r="E850" s="154" cm="1">
        <f t="array" ref="E850">IF(ISBLANK(MainData[[#This Row],[EventID]]),0,IFERROR(INDEX(MainData[],MATCH(MainData[[#This Row],[EventID]],IF(MainData[Product]="Date",MainData[EventID],0),0),12),0))</f>
        <v>44598</v>
      </c>
      <c r="F850" s="155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0" s="155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0" s="157" t="s">
        <v>84</v>
      </c>
      <c r="J850" t="s">
        <v>187</v>
      </c>
      <c r="K850" s="2" t="s">
        <v>157</v>
      </c>
      <c r="L850" s="2" t="s">
        <v>138</v>
      </c>
      <c r="M850" s="2">
        <v>50</v>
      </c>
      <c r="N850" s="2"/>
      <c r="O850" s="109"/>
      <c r="P850" s="109"/>
      <c r="Q850" s="109"/>
    </row>
    <row r="851" spans="2:17" x14ac:dyDescent="0.25">
      <c r="B851" s="114">
        <v>2</v>
      </c>
      <c r="C851" s="114">
        <v>3</v>
      </c>
      <c r="D851" s="114">
        <v>64</v>
      </c>
      <c r="E851" s="154" cm="1">
        <f t="array" ref="E851">IF(ISBLANK(MainData[[#This Row],[EventID]]),0,IFERROR(INDEX(MainData[],MATCH(MainData[[#This Row],[EventID]],IF(MainData[Product]="Date",MainData[EventID],0),0),12),0))</f>
        <v>44598</v>
      </c>
      <c r="F851" s="155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1" s="155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1" s="157" t="s">
        <v>84</v>
      </c>
      <c r="J851" t="s">
        <v>187</v>
      </c>
      <c r="K851" s="2" t="s">
        <v>157</v>
      </c>
      <c r="L851" s="2" t="s">
        <v>86</v>
      </c>
      <c r="M851" s="2">
        <v>2</v>
      </c>
      <c r="N851" s="2"/>
      <c r="O851" s="109"/>
      <c r="P851" s="109"/>
      <c r="Q851" s="109"/>
    </row>
    <row r="852" spans="2:17" x14ac:dyDescent="0.25">
      <c r="B852" s="114">
        <v>2</v>
      </c>
      <c r="C852" s="114">
        <v>3</v>
      </c>
      <c r="D852" s="114">
        <v>64</v>
      </c>
      <c r="E852" s="154" cm="1">
        <f t="array" ref="E852">IF(ISBLANK(MainData[[#This Row],[EventID]]),0,IFERROR(INDEX(MainData[],MATCH(MainData[[#This Row],[EventID]],IF(MainData[Product]="Date",MainData[EventID],0),0),12),0))</f>
        <v>44598</v>
      </c>
      <c r="F852" s="155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2" s="155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2" s="157" t="s">
        <v>84</v>
      </c>
      <c r="J852" t="s">
        <v>187</v>
      </c>
      <c r="K852" s="2" t="s">
        <v>157</v>
      </c>
      <c r="L852" s="2" t="s">
        <v>118</v>
      </c>
      <c r="M852" s="2" t="s">
        <v>458</v>
      </c>
      <c r="N852" s="2"/>
      <c r="O852" s="109"/>
      <c r="P852" s="109"/>
      <c r="Q852" s="109"/>
    </row>
    <row r="853" spans="2:17" x14ac:dyDescent="0.25">
      <c r="B853" s="114">
        <v>2</v>
      </c>
      <c r="C853" s="114">
        <v>3</v>
      </c>
      <c r="D853" s="114">
        <v>64</v>
      </c>
      <c r="E853" s="154" cm="1">
        <f t="array" ref="E853">IF(ISBLANK(MainData[[#This Row],[EventID]]),0,IFERROR(INDEX(MainData[],MATCH(MainData[[#This Row],[EventID]],IF(MainData[Product]="Date",MainData[EventID],0),0),12),0))</f>
        <v>44598</v>
      </c>
      <c r="F853" s="155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3" s="155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3" s="157" t="s">
        <v>84</v>
      </c>
      <c r="J853" t="s">
        <v>187</v>
      </c>
      <c r="K853" s="2" t="s">
        <v>157</v>
      </c>
      <c r="L853" s="2" t="s">
        <v>165</v>
      </c>
      <c r="M853" s="2" t="s">
        <v>403</v>
      </c>
      <c r="N853" s="2"/>
      <c r="O853" s="109"/>
      <c r="P853" s="109"/>
      <c r="Q853" s="109"/>
    </row>
    <row r="854" spans="2:17" x14ac:dyDescent="0.25">
      <c r="B854" s="114">
        <v>2</v>
      </c>
      <c r="C854" s="114">
        <v>3</v>
      </c>
      <c r="D854" s="114">
        <v>64</v>
      </c>
      <c r="E854" s="154" cm="1">
        <f t="array" ref="E854">IF(ISBLANK(MainData[[#This Row],[EventID]]),0,IFERROR(INDEX(MainData[],MATCH(MainData[[#This Row],[EventID]],IF(MainData[Product]="Date",MainData[EventID],0),0),12),0))</f>
        <v>44598</v>
      </c>
      <c r="F854" s="155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4" s="155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4" s="157" t="s">
        <v>84</v>
      </c>
      <c r="J854" t="s">
        <v>187</v>
      </c>
      <c r="K854" s="2" t="s">
        <v>157</v>
      </c>
      <c r="L854" s="2" t="s">
        <v>232</v>
      </c>
      <c r="M854" s="2" t="s">
        <v>85</v>
      </c>
      <c r="N854" s="2"/>
      <c r="O854" s="109"/>
      <c r="P854" s="109"/>
      <c r="Q854" s="109"/>
    </row>
    <row r="855" spans="2:17" x14ac:dyDescent="0.25">
      <c r="B855" s="114">
        <v>2</v>
      </c>
      <c r="C855" s="114">
        <v>3</v>
      </c>
      <c r="D855" s="114">
        <v>118</v>
      </c>
      <c r="E855" s="154" cm="1">
        <f t="array" ref="E855">IF(ISBLANK(MainData[[#This Row],[EventID]]),0,IFERROR(INDEX(MainData[],MATCH(MainData[[#This Row],[EventID]],IF(MainData[Product]="Date",MainData[EventID],0),0),12),0))</f>
        <v>44598</v>
      </c>
      <c r="F855" s="155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5" s="155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5" s="157" t="s">
        <v>85</v>
      </c>
      <c r="J855" t="s">
        <v>22</v>
      </c>
      <c r="K855" s="2" t="s">
        <v>29</v>
      </c>
      <c r="L855" s="2" t="s">
        <v>35</v>
      </c>
      <c r="M855" s="2" t="s">
        <v>382</v>
      </c>
      <c r="N855" s="2" t="s">
        <v>234</v>
      </c>
      <c r="O855" s="109">
        <v>1</v>
      </c>
      <c r="P855" s="109">
        <v>3</v>
      </c>
      <c r="Q855" s="109">
        <v>30.3</v>
      </c>
    </row>
    <row r="856" spans="2:17" x14ac:dyDescent="0.25">
      <c r="B856" s="114">
        <v>2</v>
      </c>
      <c r="C856" s="114">
        <v>3</v>
      </c>
      <c r="D856" s="114">
        <v>118</v>
      </c>
      <c r="E856" s="154" cm="1">
        <f t="array" ref="E856">IF(ISBLANK(MainData[[#This Row],[EventID]]),0,IFERROR(INDEX(MainData[],MATCH(MainData[[#This Row],[EventID]],IF(MainData[Product]="Date",MainData[EventID],0),0),12),0))</f>
        <v>44598</v>
      </c>
      <c r="F856" s="155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6" s="155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6" s="20" t="s">
        <v>85</v>
      </c>
      <c r="J856" t="s">
        <v>22</v>
      </c>
      <c r="K856" s="2" t="s">
        <v>29</v>
      </c>
      <c r="L856" s="2" t="s">
        <v>36</v>
      </c>
      <c r="M856" s="2" t="s">
        <v>387</v>
      </c>
      <c r="N856" s="2" t="s">
        <v>234</v>
      </c>
      <c r="O856" s="109">
        <v>1</v>
      </c>
      <c r="P856" s="109">
        <v>5.05</v>
      </c>
      <c r="Q856" s="109">
        <v>28.09</v>
      </c>
    </row>
    <row r="857" spans="2:17" x14ac:dyDescent="0.25">
      <c r="B857" s="114">
        <v>2</v>
      </c>
      <c r="C857" s="114">
        <v>3</v>
      </c>
      <c r="D857" s="114">
        <v>118</v>
      </c>
      <c r="E857" s="154" cm="1">
        <f t="array" ref="E857">IF(ISBLANK(MainData[[#This Row],[EventID]]),0,IFERROR(INDEX(MainData[],MATCH(MainData[[#This Row],[EventID]],IF(MainData[Product]="Date",MainData[EventID],0),0),12),0))</f>
        <v>44598</v>
      </c>
      <c r="F857" s="155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7" s="155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7" s="157" t="s">
        <v>85</v>
      </c>
      <c r="J857" t="s">
        <v>22</v>
      </c>
      <c r="K857" s="2" t="s">
        <v>29</v>
      </c>
      <c r="L857" s="2" t="s">
        <v>65</v>
      </c>
      <c r="M857" s="2" t="s">
        <v>383</v>
      </c>
      <c r="N857" s="2" t="s">
        <v>234</v>
      </c>
      <c r="O857" s="109">
        <v>1</v>
      </c>
      <c r="P857" s="109">
        <v>2.1</v>
      </c>
      <c r="Q857" s="109">
        <v>20.3</v>
      </c>
    </row>
    <row r="858" spans="2:17" x14ac:dyDescent="0.25">
      <c r="B858" s="114">
        <v>2</v>
      </c>
      <c r="C858" s="114">
        <v>3</v>
      </c>
      <c r="D858" s="114">
        <v>118</v>
      </c>
      <c r="E858" s="154" cm="1">
        <f t="array" ref="E858">IF(ISBLANK(MainData[[#This Row],[EventID]]),0,IFERROR(INDEX(MainData[],MATCH(MainData[[#This Row],[EventID]],IF(MainData[Product]="Date",MainData[EventID],0),0),12),0))</f>
        <v>44598</v>
      </c>
      <c r="F858" s="155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8" s="155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8" s="157" t="s">
        <v>85</v>
      </c>
      <c r="J858" t="s">
        <v>22</v>
      </c>
      <c r="K858" s="2" t="s">
        <v>29</v>
      </c>
      <c r="L858" s="2" t="s">
        <v>25</v>
      </c>
      <c r="M858" s="2" t="s">
        <v>388</v>
      </c>
      <c r="N858" s="2" t="s">
        <v>234</v>
      </c>
      <c r="O858" s="109">
        <v>1</v>
      </c>
      <c r="P858" s="109">
        <v>2.5</v>
      </c>
      <c r="Q858" s="109">
        <v>24.15</v>
      </c>
    </row>
    <row r="859" spans="2:17" x14ac:dyDescent="0.25">
      <c r="B859" s="114">
        <v>2</v>
      </c>
      <c r="C859" s="114">
        <v>3</v>
      </c>
      <c r="D859" s="114">
        <v>64</v>
      </c>
      <c r="E859" s="154" cm="1">
        <f t="array" ref="E859">IF(ISBLANK(MainData[[#This Row],[EventID]]),0,IFERROR(INDEX(MainData[],MATCH(MainData[[#This Row],[EventID]],IF(MainData[Product]="Date",MainData[EventID],0),0),12),0))</f>
        <v>44598</v>
      </c>
      <c r="F859" s="155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9" s="155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9" s="20" t="s">
        <v>85</v>
      </c>
      <c r="J859" t="s">
        <v>20</v>
      </c>
      <c r="K859" s="2" t="s">
        <v>116</v>
      </c>
      <c r="L859" s="2" t="s">
        <v>88</v>
      </c>
      <c r="M859" s="2" t="s">
        <v>189</v>
      </c>
      <c r="N859" s="2" t="s">
        <v>233</v>
      </c>
      <c r="O859" s="109">
        <v>1</v>
      </c>
      <c r="P859" s="109"/>
      <c r="Q859" s="109"/>
    </row>
    <row r="860" spans="2:17" x14ac:dyDescent="0.25">
      <c r="B860" s="114">
        <v>2</v>
      </c>
      <c r="C860" s="114">
        <v>3</v>
      </c>
      <c r="D860" s="114">
        <v>64</v>
      </c>
      <c r="E860" s="154" cm="1">
        <f t="array" ref="E860">IF(ISBLANK(MainData[[#This Row],[EventID]]),0,IFERROR(INDEX(MainData[],MATCH(MainData[[#This Row],[EventID]],IF(MainData[Product]="Date",MainData[EventID],0),0),12),0))</f>
        <v>44598</v>
      </c>
      <c r="F860" s="155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60" s="155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60" s="20" t="s">
        <v>85</v>
      </c>
      <c r="J860" t="s">
        <v>20</v>
      </c>
      <c r="K860" s="2" t="s">
        <v>116</v>
      </c>
      <c r="L860" s="2" t="s">
        <v>87</v>
      </c>
      <c r="M860" s="2" t="s">
        <v>188</v>
      </c>
      <c r="N860" s="2" t="s">
        <v>233</v>
      </c>
      <c r="O860" s="109">
        <v>1</v>
      </c>
      <c r="P860" s="109"/>
      <c r="Q860" s="109">
        <v>100</v>
      </c>
    </row>
    <row r="861" spans="2:17" x14ac:dyDescent="0.25">
      <c r="B861" s="114">
        <v>21</v>
      </c>
      <c r="C861" s="114">
        <v>49</v>
      </c>
      <c r="D861" s="114">
        <v>65</v>
      </c>
      <c r="E861" s="154" cm="1">
        <f t="array" ref="E861">IF(ISBLANK(MainData[[#This Row],[EventID]]),0,IFERROR(INDEX(MainData[],MATCH(MainData[[#This Row],[EventID]],IF(MainData[Product]="Date",MainData[EventID],0),0),12),0))</f>
        <v>44598</v>
      </c>
      <c r="F861" s="155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1" s="155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1" s="157" t="s">
        <v>84</v>
      </c>
      <c r="J861" t="s">
        <v>187</v>
      </c>
      <c r="K861" s="2" t="s">
        <v>157</v>
      </c>
      <c r="L861" s="2" t="s">
        <v>81</v>
      </c>
      <c r="M861" s="2">
        <v>1</v>
      </c>
      <c r="N861" s="2"/>
      <c r="O861" s="109"/>
      <c r="P861" s="109"/>
      <c r="Q861" s="109"/>
    </row>
    <row r="862" spans="2:17" x14ac:dyDescent="0.25">
      <c r="B862" s="114">
        <v>21</v>
      </c>
      <c r="C862" s="114">
        <v>49</v>
      </c>
      <c r="D862" s="114">
        <v>65</v>
      </c>
      <c r="E862" s="154" cm="1">
        <f t="array" ref="E862">IF(ISBLANK(MainData[[#This Row],[EventID]]),0,IFERROR(INDEX(MainData[],MATCH(MainData[[#This Row],[EventID]],IF(MainData[Product]="Date",MainData[EventID],0),0),12),0))</f>
        <v>44598</v>
      </c>
      <c r="F862" s="155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2" s="155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2" s="157" t="s">
        <v>84</v>
      </c>
      <c r="J862" t="s">
        <v>187</v>
      </c>
      <c r="K862" s="2" t="s">
        <v>157</v>
      </c>
      <c r="L862" s="2" t="s">
        <v>164</v>
      </c>
      <c r="M862" s="2" t="s">
        <v>426</v>
      </c>
      <c r="N862" s="2"/>
      <c r="O862" s="109"/>
      <c r="P862" s="109"/>
      <c r="Q862" s="109"/>
    </row>
    <row r="863" spans="2:17" x14ac:dyDescent="0.25">
      <c r="B863" s="114">
        <v>21</v>
      </c>
      <c r="C863" s="114">
        <v>49</v>
      </c>
      <c r="D863" s="114">
        <v>65</v>
      </c>
      <c r="E863" s="154" cm="1">
        <f t="array" ref="E863">IF(ISBLANK(MainData[[#This Row],[EventID]]),0,IFERROR(INDEX(MainData[],MATCH(MainData[[#This Row],[EventID]],IF(MainData[Product]="Date",MainData[EventID],0),0),12),0))</f>
        <v>44598</v>
      </c>
      <c r="F863" s="155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3" s="155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3" s="157" t="s">
        <v>84</v>
      </c>
      <c r="J863" t="s">
        <v>187</v>
      </c>
      <c r="K863" s="2" t="s">
        <v>157</v>
      </c>
      <c r="L863" s="2" t="s">
        <v>0</v>
      </c>
      <c r="M863" s="158">
        <v>44598</v>
      </c>
      <c r="N863" s="2"/>
      <c r="O863" s="109"/>
      <c r="P863" s="109"/>
      <c r="Q863" s="109"/>
    </row>
    <row r="864" spans="2:17" x14ac:dyDescent="0.25">
      <c r="B864" s="114">
        <v>21</v>
      </c>
      <c r="C864" s="114">
        <v>49</v>
      </c>
      <c r="D864" s="114">
        <v>65</v>
      </c>
      <c r="E864" s="154" cm="1">
        <f t="array" ref="E864">IF(ISBLANK(MainData[[#This Row],[EventID]]),0,IFERROR(INDEX(MainData[],MATCH(MainData[[#This Row],[EventID]],IF(MainData[Product]="Date",MainData[EventID],0),0),12),0))</f>
        <v>44598</v>
      </c>
      <c r="F864" s="155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4" s="155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4" s="157" t="s">
        <v>84</v>
      </c>
      <c r="J864" t="s">
        <v>187</v>
      </c>
      <c r="K864" s="2" t="s">
        <v>157</v>
      </c>
      <c r="L864" s="2" t="s">
        <v>82</v>
      </c>
      <c r="M864" s="2">
        <v>711214</v>
      </c>
      <c r="N864" s="2"/>
      <c r="O864" s="109"/>
      <c r="P864" s="109"/>
      <c r="Q864" s="109"/>
    </row>
    <row r="865" spans="2:17" x14ac:dyDescent="0.25">
      <c r="B865" s="114">
        <v>21</v>
      </c>
      <c r="C865" s="114">
        <v>49</v>
      </c>
      <c r="D865" s="114">
        <v>65</v>
      </c>
      <c r="E865" s="154" cm="1">
        <f t="array" ref="E865">IF(ISBLANK(MainData[[#This Row],[EventID]]),0,IFERROR(INDEX(MainData[],MATCH(MainData[[#This Row],[EventID]],IF(MainData[Product]="Date",MainData[EventID],0),0),12),0))</f>
        <v>44598</v>
      </c>
      <c r="F865" s="155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5" s="155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5" s="157" t="s">
        <v>84</v>
      </c>
      <c r="J865" t="s">
        <v>187</v>
      </c>
      <c r="K865" s="2" t="s">
        <v>157</v>
      </c>
      <c r="L865" s="2" t="s">
        <v>175</v>
      </c>
      <c r="M865" s="2" t="s">
        <v>455</v>
      </c>
      <c r="N865" s="2"/>
      <c r="O865" s="109"/>
      <c r="P865" s="109"/>
      <c r="Q865" s="109"/>
    </row>
    <row r="866" spans="2:17" x14ac:dyDescent="0.25">
      <c r="B866" s="114">
        <v>21</v>
      </c>
      <c r="C866" s="114">
        <v>49</v>
      </c>
      <c r="D866" s="114">
        <v>65</v>
      </c>
      <c r="E866" s="154" cm="1">
        <f t="array" ref="E866">IF(ISBLANK(MainData[[#This Row],[EventID]]),0,IFERROR(INDEX(MainData[],MATCH(MainData[[#This Row],[EventID]],IF(MainData[Product]="Date",MainData[EventID],0),0),12),0))</f>
        <v>44598</v>
      </c>
      <c r="F866" s="155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6" s="155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6" s="157" t="s">
        <v>84</v>
      </c>
      <c r="J866" t="s">
        <v>187</v>
      </c>
      <c r="K866" s="2" t="s">
        <v>157</v>
      </c>
      <c r="L866" s="2" t="s">
        <v>20</v>
      </c>
      <c r="M866" s="2" t="s">
        <v>396</v>
      </c>
      <c r="N866" s="2"/>
      <c r="O866" s="109"/>
      <c r="P866" s="109"/>
      <c r="Q866" s="109"/>
    </row>
    <row r="867" spans="2:17" x14ac:dyDescent="0.25">
      <c r="B867" s="114">
        <v>21</v>
      </c>
      <c r="C867" s="114">
        <v>49</v>
      </c>
      <c r="D867" s="114">
        <v>65</v>
      </c>
      <c r="E867" s="154" cm="1">
        <f t="array" ref="E867">IF(ISBLANK(MainData[[#This Row],[EventID]]),0,IFERROR(INDEX(MainData[],MATCH(MainData[[#This Row],[EventID]],IF(MainData[Product]="Date",MainData[EventID],0),0),12),0))</f>
        <v>44598</v>
      </c>
      <c r="F867" s="155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7" s="155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7" s="157" t="s">
        <v>84</v>
      </c>
      <c r="J867" t="s">
        <v>187</v>
      </c>
      <c r="K867" s="2" t="s">
        <v>157</v>
      </c>
      <c r="L867" s="2" t="s">
        <v>138</v>
      </c>
      <c r="M867" s="2">
        <v>45</v>
      </c>
      <c r="N867" s="2"/>
      <c r="O867" s="109"/>
      <c r="P867" s="109"/>
      <c r="Q867" s="109"/>
    </row>
    <row r="868" spans="2:17" x14ac:dyDescent="0.25">
      <c r="B868" s="114">
        <v>21</v>
      </c>
      <c r="C868" s="114">
        <v>49</v>
      </c>
      <c r="D868" s="114">
        <v>65</v>
      </c>
      <c r="E868" s="154" cm="1">
        <f t="array" ref="E868">IF(ISBLANK(MainData[[#This Row],[EventID]]),0,IFERROR(INDEX(MainData[],MATCH(MainData[[#This Row],[EventID]],IF(MainData[Product]="Date",MainData[EventID],0),0),12),0))</f>
        <v>44598</v>
      </c>
      <c r="F868" s="155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8" s="155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8" s="157" t="s">
        <v>84</v>
      </c>
      <c r="J868" t="s">
        <v>187</v>
      </c>
      <c r="K868" s="2" t="s">
        <v>157</v>
      </c>
      <c r="L868" s="2" t="s">
        <v>86</v>
      </c>
      <c r="M868" s="2">
        <v>2</v>
      </c>
      <c r="N868" s="2"/>
      <c r="O868" s="109"/>
      <c r="P868" s="109"/>
      <c r="Q868" s="109"/>
    </row>
    <row r="869" spans="2:17" x14ac:dyDescent="0.25">
      <c r="B869" s="114">
        <v>21</v>
      </c>
      <c r="C869" s="114">
        <v>49</v>
      </c>
      <c r="D869" s="114">
        <v>65</v>
      </c>
      <c r="E869" s="154" cm="1">
        <f t="array" ref="E869">IF(ISBLANK(MainData[[#This Row],[EventID]]),0,IFERROR(INDEX(MainData[],MATCH(MainData[[#This Row],[EventID]],IF(MainData[Product]="Date",MainData[EventID],0),0),12),0))</f>
        <v>44598</v>
      </c>
      <c r="F869" s="155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9" s="155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9" s="157" t="s">
        <v>84</v>
      </c>
      <c r="J869" t="s">
        <v>187</v>
      </c>
      <c r="K869" s="2" t="s">
        <v>157</v>
      </c>
      <c r="L869" s="2" t="s">
        <v>118</v>
      </c>
      <c r="M869" s="2" t="s">
        <v>468</v>
      </c>
      <c r="N869" s="2"/>
      <c r="O869" s="109"/>
      <c r="P869" s="109"/>
      <c r="Q869" s="109"/>
    </row>
    <row r="870" spans="2:17" x14ac:dyDescent="0.25">
      <c r="B870" s="114">
        <v>21</v>
      </c>
      <c r="C870" s="114">
        <v>49</v>
      </c>
      <c r="D870" s="114">
        <v>65</v>
      </c>
      <c r="E870" s="154" cm="1">
        <f t="array" ref="E870">IF(ISBLANK(MainData[[#This Row],[EventID]]),0,IFERROR(INDEX(MainData[],MATCH(MainData[[#This Row],[EventID]],IF(MainData[Product]="Date",MainData[EventID],0),0),12),0))</f>
        <v>44598</v>
      </c>
      <c r="F870" s="155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0" s="155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0" s="157" t="s">
        <v>84</v>
      </c>
      <c r="J870" t="s">
        <v>187</v>
      </c>
      <c r="K870" s="2" t="s">
        <v>157</v>
      </c>
      <c r="L870" s="2" t="s">
        <v>165</v>
      </c>
      <c r="M870" s="2" t="s">
        <v>409</v>
      </c>
      <c r="N870" s="2"/>
      <c r="O870" s="109"/>
      <c r="P870" s="109"/>
      <c r="Q870" s="109"/>
    </row>
    <row r="871" spans="2:17" x14ac:dyDescent="0.25">
      <c r="B871" s="114">
        <v>21</v>
      </c>
      <c r="C871" s="114">
        <v>49</v>
      </c>
      <c r="D871" s="114">
        <v>65</v>
      </c>
      <c r="E871" s="154" cm="1">
        <f t="array" ref="E871">IF(ISBLANK(MainData[[#This Row],[EventID]]),0,IFERROR(INDEX(MainData[],MATCH(MainData[[#This Row],[EventID]],IF(MainData[Product]="Date",MainData[EventID],0),0),12),0))</f>
        <v>44598</v>
      </c>
      <c r="F871" s="155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1" s="155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1" s="20" t="s">
        <v>85</v>
      </c>
      <c r="J871" t="s">
        <v>21</v>
      </c>
      <c r="K871" s="2" t="s">
        <v>116</v>
      </c>
      <c r="L871" s="2" t="s">
        <v>88</v>
      </c>
      <c r="M871" s="2" t="s">
        <v>189</v>
      </c>
      <c r="N871" s="2" t="s">
        <v>233</v>
      </c>
      <c r="O871" s="109">
        <v>1</v>
      </c>
      <c r="P871" s="109"/>
      <c r="Q871" s="109"/>
    </row>
    <row r="872" spans="2:17" x14ac:dyDescent="0.25">
      <c r="B872" s="114">
        <v>21</v>
      </c>
      <c r="C872" s="114">
        <v>49</v>
      </c>
      <c r="D872" s="114">
        <v>65</v>
      </c>
      <c r="E872" s="154" cm="1">
        <f t="array" ref="E872">IF(ISBLANK(MainData[[#This Row],[EventID]]),0,IFERROR(INDEX(MainData[],MATCH(MainData[[#This Row],[EventID]],IF(MainData[Product]="Date",MainData[EventID],0),0),12),0))</f>
        <v>44598</v>
      </c>
      <c r="F872" s="155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2" s="155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2" s="20" t="s">
        <v>85</v>
      </c>
      <c r="J872" t="s">
        <v>21</v>
      </c>
      <c r="K872" s="2" t="s">
        <v>116</v>
      </c>
      <c r="L872" s="2" t="s">
        <v>87</v>
      </c>
      <c r="M872" s="2" t="s">
        <v>188</v>
      </c>
      <c r="N872" s="2" t="s">
        <v>233</v>
      </c>
      <c r="O872" s="109">
        <v>1</v>
      </c>
      <c r="P872" s="109"/>
      <c r="Q872" s="109"/>
    </row>
    <row r="873" spans="2:17" x14ac:dyDescent="0.25">
      <c r="B873" s="114">
        <v>21</v>
      </c>
      <c r="C873" s="114">
        <v>49</v>
      </c>
      <c r="D873" s="114">
        <v>65</v>
      </c>
      <c r="E873" s="154" cm="1">
        <f t="array" ref="E873">IF(ISBLANK(MainData[[#This Row],[EventID]]),0,IFERROR(INDEX(MainData[],MATCH(MainData[[#This Row],[EventID]],IF(MainData[Product]="Date",MainData[EventID],0),0),12),0))</f>
        <v>44598</v>
      </c>
      <c r="F873" s="155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3" s="155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3" s="157" t="s">
        <v>85</v>
      </c>
      <c r="J873" t="s">
        <v>21</v>
      </c>
      <c r="K873" s="2" t="s">
        <v>29</v>
      </c>
      <c r="L873" s="2" t="s">
        <v>35</v>
      </c>
      <c r="M873" s="2" t="s">
        <v>382</v>
      </c>
      <c r="N873" s="2" t="s">
        <v>234</v>
      </c>
      <c r="O873" s="109">
        <v>1</v>
      </c>
      <c r="P873" s="109">
        <v>15.5</v>
      </c>
      <c r="Q873" s="109">
        <v>150</v>
      </c>
    </row>
    <row r="874" spans="2:17" x14ac:dyDescent="0.25">
      <c r="B874" s="114">
        <v>21</v>
      </c>
      <c r="C874" s="114">
        <v>49</v>
      </c>
      <c r="D874" s="114">
        <v>65</v>
      </c>
      <c r="E874" s="154" cm="1">
        <f t="array" ref="E874">IF(ISBLANK(MainData[[#This Row],[EventID]]),0,IFERROR(INDEX(MainData[],MATCH(MainData[[#This Row],[EventID]],IF(MainData[Product]="Date",MainData[EventID],0),0),12),0))</f>
        <v>44598</v>
      </c>
      <c r="F874" s="155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4" s="155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4" s="157" t="s">
        <v>85</v>
      </c>
      <c r="J874" t="s">
        <v>21</v>
      </c>
      <c r="K874" s="2" t="s">
        <v>29</v>
      </c>
      <c r="L874" s="2" t="s">
        <v>65</v>
      </c>
      <c r="M874" s="2" t="s">
        <v>383</v>
      </c>
      <c r="N874" s="2" t="s">
        <v>234</v>
      </c>
      <c r="O874" s="109">
        <v>1</v>
      </c>
      <c r="P874" s="109">
        <v>2.25</v>
      </c>
      <c r="Q874" s="109">
        <v>55</v>
      </c>
    </row>
    <row r="875" spans="2:17" x14ac:dyDescent="0.25">
      <c r="B875" s="114">
        <v>21</v>
      </c>
      <c r="C875" s="114">
        <v>49</v>
      </c>
      <c r="D875" s="114">
        <v>65</v>
      </c>
      <c r="E875" s="154" cm="1">
        <f t="array" ref="E875">IF(ISBLANK(MainData[[#This Row],[EventID]]),0,IFERROR(INDEX(MainData[],MATCH(MainData[[#This Row],[EventID]],IF(MainData[Product]="Date",MainData[EventID],0),0),12),0))</f>
        <v>44598</v>
      </c>
      <c r="F875" s="155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5" s="155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5" s="20" t="s">
        <v>85</v>
      </c>
      <c r="J875" t="s">
        <v>21</v>
      </c>
      <c r="K875" s="2" t="s">
        <v>29</v>
      </c>
      <c r="L875" s="2" t="s">
        <v>25</v>
      </c>
      <c r="M875" s="2" t="s">
        <v>12</v>
      </c>
      <c r="N875" s="2" t="s">
        <v>234</v>
      </c>
      <c r="O875" s="109">
        <v>1</v>
      </c>
      <c r="P875" s="109">
        <v>152.18</v>
      </c>
      <c r="Q875" s="109">
        <v>604</v>
      </c>
    </row>
    <row r="876" spans="2:17" x14ac:dyDescent="0.25">
      <c r="B876" s="114">
        <v>43</v>
      </c>
      <c r="C876" s="114">
        <v>104</v>
      </c>
      <c r="D876" s="114">
        <v>66</v>
      </c>
      <c r="E876" s="154" cm="1">
        <f t="array" ref="E876">IF(ISBLANK(MainData[[#This Row],[EventID]]),0,IFERROR(INDEX(MainData[],MATCH(MainData[[#This Row],[EventID]],IF(MainData[Product]="Date",MainData[EventID],0),0),12),0))</f>
        <v>44598</v>
      </c>
      <c r="F876" s="155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6" s="155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6" s="157" t="s">
        <v>84</v>
      </c>
      <c r="J876" t="s">
        <v>187</v>
      </c>
      <c r="K876" s="2" t="s">
        <v>157</v>
      </c>
      <c r="L876" s="2" t="s">
        <v>81</v>
      </c>
      <c r="M876" s="2">
        <v>1</v>
      </c>
      <c r="N876" s="2"/>
      <c r="O876" s="109"/>
      <c r="P876" s="109"/>
      <c r="Q876" s="109"/>
    </row>
    <row r="877" spans="2:17" x14ac:dyDescent="0.25">
      <c r="B877" s="114">
        <v>43</v>
      </c>
      <c r="C877" s="114">
        <v>104</v>
      </c>
      <c r="D877" s="114">
        <v>119</v>
      </c>
      <c r="E877" s="154" cm="1">
        <f t="array" ref="E877">IF(ISBLANK(MainData[[#This Row],[EventID]]),0,IFERROR(INDEX(MainData[],MATCH(MainData[[#This Row],[EventID]],IF(MainData[Product]="Date",MainData[EventID],0),0),12),0))</f>
        <v>44598</v>
      </c>
      <c r="F877" s="155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7" s="155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7" s="2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7" s="157" t="s">
        <v>84</v>
      </c>
      <c r="J877" t="s">
        <v>187</v>
      </c>
      <c r="K877" s="2" t="s">
        <v>157</v>
      </c>
      <c r="L877" s="2" t="s">
        <v>81</v>
      </c>
      <c r="M877" s="2">
        <v>2</v>
      </c>
      <c r="N877" s="2"/>
      <c r="O877" s="109"/>
      <c r="P877" s="109"/>
      <c r="Q877" s="109"/>
    </row>
    <row r="878" spans="2:17" x14ac:dyDescent="0.25">
      <c r="B878" s="114">
        <v>43</v>
      </c>
      <c r="C878" s="114">
        <v>104</v>
      </c>
      <c r="D878" s="114">
        <v>66</v>
      </c>
      <c r="E878" s="154" cm="1">
        <f t="array" ref="E878">IF(ISBLANK(MainData[[#This Row],[EventID]]),0,IFERROR(INDEX(MainData[],MATCH(MainData[[#This Row],[EventID]],IF(MainData[Product]="Date",MainData[EventID],0),0),12),0))</f>
        <v>44598</v>
      </c>
      <c r="F878" s="155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8" s="155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8" s="157" t="s">
        <v>84</v>
      </c>
      <c r="J878" t="s">
        <v>187</v>
      </c>
      <c r="K878" s="2" t="s">
        <v>157</v>
      </c>
      <c r="L878" s="2" t="s">
        <v>0</v>
      </c>
      <c r="M878" s="158">
        <v>44598</v>
      </c>
      <c r="N878" s="2"/>
      <c r="O878" s="109"/>
      <c r="P878" s="109"/>
      <c r="Q878" s="109"/>
    </row>
    <row r="879" spans="2:17" x14ac:dyDescent="0.25">
      <c r="B879" s="114">
        <v>43</v>
      </c>
      <c r="C879" s="114">
        <v>104</v>
      </c>
      <c r="D879" s="114">
        <v>66</v>
      </c>
      <c r="E879" s="154" cm="1">
        <f t="array" ref="E879">IF(ISBLANK(MainData[[#This Row],[EventID]]),0,IFERROR(INDEX(MainData[],MATCH(MainData[[#This Row],[EventID]],IF(MainData[Product]="Date",MainData[EventID],0),0),12),0))</f>
        <v>44598</v>
      </c>
      <c r="F879" s="155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9" s="155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9" s="157" t="s">
        <v>84</v>
      </c>
      <c r="J879" t="s">
        <v>187</v>
      </c>
      <c r="K879" s="2" t="s">
        <v>157</v>
      </c>
      <c r="L879" s="2" t="s">
        <v>82</v>
      </c>
      <c r="M879" s="2">
        <v>358748</v>
      </c>
      <c r="N879" s="2"/>
      <c r="O879" s="109"/>
      <c r="P879" s="109"/>
      <c r="Q879" s="109"/>
    </row>
    <row r="880" spans="2:17" x14ac:dyDescent="0.25">
      <c r="B880" s="114">
        <v>43</v>
      </c>
      <c r="C880" s="114">
        <v>104</v>
      </c>
      <c r="D880" s="114">
        <v>66</v>
      </c>
      <c r="E880" s="154" cm="1">
        <f t="array" ref="E880">IF(ISBLANK(MainData[[#This Row],[EventID]]),0,IFERROR(INDEX(MainData[],MATCH(MainData[[#This Row],[EventID]],IF(MainData[Product]="Date",MainData[EventID],0),0),12),0))</f>
        <v>44598</v>
      </c>
      <c r="F880" s="155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0" s="155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0" s="157" t="s">
        <v>84</v>
      </c>
      <c r="J880" t="s">
        <v>187</v>
      </c>
      <c r="K880" s="2" t="s">
        <v>157</v>
      </c>
      <c r="L880" s="2" t="s">
        <v>175</v>
      </c>
      <c r="M880" s="2" t="s">
        <v>481</v>
      </c>
      <c r="N880" s="2"/>
      <c r="O880" s="109"/>
      <c r="P880" s="109"/>
      <c r="Q880" s="109"/>
    </row>
    <row r="881" spans="2:17" x14ac:dyDescent="0.25">
      <c r="B881" s="114">
        <v>43</v>
      </c>
      <c r="C881" s="114">
        <v>104</v>
      </c>
      <c r="D881" s="114">
        <v>66</v>
      </c>
      <c r="E881" s="154" cm="1">
        <f t="array" ref="E881">IF(ISBLANK(MainData[[#This Row],[EventID]]),0,IFERROR(INDEX(MainData[],MATCH(MainData[[#This Row],[EventID]],IF(MainData[Product]="Date",MainData[EventID],0),0),12),0))</f>
        <v>44598</v>
      </c>
      <c r="F881" s="155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1" s="155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1" s="157" t="s">
        <v>84</v>
      </c>
      <c r="J881" t="s">
        <v>187</v>
      </c>
      <c r="K881" s="2" t="s">
        <v>157</v>
      </c>
      <c r="L881" s="2" t="s">
        <v>138</v>
      </c>
      <c r="M881" s="2">
        <v>175</v>
      </c>
      <c r="N881" s="2"/>
      <c r="O881" s="109"/>
      <c r="P881" s="109"/>
      <c r="Q881" s="109"/>
    </row>
    <row r="882" spans="2:17" x14ac:dyDescent="0.25">
      <c r="B882" s="114">
        <v>43</v>
      </c>
      <c r="C882" s="114">
        <v>104</v>
      </c>
      <c r="D882" s="114">
        <v>66</v>
      </c>
      <c r="E882" s="154" cm="1">
        <f t="array" ref="E882">IF(ISBLANK(MainData[[#This Row],[EventID]]),0,IFERROR(INDEX(MainData[],MATCH(MainData[[#This Row],[EventID]],IF(MainData[Product]="Date",MainData[EventID],0),0),12),0))</f>
        <v>44598</v>
      </c>
      <c r="F882" s="155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2" s="155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2" s="157" t="s">
        <v>84</v>
      </c>
      <c r="J882" t="s">
        <v>187</v>
      </c>
      <c r="K882" s="2" t="s">
        <v>157</v>
      </c>
      <c r="L882" s="2" t="s">
        <v>86</v>
      </c>
      <c r="M882" s="2">
        <v>4</v>
      </c>
      <c r="N882" s="2"/>
      <c r="O882" s="109"/>
      <c r="P882" s="109"/>
      <c r="Q882" s="109"/>
    </row>
    <row r="883" spans="2:17" x14ac:dyDescent="0.25">
      <c r="B883" s="114">
        <v>43</v>
      </c>
      <c r="C883" s="114">
        <v>104</v>
      </c>
      <c r="D883" s="114">
        <v>66</v>
      </c>
      <c r="E883" s="154" cm="1">
        <f t="array" ref="E883">IF(ISBLANK(MainData[[#This Row],[EventID]]),0,IFERROR(INDEX(MainData[],MATCH(MainData[[#This Row],[EventID]],IF(MainData[Product]="Date",MainData[EventID],0),0),12),0))</f>
        <v>44598</v>
      </c>
      <c r="F883" s="155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3" s="155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3" s="157" t="s">
        <v>84</v>
      </c>
      <c r="J883" t="s">
        <v>187</v>
      </c>
      <c r="K883" s="2" t="s">
        <v>157</v>
      </c>
      <c r="L883" s="2" t="s">
        <v>118</v>
      </c>
      <c r="M883" s="2" t="s">
        <v>462</v>
      </c>
      <c r="N883" s="2"/>
      <c r="O883" s="109"/>
      <c r="P883" s="109"/>
      <c r="Q883" s="109"/>
    </row>
    <row r="884" spans="2:17" x14ac:dyDescent="0.25">
      <c r="B884" s="114">
        <v>43</v>
      </c>
      <c r="C884" s="114">
        <v>104</v>
      </c>
      <c r="D884" s="114">
        <v>119</v>
      </c>
      <c r="E884" s="154" cm="1">
        <f t="array" ref="E884">IF(ISBLANK(MainData[[#This Row],[EventID]]),0,IFERROR(INDEX(MainData[],MATCH(MainData[[#This Row],[EventID]],IF(MainData[Product]="Date",MainData[EventID],0),0),12),0))</f>
        <v>44598</v>
      </c>
      <c r="F884" s="155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4" s="155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4" s="157" t="s">
        <v>85</v>
      </c>
      <c r="J884" t="s">
        <v>22</v>
      </c>
      <c r="K884" s="2" t="s">
        <v>29</v>
      </c>
      <c r="L884" s="2" t="s">
        <v>35</v>
      </c>
      <c r="M884" s="2" t="s">
        <v>382</v>
      </c>
      <c r="N884" s="2" t="s">
        <v>234</v>
      </c>
      <c r="O884" s="109">
        <v>2</v>
      </c>
      <c r="P884" s="109">
        <v>5.5</v>
      </c>
      <c r="Q884" s="109">
        <v>51.57</v>
      </c>
    </row>
    <row r="885" spans="2:17" x14ac:dyDescent="0.25">
      <c r="B885" s="114">
        <v>43</v>
      </c>
      <c r="C885" s="114">
        <v>104</v>
      </c>
      <c r="D885" s="114">
        <v>119</v>
      </c>
      <c r="E885" s="154" cm="1">
        <f t="array" ref="E885">IF(ISBLANK(MainData[[#This Row],[EventID]]),0,IFERROR(INDEX(MainData[],MATCH(MainData[[#This Row],[EventID]],IF(MainData[Product]="Date",MainData[EventID],0),0),12),0))</f>
        <v>44598</v>
      </c>
      <c r="F885" s="155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5" s="155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5" s="157" t="s">
        <v>85</v>
      </c>
      <c r="J885" t="s">
        <v>22</v>
      </c>
      <c r="K885" s="2" t="s">
        <v>29</v>
      </c>
      <c r="L885" s="2" t="s">
        <v>36</v>
      </c>
      <c r="M885" s="2" t="s">
        <v>387</v>
      </c>
      <c r="N885" s="2" t="s">
        <v>234</v>
      </c>
      <c r="O885" s="109">
        <v>2</v>
      </c>
      <c r="P885" s="109">
        <v>7.1</v>
      </c>
      <c r="Q885" s="109">
        <v>60.58</v>
      </c>
    </row>
    <row r="886" spans="2:17" x14ac:dyDescent="0.25">
      <c r="B886" s="114">
        <v>43</v>
      </c>
      <c r="C886" s="114">
        <v>104</v>
      </c>
      <c r="D886" s="114">
        <v>119</v>
      </c>
      <c r="E886" s="154" cm="1">
        <f t="array" ref="E886">IF(ISBLANK(MainData[[#This Row],[EventID]]),0,IFERROR(INDEX(MainData[],MATCH(MainData[[#This Row],[EventID]],IF(MainData[Product]="Date",MainData[EventID],0),0),12),0))</f>
        <v>44598</v>
      </c>
      <c r="F886" s="155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6" s="155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6" s="157" t="s">
        <v>85</v>
      </c>
      <c r="J886" t="s">
        <v>22</v>
      </c>
      <c r="K886" s="2" t="s">
        <v>29</v>
      </c>
      <c r="L886" s="2" t="s">
        <v>65</v>
      </c>
      <c r="M886" s="2" t="s">
        <v>383</v>
      </c>
      <c r="N886" s="2" t="s">
        <v>234</v>
      </c>
      <c r="O886" s="109">
        <v>2</v>
      </c>
      <c r="P886" s="109">
        <v>0.9</v>
      </c>
      <c r="Q886" s="109">
        <v>8.5</v>
      </c>
    </row>
    <row r="887" spans="2:17" x14ac:dyDescent="0.25">
      <c r="B887" s="114">
        <v>43</v>
      </c>
      <c r="C887" s="114">
        <v>104</v>
      </c>
      <c r="D887" s="114">
        <v>119</v>
      </c>
      <c r="E887" s="154" cm="1">
        <f t="array" ref="E887">IF(ISBLANK(MainData[[#This Row],[EventID]]),0,IFERROR(INDEX(MainData[],MATCH(MainData[[#This Row],[EventID]],IF(MainData[Product]="Date",MainData[EventID],0),0),12),0))</f>
        <v>44598</v>
      </c>
      <c r="F887" s="155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7" s="155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7" s="20" t="s">
        <v>85</v>
      </c>
      <c r="J887" t="s">
        <v>22</v>
      </c>
      <c r="K887" s="2" t="s">
        <v>29</v>
      </c>
      <c r="L887" s="2" t="s">
        <v>25</v>
      </c>
      <c r="M887" s="2" t="s">
        <v>388</v>
      </c>
      <c r="N887" s="2" t="s">
        <v>234</v>
      </c>
      <c r="O887" s="109">
        <v>2</v>
      </c>
      <c r="P887" s="109">
        <v>7.3</v>
      </c>
      <c r="Q887" s="109">
        <v>54.93</v>
      </c>
    </row>
    <row r="888" spans="2:17" x14ac:dyDescent="0.25">
      <c r="B888" s="114">
        <v>43</v>
      </c>
      <c r="C888" s="114">
        <v>104</v>
      </c>
      <c r="D888" s="114">
        <v>66</v>
      </c>
      <c r="E888" s="154" cm="1">
        <f t="array" ref="E888">IF(ISBLANK(MainData[[#This Row],[EventID]]),0,IFERROR(INDEX(MainData[],MATCH(MainData[[#This Row],[EventID]],IF(MainData[Product]="Date",MainData[EventID],0),0),12),0))</f>
        <v>44598</v>
      </c>
      <c r="F888" s="155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8" s="155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8" s="20" t="s">
        <v>85</v>
      </c>
      <c r="J888" t="s">
        <v>20</v>
      </c>
      <c r="K888" s="2" t="s">
        <v>116</v>
      </c>
      <c r="L888" s="2" t="s">
        <v>88</v>
      </c>
      <c r="M888" s="2" t="s">
        <v>189</v>
      </c>
      <c r="N888" s="2" t="s">
        <v>233</v>
      </c>
      <c r="O888" s="109">
        <v>1</v>
      </c>
      <c r="P888" s="109"/>
      <c r="Q888" s="109"/>
    </row>
    <row r="889" spans="2:17" x14ac:dyDescent="0.25">
      <c r="B889" s="114">
        <v>43</v>
      </c>
      <c r="C889" s="114">
        <v>104</v>
      </c>
      <c r="D889" s="114">
        <v>66</v>
      </c>
      <c r="E889" s="154" cm="1">
        <f t="array" ref="E889">IF(ISBLANK(MainData[[#This Row],[EventID]]),0,IFERROR(INDEX(MainData[],MATCH(MainData[[#This Row],[EventID]],IF(MainData[Product]="Date",MainData[EventID],0),0),12),0))</f>
        <v>44598</v>
      </c>
      <c r="F889" s="155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9" s="155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2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9" s="20" t="s">
        <v>85</v>
      </c>
      <c r="J889" t="s">
        <v>20</v>
      </c>
      <c r="K889" s="2" t="s">
        <v>116</v>
      </c>
      <c r="L889" s="2" t="s">
        <v>87</v>
      </c>
      <c r="M889" s="2" t="s">
        <v>188</v>
      </c>
      <c r="N889" s="2" t="s">
        <v>233</v>
      </c>
      <c r="O889" s="109">
        <v>2</v>
      </c>
      <c r="P889" s="109"/>
      <c r="Q889" s="109">
        <v>200</v>
      </c>
    </row>
    <row r="890" spans="2:17" x14ac:dyDescent="0.25">
      <c r="B890" s="114">
        <v>1</v>
      </c>
      <c r="C890" s="114">
        <v>2</v>
      </c>
      <c r="D890" s="114">
        <v>63</v>
      </c>
      <c r="E890" s="154" cm="1">
        <f t="array" ref="E890">IF(ISBLANK(MainData[[#This Row],[EventID]]),0,IFERROR(INDEX(MainData[],MATCH(MainData[[#This Row],[EventID]],IF(MainData[Product]="Date",MainData[EventID],0),0),12),0))</f>
        <v>44598</v>
      </c>
      <c r="F890" s="155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0" s="155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0" s="157" t="s">
        <v>84</v>
      </c>
      <c r="J890" t="s">
        <v>187</v>
      </c>
      <c r="K890" s="2" t="s">
        <v>157</v>
      </c>
      <c r="L890" s="2" t="s">
        <v>81</v>
      </c>
      <c r="M890" s="2">
        <v>1</v>
      </c>
      <c r="N890" s="2"/>
      <c r="O890" s="109"/>
      <c r="P890" s="109"/>
      <c r="Q890" s="109"/>
    </row>
    <row r="891" spans="2:17" x14ac:dyDescent="0.25">
      <c r="B891" s="114">
        <v>1</v>
      </c>
      <c r="C891" s="114">
        <v>2</v>
      </c>
      <c r="D891" s="114">
        <v>63</v>
      </c>
      <c r="E891" s="154" cm="1">
        <f t="array" ref="E891">IF(ISBLANK(MainData[[#This Row],[EventID]]),0,IFERROR(INDEX(MainData[],MATCH(MainData[[#This Row],[EventID]],IF(MainData[Product]="Date",MainData[EventID],0),0),12),0))</f>
        <v>44598</v>
      </c>
      <c r="F891" s="155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1" s="155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1" s="157" t="s">
        <v>84</v>
      </c>
      <c r="J891" t="s">
        <v>187</v>
      </c>
      <c r="K891" s="2" t="s">
        <v>157</v>
      </c>
      <c r="L891" s="2" t="s">
        <v>0</v>
      </c>
      <c r="M891" s="158">
        <v>44598</v>
      </c>
      <c r="N891" s="2"/>
      <c r="O891" s="109"/>
      <c r="P891" s="109"/>
      <c r="Q891" s="109"/>
    </row>
    <row r="892" spans="2:17" x14ac:dyDescent="0.25">
      <c r="B892" s="114">
        <v>1</v>
      </c>
      <c r="C892" s="114">
        <v>2</v>
      </c>
      <c r="D892" s="114">
        <v>63</v>
      </c>
      <c r="E892" s="154" cm="1">
        <f t="array" ref="E892">IF(ISBLANK(MainData[[#This Row],[EventID]]),0,IFERROR(INDEX(MainData[],MATCH(MainData[[#This Row],[EventID]],IF(MainData[Product]="Date",MainData[EventID],0),0),12),0))</f>
        <v>44598</v>
      </c>
      <c r="F892" s="155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2" s="155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2" s="157" t="s">
        <v>84</v>
      </c>
      <c r="J892" t="s">
        <v>187</v>
      </c>
      <c r="K892" s="2" t="s">
        <v>157</v>
      </c>
      <c r="L892" s="2" t="s">
        <v>82</v>
      </c>
      <c r="M892" s="2">
        <v>418568</v>
      </c>
      <c r="N892" s="2"/>
      <c r="O892" s="109"/>
      <c r="P892" s="109"/>
      <c r="Q892" s="109"/>
    </row>
    <row r="893" spans="2:17" x14ac:dyDescent="0.25">
      <c r="B893" s="114">
        <v>1</v>
      </c>
      <c r="C893" s="114">
        <v>2</v>
      </c>
      <c r="D893" s="114">
        <v>63</v>
      </c>
      <c r="E893" s="154" cm="1">
        <f t="array" ref="E893">IF(ISBLANK(MainData[[#This Row],[EventID]]),0,IFERROR(INDEX(MainData[],MATCH(MainData[[#This Row],[EventID]],IF(MainData[Product]="Date",MainData[EventID],0),0),12),0))</f>
        <v>44598</v>
      </c>
      <c r="F893" s="155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3" s="155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3" s="157" t="s">
        <v>84</v>
      </c>
      <c r="J893" t="s">
        <v>187</v>
      </c>
      <c r="K893" s="2" t="s">
        <v>157</v>
      </c>
      <c r="L893" s="2" t="s">
        <v>175</v>
      </c>
      <c r="M893" s="2" t="s">
        <v>455</v>
      </c>
      <c r="N893" s="2"/>
      <c r="O893" s="109"/>
      <c r="P893" s="109"/>
      <c r="Q893" s="109"/>
    </row>
    <row r="894" spans="2:17" x14ac:dyDescent="0.25">
      <c r="B894" s="114">
        <v>1</v>
      </c>
      <c r="C894" s="114">
        <v>2</v>
      </c>
      <c r="D894" s="114">
        <v>63</v>
      </c>
      <c r="E894" s="154" cm="1">
        <f t="array" ref="E894">IF(ISBLANK(MainData[[#This Row],[EventID]]),0,IFERROR(INDEX(MainData[],MATCH(MainData[[#This Row],[EventID]],IF(MainData[Product]="Date",MainData[EventID],0),0),12),0))</f>
        <v>44598</v>
      </c>
      <c r="F894" s="155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4" s="155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4" s="157" t="s">
        <v>84</v>
      </c>
      <c r="J894" t="s">
        <v>187</v>
      </c>
      <c r="K894" s="2" t="s">
        <v>157</v>
      </c>
      <c r="L894" s="2" t="s">
        <v>138</v>
      </c>
      <c r="M894" s="2">
        <v>635</v>
      </c>
      <c r="N894" s="2"/>
      <c r="O894" s="109"/>
      <c r="P894" s="109"/>
      <c r="Q894" s="109"/>
    </row>
    <row r="895" spans="2:17" x14ac:dyDescent="0.25">
      <c r="B895" s="114">
        <v>1</v>
      </c>
      <c r="C895" s="114">
        <v>2</v>
      </c>
      <c r="D895" s="114">
        <v>63</v>
      </c>
      <c r="E895" s="154" cm="1">
        <f t="array" ref="E895">IF(ISBLANK(MainData[[#This Row],[EventID]]),0,IFERROR(INDEX(MainData[],MATCH(MainData[[#This Row],[EventID]],IF(MainData[Product]="Date",MainData[EventID],0),0),12),0))</f>
        <v>44598</v>
      </c>
      <c r="F895" s="155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5" s="155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5" s="157" t="s">
        <v>84</v>
      </c>
      <c r="J895" t="s">
        <v>187</v>
      </c>
      <c r="K895" s="2" t="s">
        <v>157</v>
      </c>
      <c r="L895" s="2" t="s">
        <v>86</v>
      </c>
      <c r="M895" s="2">
        <v>2.5</v>
      </c>
      <c r="N895" s="2"/>
      <c r="O895" s="109"/>
      <c r="P895" s="109"/>
      <c r="Q895" s="109"/>
    </row>
    <row r="896" spans="2:17" x14ac:dyDescent="0.25">
      <c r="B896" s="114">
        <v>1</v>
      </c>
      <c r="C896" s="114">
        <v>2</v>
      </c>
      <c r="D896" s="114">
        <v>63</v>
      </c>
      <c r="E896" s="154" cm="1">
        <f t="array" ref="E896">IF(ISBLANK(MainData[[#This Row],[EventID]]),0,IFERROR(INDEX(MainData[],MATCH(MainData[[#This Row],[EventID]],IF(MainData[Product]="Date",MainData[EventID],0),0),12),0))</f>
        <v>44598</v>
      </c>
      <c r="F896" s="155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6" s="155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6" s="157" t="s">
        <v>84</v>
      </c>
      <c r="J896" t="s">
        <v>187</v>
      </c>
      <c r="K896" s="2" t="s">
        <v>157</v>
      </c>
      <c r="L896" s="2" t="s">
        <v>118</v>
      </c>
      <c r="M896" s="2" t="s">
        <v>463</v>
      </c>
      <c r="N896" s="2"/>
      <c r="O896" s="109"/>
      <c r="P896" s="109"/>
      <c r="Q896" s="109"/>
    </row>
    <row r="897" spans="2:17" x14ac:dyDescent="0.25">
      <c r="B897" s="114">
        <v>1</v>
      </c>
      <c r="C897" s="114">
        <v>2</v>
      </c>
      <c r="D897" s="114">
        <v>63</v>
      </c>
      <c r="E897" s="154" cm="1">
        <f t="array" ref="E897">IF(ISBLANK(MainData[[#This Row],[EventID]]),0,IFERROR(INDEX(MainData[],MATCH(MainData[[#This Row],[EventID]],IF(MainData[Product]="Date",MainData[EventID],0),0),12),0))</f>
        <v>44598</v>
      </c>
      <c r="F897" s="155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7" s="155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7" s="20" t="s">
        <v>85</v>
      </c>
      <c r="J897" t="s">
        <v>20</v>
      </c>
      <c r="K897" s="2" t="s">
        <v>116</v>
      </c>
      <c r="L897" s="2" t="s">
        <v>88</v>
      </c>
      <c r="M897" s="2" t="s">
        <v>189</v>
      </c>
      <c r="N897" s="2" t="s">
        <v>233</v>
      </c>
      <c r="O897" s="109">
        <v>3</v>
      </c>
      <c r="P897" s="109"/>
      <c r="Q897" s="109"/>
    </row>
    <row r="898" spans="2:17" x14ac:dyDescent="0.25">
      <c r="B898" s="114">
        <v>1</v>
      </c>
      <c r="C898" s="114">
        <v>2</v>
      </c>
      <c r="D898" s="114">
        <v>63</v>
      </c>
      <c r="E898" s="154" cm="1">
        <f t="array" ref="E898">IF(ISBLANK(MainData[[#This Row],[EventID]]),0,IFERROR(INDEX(MainData[],MATCH(MainData[[#This Row],[EventID]],IF(MainData[Product]="Date",MainData[EventID],0),0),12),0))</f>
        <v>44598</v>
      </c>
      <c r="F898" s="155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8" s="155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8" s="20" t="s">
        <v>85</v>
      </c>
      <c r="J898" t="s">
        <v>20</v>
      </c>
      <c r="K898" s="2" t="s">
        <v>116</v>
      </c>
      <c r="L898" s="2" t="s">
        <v>87</v>
      </c>
      <c r="M898" s="2" t="s">
        <v>188</v>
      </c>
      <c r="N898" s="2" t="s">
        <v>233</v>
      </c>
      <c r="O898" s="109">
        <v>7</v>
      </c>
      <c r="P898" s="109"/>
      <c r="Q898" s="109">
        <v>700</v>
      </c>
    </row>
    <row r="899" spans="2:17" x14ac:dyDescent="0.25">
      <c r="B899" s="114">
        <v>1</v>
      </c>
      <c r="C899" s="114">
        <v>2</v>
      </c>
      <c r="D899" s="114">
        <v>63</v>
      </c>
      <c r="E899" s="154" cm="1">
        <f t="array" ref="E899">IF(ISBLANK(MainData[[#This Row],[EventID]]),0,IFERROR(INDEX(MainData[],MATCH(MainData[[#This Row],[EventID]],IF(MainData[Product]="Date",MainData[EventID],0),0),12),0))</f>
        <v>44598</v>
      </c>
      <c r="F899" s="155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9" s="155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9" s="157" t="s">
        <v>85</v>
      </c>
      <c r="J899" t="s">
        <v>20</v>
      </c>
      <c r="K899" s="2" t="s">
        <v>29</v>
      </c>
      <c r="L899" s="2" t="s">
        <v>35</v>
      </c>
      <c r="M899" s="2" t="s">
        <v>382</v>
      </c>
      <c r="N899" s="2" t="s">
        <v>234</v>
      </c>
      <c r="O899" s="109">
        <v>7</v>
      </c>
      <c r="P899" s="109">
        <v>368</v>
      </c>
      <c r="Q899" s="109">
        <v>3680</v>
      </c>
    </row>
    <row r="900" spans="2:17" x14ac:dyDescent="0.25">
      <c r="B900" s="114">
        <v>1</v>
      </c>
      <c r="C900" s="114">
        <v>2</v>
      </c>
      <c r="D900" s="114">
        <v>63</v>
      </c>
      <c r="E900" s="154" cm="1">
        <f t="array" ref="E900">IF(ISBLANK(MainData[[#This Row],[EventID]]),0,IFERROR(INDEX(MainData[],MATCH(MainData[[#This Row],[EventID]],IF(MainData[Product]="Date",MainData[EventID],0),0),12),0))</f>
        <v>44598</v>
      </c>
      <c r="F900" s="155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0" s="155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0" s="20" t="s">
        <v>85</v>
      </c>
      <c r="J900" t="s">
        <v>20</v>
      </c>
      <c r="K900" s="2" t="s">
        <v>29</v>
      </c>
      <c r="L900" s="2" t="s">
        <v>36</v>
      </c>
      <c r="M900" s="2" t="s">
        <v>387</v>
      </c>
      <c r="N900" s="2" t="s">
        <v>234</v>
      </c>
      <c r="O900" s="109">
        <v>7</v>
      </c>
      <c r="P900" s="109">
        <v>506.2</v>
      </c>
      <c r="Q900" s="109">
        <v>6004</v>
      </c>
    </row>
    <row r="901" spans="2:17" x14ac:dyDescent="0.25">
      <c r="B901" s="114">
        <v>1</v>
      </c>
      <c r="C901" s="114">
        <v>2</v>
      </c>
      <c r="D901" s="114">
        <v>63</v>
      </c>
      <c r="E901" s="154" cm="1">
        <f t="array" ref="E901">IF(ISBLANK(MainData[[#This Row],[EventID]]),0,IFERROR(INDEX(MainData[],MATCH(MainData[[#This Row],[EventID]],IF(MainData[Product]="Date",MainData[EventID],0),0),12),0))</f>
        <v>44598</v>
      </c>
      <c r="F901" s="155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1" s="155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1" s="157" t="s">
        <v>85</v>
      </c>
      <c r="J901" t="s">
        <v>20</v>
      </c>
      <c r="K901" s="2" t="s">
        <v>29</v>
      </c>
      <c r="L901" s="2" t="s">
        <v>65</v>
      </c>
      <c r="M901" s="2" t="s">
        <v>383</v>
      </c>
      <c r="N901" s="2" t="s">
        <v>234</v>
      </c>
      <c r="O901" s="109">
        <v>7</v>
      </c>
      <c r="P901" s="109">
        <v>25</v>
      </c>
      <c r="Q901" s="109">
        <v>495</v>
      </c>
    </row>
    <row r="902" spans="2:17" x14ac:dyDescent="0.25">
      <c r="B902" s="114">
        <v>1</v>
      </c>
      <c r="C902" s="114">
        <v>2</v>
      </c>
      <c r="D902" s="114">
        <v>63</v>
      </c>
      <c r="E902" s="154" cm="1">
        <f t="array" ref="E902">IF(ISBLANK(MainData[[#This Row],[EventID]]),0,IFERROR(INDEX(MainData[],MATCH(MainData[[#This Row],[EventID]],IF(MainData[Product]="Date",MainData[EventID],0),0),12),0))</f>
        <v>44598</v>
      </c>
      <c r="F902" s="155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2" s="155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2" s="157" t="s">
        <v>85</v>
      </c>
      <c r="J902" t="s">
        <v>20</v>
      </c>
      <c r="K902" s="2" t="s">
        <v>29</v>
      </c>
      <c r="L902" s="2" t="s">
        <v>25</v>
      </c>
      <c r="M902" s="2" t="s">
        <v>388</v>
      </c>
      <c r="N902" s="2" t="s">
        <v>234</v>
      </c>
      <c r="O902" s="109">
        <v>7</v>
      </c>
      <c r="P902" s="109">
        <v>247</v>
      </c>
      <c r="Q902" s="109">
        <v>2470</v>
      </c>
    </row>
    <row r="903" spans="2:17" x14ac:dyDescent="0.25">
      <c r="B903" s="114">
        <v>32</v>
      </c>
      <c r="C903" s="114">
        <v>88</v>
      </c>
      <c r="D903" s="114">
        <v>68</v>
      </c>
      <c r="E903" s="154" cm="1">
        <f t="array" ref="E903">IF(ISBLANK(MainData[[#This Row],[EventID]]),0,IFERROR(INDEX(MainData[],MATCH(MainData[[#This Row],[EventID]],IF(MainData[Product]="Date",MainData[EventID],0),0),12),0))</f>
        <v>44599</v>
      </c>
      <c r="F903" s="155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3" s="155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3" s="157" t="s">
        <v>84</v>
      </c>
      <c r="J903" t="s">
        <v>187</v>
      </c>
      <c r="K903" s="2" t="s">
        <v>157</v>
      </c>
      <c r="L903" s="2" t="s">
        <v>81</v>
      </c>
      <c r="M903" s="2">
        <v>1</v>
      </c>
      <c r="N903" s="2"/>
      <c r="O903" s="109"/>
      <c r="P903" s="109"/>
      <c r="Q903" s="109"/>
    </row>
    <row r="904" spans="2:17" x14ac:dyDescent="0.25">
      <c r="B904" s="114">
        <v>32</v>
      </c>
      <c r="C904" s="114">
        <v>88</v>
      </c>
      <c r="D904" s="114">
        <v>68</v>
      </c>
      <c r="E904" s="154" cm="1">
        <f t="array" ref="E904">IF(ISBLANK(MainData[[#This Row],[EventID]]),0,IFERROR(INDEX(MainData[],MATCH(MainData[[#This Row],[EventID]],IF(MainData[Product]="Date",MainData[EventID],0),0),12),0))</f>
        <v>44599</v>
      </c>
      <c r="F904" s="155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4" s="155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4" s="157" t="s">
        <v>84</v>
      </c>
      <c r="J904" t="s">
        <v>187</v>
      </c>
      <c r="K904" s="2" t="s">
        <v>157</v>
      </c>
      <c r="L904" s="2" t="s">
        <v>164</v>
      </c>
      <c r="M904" s="2" t="s">
        <v>445</v>
      </c>
      <c r="N904" s="2"/>
      <c r="O904" s="109"/>
      <c r="P904" s="109"/>
      <c r="Q904" s="109"/>
    </row>
    <row r="905" spans="2:17" x14ac:dyDescent="0.25">
      <c r="B905" s="114">
        <v>32</v>
      </c>
      <c r="C905" s="114">
        <v>88</v>
      </c>
      <c r="D905" s="114">
        <v>68</v>
      </c>
      <c r="E905" s="154" cm="1">
        <f t="array" ref="E905">IF(ISBLANK(MainData[[#This Row],[EventID]]),0,IFERROR(INDEX(MainData[],MATCH(MainData[[#This Row],[EventID]],IF(MainData[Product]="Date",MainData[EventID],0),0),12),0))</f>
        <v>44599</v>
      </c>
      <c r="F905" s="155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5" s="155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5" s="157" t="s">
        <v>84</v>
      </c>
      <c r="J905" t="s">
        <v>187</v>
      </c>
      <c r="K905" s="2" t="s">
        <v>157</v>
      </c>
      <c r="L905" s="2" t="s">
        <v>0</v>
      </c>
      <c r="M905" s="158">
        <v>44599</v>
      </c>
      <c r="N905" s="2"/>
      <c r="O905" s="109"/>
      <c r="P905" s="109"/>
      <c r="Q905" s="109"/>
    </row>
    <row r="906" spans="2:17" x14ac:dyDescent="0.25">
      <c r="B906" s="114">
        <v>32</v>
      </c>
      <c r="C906" s="114">
        <v>88</v>
      </c>
      <c r="D906" s="114">
        <v>68</v>
      </c>
      <c r="E906" s="154" cm="1">
        <f t="array" ref="E906">IF(ISBLANK(MainData[[#This Row],[EventID]]),0,IFERROR(INDEX(MainData[],MATCH(MainData[[#This Row],[EventID]],IF(MainData[Product]="Date",MainData[EventID],0),0),12),0))</f>
        <v>44599</v>
      </c>
      <c r="F906" s="155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6" s="155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6" s="157" t="s">
        <v>84</v>
      </c>
      <c r="J906" t="s">
        <v>187</v>
      </c>
      <c r="K906" s="2" t="s">
        <v>157</v>
      </c>
      <c r="L906" s="2" t="s">
        <v>82</v>
      </c>
      <c r="M906" s="2">
        <v>473941</v>
      </c>
      <c r="N906" s="2"/>
      <c r="O906" s="109"/>
      <c r="P906" s="109"/>
      <c r="Q906" s="109"/>
    </row>
    <row r="907" spans="2:17" x14ac:dyDescent="0.25">
      <c r="B907" s="114">
        <v>32</v>
      </c>
      <c r="C907" s="114">
        <v>88</v>
      </c>
      <c r="D907" s="114">
        <v>68</v>
      </c>
      <c r="E907" s="154" cm="1">
        <f t="array" ref="E907">IF(ISBLANK(MainData[[#This Row],[EventID]]),0,IFERROR(INDEX(MainData[],MATCH(MainData[[#This Row],[EventID]],IF(MainData[Product]="Date",MainData[EventID],0),0),12),0))</f>
        <v>44599</v>
      </c>
      <c r="F907" s="155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7" s="155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7" s="157" t="s">
        <v>84</v>
      </c>
      <c r="J907" t="s">
        <v>187</v>
      </c>
      <c r="K907" s="2" t="s">
        <v>157</v>
      </c>
      <c r="L907" s="2" t="s">
        <v>175</v>
      </c>
      <c r="M907" s="2" t="s">
        <v>455</v>
      </c>
      <c r="N907" s="2"/>
      <c r="O907" s="109"/>
      <c r="P907" s="109"/>
      <c r="Q907" s="109"/>
    </row>
    <row r="908" spans="2:17" x14ac:dyDescent="0.25">
      <c r="B908" s="114">
        <v>32</v>
      </c>
      <c r="C908" s="114">
        <v>88</v>
      </c>
      <c r="D908" s="114">
        <v>68</v>
      </c>
      <c r="E908" s="154" cm="1">
        <f t="array" ref="E908">IF(ISBLANK(MainData[[#This Row],[EventID]]),0,IFERROR(INDEX(MainData[],MATCH(MainData[[#This Row],[EventID]],IF(MainData[Product]="Date",MainData[EventID],0),0),12),0))</f>
        <v>44599</v>
      </c>
      <c r="F908" s="155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8" s="155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8" s="157" t="s">
        <v>84</v>
      </c>
      <c r="J908" t="s">
        <v>187</v>
      </c>
      <c r="K908" s="2" t="s">
        <v>157</v>
      </c>
      <c r="L908" s="2" t="s">
        <v>20</v>
      </c>
      <c r="M908" s="2" t="s">
        <v>446</v>
      </c>
      <c r="N908" s="2"/>
      <c r="O908" s="109"/>
      <c r="P908" s="109"/>
      <c r="Q908" s="109"/>
    </row>
    <row r="909" spans="2:17" x14ac:dyDescent="0.25">
      <c r="B909" s="114">
        <v>32</v>
      </c>
      <c r="C909" s="114">
        <v>88</v>
      </c>
      <c r="D909" s="114">
        <v>68</v>
      </c>
      <c r="E909" s="154" cm="1">
        <f t="array" ref="E909">IF(ISBLANK(MainData[[#This Row],[EventID]]),0,IFERROR(INDEX(MainData[],MATCH(MainData[[#This Row],[EventID]],IF(MainData[Product]="Date",MainData[EventID],0),0),12),0))</f>
        <v>44599</v>
      </c>
      <c r="F909" s="155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9" s="155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9" s="157" t="s">
        <v>84</v>
      </c>
      <c r="J909" t="s">
        <v>187</v>
      </c>
      <c r="K909" s="2" t="s">
        <v>157</v>
      </c>
      <c r="L909" s="2" t="s">
        <v>138</v>
      </c>
      <c r="M909" s="2">
        <v>7</v>
      </c>
      <c r="N909" s="2"/>
      <c r="O909" s="109"/>
      <c r="P909" s="109"/>
      <c r="Q909" s="109"/>
    </row>
    <row r="910" spans="2:17" x14ac:dyDescent="0.25">
      <c r="B910" s="114">
        <v>32</v>
      </c>
      <c r="C910" s="114">
        <v>88</v>
      </c>
      <c r="D910" s="114">
        <v>68</v>
      </c>
      <c r="E910" s="154" cm="1">
        <f t="array" ref="E910">IF(ISBLANK(MainData[[#This Row],[EventID]]),0,IFERROR(INDEX(MainData[],MATCH(MainData[[#This Row],[EventID]],IF(MainData[Product]="Date",MainData[EventID],0),0),12),0))</f>
        <v>44599</v>
      </c>
      <c r="F910" s="155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0" s="155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0" s="157" t="s">
        <v>84</v>
      </c>
      <c r="J910" t="s">
        <v>187</v>
      </c>
      <c r="K910" s="2" t="s">
        <v>157</v>
      </c>
      <c r="L910" s="2" t="s">
        <v>86</v>
      </c>
      <c r="M910" s="2">
        <v>3</v>
      </c>
      <c r="N910" s="2"/>
      <c r="O910" s="109"/>
      <c r="P910" s="109"/>
      <c r="Q910" s="109"/>
    </row>
    <row r="911" spans="2:17" x14ac:dyDescent="0.25">
      <c r="B911" s="114">
        <v>32</v>
      </c>
      <c r="C911" s="114">
        <v>88</v>
      </c>
      <c r="D911" s="114">
        <v>68</v>
      </c>
      <c r="E911" s="154" cm="1">
        <f t="array" ref="E911">IF(ISBLANK(MainData[[#This Row],[EventID]]),0,IFERROR(INDEX(MainData[],MATCH(MainData[[#This Row],[EventID]],IF(MainData[Product]="Date",MainData[EventID],0),0),12),0))</f>
        <v>44599</v>
      </c>
      <c r="F911" s="155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1" s="155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1" s="157" t="s">
        <v>84</v>
      </c>
      <c r="J911" t="s">
        <v>187</v>
      </c>
      <c r="K911" s="2" t="s">
        <v>157</v>
      </c>
      <c r="L911" s="2" t="s">
        <v>118</v>
      </c>
      <c r="M911" s="2" t="s">
        <v>489</v>
      </c>
      <c r="N911" s="2"/>
      <c r="O911" s="109"/>
      <c r="P911" s="109"/>
      <c r="Q911" s="109"/>
    </row>
    <row r="912" spans="2:17" x14ac:dyDescent="0.25">
      <c r="B912" s="114">
        <v>32</v>
      </c>
      <c r="C912" s="114">
        <v>88</v>
      </c>
      <c r="D912" s="114">
        <v>68</v>
      </c>
      <c r="E912" s="154" cm="1">
        <f t="array" ref="E912">IF(ISBLANK(MainData[[#This Row],[EventID]]),0,IFERROR(INDEX(MainData[],MATCH(MainData[[#This Row],[EventID]],IF(MainData[Product]="Date",MainData[EventID],0),0),12),0))</f>
        <v>44599</v>
      </c>
      <c r="F912" s="155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2" s="155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2" s="157" t="s">
        <v>84</v>
      </c>
      <c r="J912" t="s">
        <v>187</v>
      </c>
      <c r="K912" s="2" t="s">
        <v>157</v>
      </c>
      <c r="L912" s="2" t="s">
        <v>165</v>
      </c>
      <c r="M912" s="2" t="s">
        <v>414</v>
      </c>
      <c r="N912" s="2"/>
      <c r="O912" s="109"/>
      <c r="P912" s="109"/>
      <c r="Q912" s="109"/>
    </row>
    <row r="913" spans="2:17" x14ac:dyDescent="0.25">
      <c r="B913" s="114">
        <v>32</v>
      </c>
      <c r="C913" s="114">
        <v>88</v>
      </c>
      <c r="D913" s="114">
        <v>68</v>
      </c>
      <c r="E913" s="154" cm="1">
        <f t="array" ref="E913">IF(ISBLANK(MainData[[#This Row],[EventID]]),0,IFERROR(INDEX(MainData[],MATCH(MainData[[#This Row],[EventID]],IF(MainData[Product]="Date",MainData[EventID],0),0),12),0))</f>
        <v>44599</v>
      </c>
      <c r="F913" s="155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3" s="155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3" s="157" t="s">
        <v>84</v>
      </c>
      <c r="J913" t="s">
        <v>187</v>
      </c>
      <c r="K913" s="2" t="s">
        <v>157</v>
      </c>
      <c r="L913" s="2" t="s">
        <v>232</v>
      </c>
      <c r="M913" s="2" t="s">
        <v>85</v>
      </c>
      <c r="N913" s="2"/>
      <c r="O913" s="109"/>
      <c r="P913" s="109"/>
      <c r="Q913" s="109"/>
    </row>
    <row r="914" spans="2:17" x14ac:dyDescent="0.25">
      <c r="B914" s="114">
        <v>32</v>
      </c>
      <c r="C914" s="114">
        <v>88</v>
      </c>
      <c r="D914" s="114">
        <v>68</v>
      </c>
      <c r="E914" s="154" cm="1">
        <f t="array" ref="E914">IF(ISBLANK(MainData[[#This Row],[EventID]]),0,IFERROR(INDEX(MainData[],MATCH(MainData[[#This Row],[EventID]],IF(MainData[Product]="Date",MainData[EventID],0),0),12),0))</f>
        <v>44599</v>
      </c>
      <c r="F914" s="155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4" s="155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4" s="20" t="s">
        <v>85</v>
      </c>
      <c r="J914" t="s">
        <v>20</v>
      </c>
      <c r="K914" s="2" t="s">
        <v>116</v>
      </c>
      <c r="L914" s="2" t="s">
        <v>88</v>
      </c>
      <c r="M914" s="2" t="s">
        <v>189</v>
      </c>
      <c r="N914" s="2" t="s">
        <v>233</v>
      </c>
      <c r="O914" s="109">
        <v>1</v>
      </c>
      <c r="P914" s="109"/>
      <c r="Q914" s="109"/>
    </row>
    <row r="915" spans="2:17" x14ac:dyDescent="0.25">
      <c r="B915" s="114">
        <v>32</v>
      </c>
      <c r="C915" s="114">
        <v>88</v>
      </c>
      <c r="D915" s="114">
        <v>68</v>
      </c>
      <c r="E915" s="154" cm="1">
        <f t="array" ref="E915">IF(ISBLANK(MainData[[#This Row],[EventID]]),0,IFERROR(INDEX(MainData[],MATCH(MainData[[#This Row],[EventID]],IF(MainData[Product]="Date",MainData[EventID],0),0),12),0))</f>
        <v>44599</v>
      </c>
      <c r="F915" s="155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5" s="155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5" s="20" t="s">
        <v>85</v>
      </c>
      <c r="J915" t="s">
        <v>20</v>
      </c>
      <c r="K915" s="2" t="s">
        <v>116</v>
      </c>
      <c r="L915" s="2" t="s">
        <v>87</v>
      </c>
      <c r="M915" s="2" t="s">
        <v>188</v>
      </c>
      <c r="N915" s="2" t="s">
        <v>233</v>
      </c>
      <c r="O915" s="109">
        <v>1</v>
      </c>
      <c r="P915" s="109"/>
      <c r="Q915" s="109">
        <v>100</v>
      </c>
    </row>
    <row r="916" spans="2:17" x14ac:dyDescent="0.25">
      <c r="B916" s="114">
        <v>32</v>
      </c>
      <c r="C916" s="114">
        <v>88</v>
      </c>
      <c r="D916" s="114">
        <v>68</v>
      </c>
      <c r="E916" s="154" cm="1">
        <f t="array" ref="E916">IF(ISBLANK(MainData[[#This Row],[EventID]]),0,IFERROR(INDEX(MainData[],MATCH(MainData[[#This Row],[EventID]],IF(MainData[Product]="Date",MainData[EventID],0),0),12),0))</f>
        <v>44599</v>
      </c>
      <c r="F916" s="155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6" s="155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6" s="157" t="s">
        <v>85</v>
      </c>
      <c r="J916" t="s">
        <v>20</v>
      </c>
      <c r="K916" s="2" t="s">
        <v>29</v>
      </c>
      <c r="L916" s="2" t="s">
        <v>35</v>
      </c>
      <c r="M916" s="2" t="s">
        <v>382</v>
      </c>
      <c r="N916" s="2" t="s">
        <v>234</v>
      </c>
      <c r="O916" s="109">
        <v>1</v>
      </c>
      <c r="P916" s="109">
        <v>3.6</v>
      </c>
      <c r="Q916" s="109">
        <v>36</v>
      </c>
    </row>
    <row r="917" spans="2:17" x14ac:dyDescent="0.25">
      <c r="B917" s="114">
        <v>32</v>
      </c>
      <c r="C917" s="114">
        <v>88</v>
      </c>
      <c r="D917" s="114">
        <v>68</v>
      </c>
      <c r="E917" s="154" cm="1">
        <f t="array" ref="E917">IF(ISBLANK(MainData[[#This Row],[EventID]]),0,IFERROR(INDEX(MainData[],MATCH(MainData[[#This Row],[EventID]],IF(MainData[Product]="Date",MainData[EventID],0),0),12),0))</f>
        <v>44599</v>
      </c>
      <c r="F917" s="155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7" s="155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7" s="157" t="s">
        <v>85</v>
      </c>
      <c r="J917" t="s">
        <v>20</v>
      </c>
      <c r="K917" s="2" t="s">
        <v>29</v>
      </c>
      <c r="L917" s="2" t="s">
        <v>65</v>
      </c>
      <c r="M917" s="2" t="s">
        <v>383</v>
      </c>
      <c r="N917" s="2" t="s">
        <v>234</v>
      </c>
      <c r="O917" s="109">
        <v>1</v>
      </c>
      <c r="P917" s="109">
        <v>1</v>
      </c>
      <c r="Q917" s="109">
        <v>305.5</v>
      </c>
    </row>
    <row r="918" spans="2:17" x14ac:dyDescent="0.25">
      <c r="B918" s="114">
        <v>32</v>
      </c>
      <c r="C918" s="114">
        <v>88</v>
      </c>
      <c r="D918" s="114">
        <v>68</v>
      </c>
      <c r="E918" s="154" cm="1">
        <f t="array" ref="E918">IF(ISBLANK(MainData[[#This Row],[EventID]]),0,IFERROR(INDEX(MainData[],MATCH(MainData[[#This Row],[EventID]],IF(MainData[Product]="Date",MainData[EventID],0),0),12),0))</f>
        <v>44599</v>
      </c>
      <c r="F918" s="155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8" s="155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8" s="20" t="s">
        <v>85</v>
      </c>
      <c r="J918" t="s">
        <v>20</v>
      </c>
      <c r="K918" s="2" t="s">
        <v>29</v>
      </c>
      <c r="L918" s="2" t="s">
        <v>25</v>
      </c>
      <c r="M918" s="2" t="s">
        <v>388</v>
      </c>
      <c r="N918" s="2" t="s">
        <v>234</v>
      </c>
      <c r="O918" s="109">
        <v>1</v>
      </c>
      <c r="P918" s="109">
        <v>5.9</v>
      </c>
      <c r="Q918" s="109">
        <v>74</v>
      </c>
    </row>
    <row r="919" spans="2:17" x14ac:dyDescent="0.25">
      <c r="B919" s="114">
        <v>18</v>
      </c>
      <c r="C919" s="114">
        <v>46</v>
      </c>
      <c r="D919" s="114">
        <v>67</v>
      </c>
      <c r="E919" s="154" cm="1">
        <f t="array" ref="E919">IF(ISBLANK(MainData[[#This Row],[EventID]]),0,IFERROR(INDEX(MainData[],MATCH(MainData[[#This Row],[EventID]],IF(MainData[Product]="Date",MainData[EventID],0),0),12),0))</f>
        <v>44599</v>
      </c>
      <c r="F919" s="155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9" s="155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9" s="157" t="s">
        <v>84</v>
      </c>
      <c r="J919" t="s">
        <v>187</v>
      </c>
      <c r="K919" s="2" t="s">
        <v>157</v>
      </c>
      <c r="L919" s="2" t="s">
        <v>81</v>
      </c>
      <c r="M919" s="2">
        <v>1</v>
      </c>
      <c r="N919" s="2"/>
      <c r="O919" s="109"/>
      <c r="P919" s="109"/>
      <c r="Q919" s="109"/>
    </row>
    <row r="920" spans="2:17" x14ac:dyDescent="0.25">
      <c r="B920" s="114">
        <v>18</v>
      </c>
      <c r="C920" s="114">
        <v>46</v>
      </c>
      <c r="D920" s="114">
        <v>67</v>
      </c>
      <c r="E920" s="154" cm="1">
        <f t="array" ref="E920">IF(ISBLANK(MainData[[#This Row],[EventID]]),0,IFERROR(INDEX(MainData[],MATCH(MainData[[#This Row],[EventID]],IF(MainData[Product]="Date",MainData[EventID],0),0),12),0))</f>
        <v>44599</v>
      </c>
      <c r="F920" s="155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0" s="155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0" s="157" t="s">
        <v>84</v>
      </c>
      <c r="J920" t="s">
        <v>187</v>
      </c>
      <c r="K920" s="2" t="s">
        <v>157</v>
      </c>
      <c r="L920" s="2" t="s">
        <v>164</v>
      </c>
      <c r="M920" s="2" t="s">
        <v>423</v>
      </c>
      <c r="N920" s="2"/>
      <c r="O920" s="109"/>
      <c r="P920" s="109"/>
      <c r="Q920" s="109"/>
    </row>
    <row r="921" spans="2:17" x14ac:dyDescent="0.25">
      <c r="B921" s="114">
        <v>18</v>
      </c>
      <c r="C921" s="114">
        <v>46</v>
      </c>
      <c r="D921" s="114">
        <v>67</v>
      </c>
      <c r="E921" s="154" cm="1">
        <f t="array" ref="E921">IF(ISBLANK(MainData[[#This Row],[EventID]]),0,IFERROR(INDEX(MainData[],MATCH(MainData[[#This Row],[EventID]],IF(MainData[Product]="Date",MainData[EventID],0),0),12),0))</f>
        <v>44599</v>
      </c>
      <c r="F921" s="155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1" s="155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1" s="157" t="s">
        <v>84</v>
      </c>
      <c r="J921" t="s">
        <v>187</v>
      </c>
      <c r="K921" s="2" t="s">
        <v>157</v>
      </c>
      <c r="L921" s="2" t="s">
        <v>0</v>
      </c>
      <c r="M921" s="158">
        <v>44599</v>
      </c>
      <c r="N921" s="2"/>
      <c r="O921" s="109"/>
      <c r="P921" s="109"/>
      <c r="Q921" s="109"/>
    </row>
    <row r="922" spans="2:17" x14ac:dyDescent="0.25">
      <c r="B922" s="114">
        <v>18</v>
      </c>
      <c r="C922" s="114">
        <v>46</v>
      </c>
      <c r="D922" s="114">
        <v>67</v>
      </c>
      <c r="E922" s="154" cm="1">
        <f t="array" ref="E922">IF(ISBLANK(MainData[[#This Row],[EventID]]),0,IFERROR(INDEX(MainData[],MATCH(MainData[[#This Row],[EventID]],IF(MainData[Product]="Date",MainData[EventID],0),0),12),0))</f>
        <v>44599</v>
      </c>
      <c r="F922" s="155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2" s="155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2" s="157" t="s">
        <v>84</v>
      </c>
      <c r="J922" t="s">
        <v>187</v>
      </c>
      <c r="K922" s="2" t="s">
        <v>157</v>
      </c>
      <c r="L922" s="2" t="s">
        <v>82</v>
      </c>
      <c r="M922" s="2">
        <v>178102</v>
      </c>
      <c r="N922" s="2"/>
      <c r="O922" s="109"/>
      <c r="P922" s="109"/>
      <c r="Q922" s="109"/>
    </row>
    <row r="923" spans="2:17" x14ac:dyDescent="0.25">
      <c r="B923" s="114">
        <v>18</v>
      </c>
      <c r="C923" s="114">
        <v>46</v>
      </c>
      <c r="D923" s="114">
        <v>67</v>
      </c>
      <c r="E923" s="154" cm="1">
        <f t="array" ref="E923">IF(ISBLANK(MainData[[#This Row],[EventID]]),0,IFERROR(INDEX(MainData[],MATCH(MainData[[#This Row],[EventID]],IF(MainData[Product]="Date",MainData[EventID],0),0),12),0))</f>
        <v>44599</v>
      </c>
      <c r="F923" s="155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3" s="155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3" s="157" t="s">
        <v>84</v>
      </c>
      <c r="J923" t="s">
        <v>187</v>
      </c>
      <c r="K923" s="2" t="s">
        <v>157</v>
      </c>
      <c r="L923" s="2" t="s">
        <v>175</v>
      </c>
      <c r="M923" s="2" t="s">
        <v>457</v>
      </c>
      <c r="N923" s="2"/>
      <c r="O923" s="109"/>
      <c r="P923" s="109"/>
      <c r="Q923" s="109"/>
    </row>
    <row r="924" spans="2:17" x14ac:dyDescent="0.25">
      <c r="B924" s="114">
        <v>18</v>
      </c>
      <c r="C924" s="114">
        <v>46</v>
      </c>
      <c r="D924" s="114">
        <v>67</v>
      </c>
      <c r="E924" s="154" cm="1">
        <f t="array" ref="E924">IF(ISBLANK(MainData[[#This Row],[EventID]]),0,IFERROR(INDEX(MainData[],MATCH(MainData[[#This Row],[EventID]],IF(MainData[Product]="Date",MainData[EventID],0),0),12),0))</f>
        <v>44599</v>
      </c>
      <c r="F924" s="155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4" s="155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4" s="157" t="s">
        <v>84</v>
      </c>
      <c r="J924" t="s">
        <v>187</v>
      </c>
      <c r="K924" s="2" t="s">
        <v>157</v>
      </c>
      <c r="L924" s="2" t="s">
        <v>20</v>
      </c>
      <c r="M924" s="2" t="s">
        <v>373</v>
      </c>
      <c r="N924" s="2"/>
      <c r="O924" s="109"/>
      <c r="P924" s="109"/>
      <c r="Q924" s="109"/>
    </row>
    <row r="925" spans="2:17" x14ac:dyDescent="0.25">
      <c r="B925" s="114">
        <v>18</v>
      </c>
      <c r="C925" s="114">
        <v>46</v>
      </c>
      <c r="D925" s="114">
        <v>67</v>
      </c>
      <c r="E925" s="154" cm="1">
        <f t="array" ref="E925">IF(ISBLANK(MainData[[#This Row],[EventID]]),0,IFERROR(INDEX(MainData[],MATCH(MainData[[#This Row],[EventID]],IF(MainData[Product]="Date",MainData[EventID],0),0),12),0))</f>
        <v>44599</v>
      </c>
      <c r="F925" s="155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5" s="155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5" s="157" t="s">
        <v>84</v>
      </c>
      <c r="J925" t="s">
        <v>187</v>
      </c>
      <c r="K925" s="2" t="s">
        <v>157</v>
      </c>
      <c r="L925" s="2" t="s">
        <v>138</v>
      </c>
      <c r="M925" s="2">
        <v>35</v>
      </c>
      <c r="N925" s="2"/>
      <c r="O925" s="109"/>
      <c r="P925" s="109"/>
      <c r="Q925" s="109"/>
    </row>
    <row r="926" spans="2:17" x14ac:dyDescent="0.25">
      <c r="B926" s="114">
        <v>18</v>
      </c>
      <c r="C926" s="114">
        <v>46</v>
      </c>
      <c r="D926" s="114">
        <v>67</v>
      </c>
      <c r="E926" s="154" cm="1">
        <f t="array" ref="E926">IF(ISBLANK(MainData[[#This Row],[EventID]]),0,IFERROR(INDEX(MainData[],MATCH(MainData[[#This Row],[EventID]],IF(MainData[Product]="Date",MainData[EventID],0),0),12),0))</f>
        <v>44599</v>
      </c>
      <c r="F926" s="155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6" s="155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6" s="157" t="s">
        <v>84</v>
      </c>
      <c r="J926" t="s">
        <v>187</v>
      </c>
      <c r="K926" s="2" t="s">
        <v>157</v>
      </c>
      <c r="L926" s="2" t="s">
        <v>86</v>
      </c>
      <c r="M926" s="2">
        <v>2.5</v>
      </c>
      <c r="N926" s="2"/>
      <c r="O926" s="109"/>
      <c r="P926" s="109"/>
      <c r="Q926" s="109"/>
    </row>
    <row r="927" spans="2:17" x14ac:dyDescent="0.25">
      <c r="B927" s="114">
        <v>18</v>
      </c>
      <c r="C927" s="114">
        <v>46</v>
      </c>
      <c r="D927" s="114">
        <v>67</v>
      </c>
      <c r="E927" s="154" cm="1">
        <f t="array" ref="E927">IF(ISBLANK(MainData[[#This Row],[EventID]]),0,IFERROR(INDEX(MainData[],MATCH(MainData[[#This Row],[EventID]],IF(MainData[Product]="Date",MainData[EventID],0),0),12),0))</f>
        <v>44599</v>
      </c>
      <c r="F927" s="155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7" s="155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7" s="157" t="s">
        <v>84</v>
      </c>
      <c r="J927" t="s">
        <v>187</v>
      </c>
      <c r="K927" s="2" t="s">
        <v>157</v>
      </c>
      <c r="L927" s="2" t="s">
        <v>118</v>
      </c>
      <c r="M927" s="2" t="s">
        <v>462</v>
      </c>
      <c r="N927" s="2"/>
      <c r="O927" s="109"/>
      <c r="P927" s="109"/>
      <c r="Q927" s="109"/>
    </row>
    <row r="928" spans="2:17" x14ac:dyDescent="0.25">
      <c r="B928" s="114">
        <v>18</v>
      </c>
      <c r="C928" s="114">
        <v>46</v>
      </c>
      <c r="D928" s="114">
        <v>67</v>
      </c>
      <c r="E928" s="154" cm="1">
        <f t="array" ref="E928">IF(ISBLANK(MainData[[#This Row],[EventID]]),0,IFERROR(INDEX(MainData[],MATCH(MainData[[#This Row],[EventID]],IF(MainData[Product]="Date",MainData[EventID],0),0),12),0))</f>
        <v>44599</v>
      </c>
      <c r="F928" s="155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8" s="155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8" s="157" t="s">
        <v>84</v>
      </c>
      <c r="J928" t="s">
        <v>187</v>
      </c>
      <c r="K928" s="2" t="s">
        <v>157</v>
      </c>
      <c r="L928" s="2" t="s">
        <v>165</v>
      </c>
      <c r="M928" s="2" t="s">
        <v>403</v>
      </c>
      <c r="N928" s="2"/>
      <c r="O928" s="109"/>
      <c r="P928" s="109"/>
      <c r="Q928" s="109"/>
    </row>
    <row r="929" spans="2:17" x14ac:dyDescent="0.25">
      <c r="B929" s="114">
        <v>18</v>
      </c>
      <c r="C929" s="114">
        <v>46</v>
      </c>
      <c r="D929" s="114">
        <v>67</v>
      </c>
      <c r="E929" s="154" cm="1">
        <f t="array" ref="E929">IF(ISBLANK(MainData[[#This Row],[EventID]]),0,IFERROR(INDEX(MainData[],MATCH(MainData[[#This Row],[EventID]],IF(MainData[Product]="Date",MainData[EventID],0),0),12),0))</f>
        <v>44599</v>
      </c>
      <c r="F929" s="155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9" s="155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9" s="157" t="s">
        <v>84</v>
      </c>
      <c r="J929" t="s">
        <v>187</v>
      </c>
      <c r="K929" s="2" t="s">
        <v>157</v>
      </c>
      <c r="L929" s="2" t="s">
        <v>232</v>
      </c>
      <c r="M929" s="2" t="s">
        <v>85</v>
      </c>
      <c r="N929" s="2"/>
      <c r="O929" s="109"/>
      <c r="P929" s="109"/>
      <c r="Q929" s="109"/>
    </row>
    <row r="930" spans="2:17" x14ac:dyDescent="0.25">
      <c r="B930" s="114">
        <v>18</v>
      </c>
      <c r="C930" s="114">
        <v>46</v>
      </c>
      <c r="D930" s="114">
        <v>67</v>
      </c>
      <c r="E930" s="154" cm="1">
        <f t="array" ref="E930">IF(ISBLANK(MainData[[#This Row],[EventID]]),0,IFERROR(INDEX(MainData[],MATCH(MainData[[#This Row],[EventID]],IF(MainData[Product]="Date",MainData[EventID],0),0),12),0))</f>
        <v>44599</v>
      </c>
      <c r="F930" s="155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0" s="155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0" s="20" t="s">
        <v>85</v>
      </c>
      <c r="J930" t="s">
        <v>20</v>
      </c>
      <c r="K930" s="2" t="s">
        <v>116</v>
      </c>
      <c r="L930" s="2" t="s">
        <v>88</v>
      </c>
      <c r="M930" s="2" t="s">
        <v>189</v>
      </c>
      <c r="N930" s="2" t="s">
        <v>233</v>
      </c>
      <c r="O930" s="109">
        <v>1</v>
      </c>
      <c r="P930" s="109"/>
      <c r="Q930" s="109"/>
    </row>
    <row r="931" spans="2:17" x14ac:dyDescent="0.25">
      <c r="B931" s="114">
        <v>18</v>
      </c>
      <c r="C931" s="114">
        <v>46</v>
      </c>
      <c r="D931" s="114">
        <v>67</v>
      </c>
      <c r="E931" s="154" cm="1">
        <f t="array" ref="E931">IF(ISBLANK(MainData[[#This Row],[EventID]]),0,IFERROR(INDEX(MainData[],MATCH(MainData[[#This Row],[EventID]],IF(MainData[Product]="Date",MainData[EventID],0),0),12),0))</f>
        <v>44599</v>
      </c>
      <c r="F931" s="155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1" s="155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1" s="20" t="s">
        <v>85</v>
      </c>
      <c r="J931" t="s">
        <v>20</v>
      </c>
      <c r="K931" s="2" t="s">
        <v>116</v>
      </c>
      <c r="L931" s="2" t="s">
        <v>87</v>
      </c>
      <c r="M931" s="2" t="s">
        <v>188</v>
      </c>
      <c r="N931" s="2" t="s">
        <v>233</v>
      </c>
      <c r="O931" s="109">
        <v>1</v>
      </c>
      <c r="P931" s="109"/>
      <c r="Q931" s="109">
        <v>100</v>
      </c>
    </row>
    <row r="932" spans="2:17" x14ac:dyDescent="0.25">
      <c r="B932" s="114">
        <v>18</v>
      </c>
      <c r="C932" s="114">
        <v>46</v>
      </c>
      <c r="D932" s="114">
        <v>67</v>
      </c>
      <c r="E932" s="154" cm="1">
        <f t="array" ref="E932">IF(ISBLANK(MainData[[#This Row],[EventID]]),0,IFERROR(INDEX(MainData[],MATCH(MainData[[#This Row],[EventID]],IF(MainData[Product]="Date",MainData[EventID],0),0),12),0))</f>
        <v>44599</v>
      </c>
      <c r="F932" s="155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2" s="155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2" s="157" t="s">
        <v>85</v>
      </c>
      <c r="J932" t="s">
        <v>20</v>
      </c>
      <c r="K932" s="2" t="s">
        <v>29</v>
      </c>
      <c r="L932" s="2" t="s">
        <v>35</v>
      </c>
      <c r="M932" s="2" t="s">
        <v>382</v>
      </c>
      <c r="N932" s="2" t="s">
        <v>236</v>
      </c>
      <c r="O932" s="109">
        <v>1</v>
      </c>
      <c r="P932" s="109">
        <v>11</v>
      </c>
      <c r="Q932" s="109">
        <v>108</v>
      </c>
    </row>
    <row r="933" spans="2:17" x14ac:dyDescent="0.25">
      <c r="B933" s="114">
        <v>18</v>
      </c>
      <c r="C933" s="114">
        <v>46</v>
      </c>
      <c r="D933" s="114">
        <v>67</v>
      </c>
      <c r="E933" s="154" cm="1">
        <f t="array" ref="E933">IF(ISBLANK(MainData[[#This Row],[EventID]]),0,IFERROR(INDEX(MainData[],MATCH(MainData[[#This Row],[EventID]],IF(MainData[Product]="Date",MainData[EventID],0),0),12),0))</f>
        <v>44599</v>
      </c>
      <c r="F933" s="155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3" s="155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3" s="157" t="s">
        <v>85</v>
      </c>
      <c r="J933" t="s">
        <v>20</v>
      </c>
      <c r="K933" s="2" t="s">
        <v>29</v>
      </c>
      <c r="L933" s="2" t="s">
        <v>65</v>
      </c>
      <c r="M933" s="2" t="s">
        <v>383</v>
      </c>
      <c r="N933" s="2" t="s">
        <v>236</v>
      </c>
      <c r="O933" s="109">
        <v>1</v>
      </c>
      <c r="P933" s="109">
        <v>1.75</v>
      </c>
      <c r="Q933" s="109">
        <v>20</v>
      </c>
    </row>
    <row r="934" spans="2:17" x14ac:dyDescent="0.25">
      <c r="B934" s="114">
        <v>18</v>
      </c>
      <c r="C934" s="114">
        <v>46</v>
      </c>
      <c r="D934" s="114">
        <v>67</v>
      </c>
      <c r="E934" s="154" cm="1">
        <f t="array" ref="E934">IF(ISBLANK(MainData[[#This Row],[EventID]]),0,IFERROR(INDEX(MainData[],MATCH(MainData[[#This Row],[EventID]],IF(MainData[Product]="Date",MainData[EventID],0),0),12),0))</f>
        <v>44599</v>
      </c>
      <c r="F934" s="155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4" s="155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4" s="20" t="s">
        <v>85</v>
      </c>
      <c r="J934" t="s">
        <v>20</v>
      </c>
      <c r="K934" s="2" t="s">
        <v>29</v>
      </c>
      <c r="L934" s="2" t="s">
        <v>25</v>
      </c>
      <c r="M934" s="2" t="s">
        <v>388</v>
      </c>
      <c r="N934" s="2" t="s">
        <v>236</v>
      </c>
      <c r="O934" s="109">
        <v>1</v>
      </c>
      <c r="P934" s="109">
        <v>15.6</v>
      </c>
      <c r="Q934" s="109">
        <v>160</v>
      </c>
    </row>
    <row r="935" spans="2:17" x14ac:dyDescent="0.25">
      <c r="B935" s="114">
        <v>33</v>
      </c>
      <c r="C935" s="114">
        <v>89</v>
      </c>
      <c r="D935" s="114">
        <v>69</v>
      </c>
      <c r="E935" s="154" cm="1">
        <f t="array" ref="E935">IF(ISBLANK(MainData[[#This Row],[EventID]]),0,IFERROR(INDEX(MainData[],MATCH(MainData[[#This Row],[EventID]],IF(MainData[Product]="Date",MainData[EventID],0),0),12),0))</f>
        <v>44599</v>
      </c>
      <c r="F935" s="155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5" s="155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5" s="157" t="s">
        <v>84</v>
      </c>
      <c r="J935" t="s">
        <v>187</v>
      </c>
      <c r="K935" s="2" t="s">
        <v>157</v>
      </c>
      <c r="L935" s="2" t="s">
        <v>81</v>
      </c>
      <c r="M935" s="2">
        <v>1</v>
      </c>
      <c r="N935" s="2"/>
      <c r="O935" s="109"/>
      <c r="P935" s="109"/>
      <c r="Q935" s="109"/>
    </row>
    <row r="936" spans="2:17" x14ac:dyDescent="0.25">
      <c r="B936" s="114">
        <v>33</v>
      </c>
      <c r="C936" s="114">
        <v>89</v>
      </c>
      <c r="D936" s="114">
        <v>69</v>
      </c>
      <c r="E936" s="154" cm="1">
        <f t="array" ref="E936">IF(ISBLANK(MainData[[#This Row],[EventID]]),0,IFERROR(INDEX(MainData[],MATCH(MainData[[#This Row],[EventID]],IF(MainData[Product]="Date",MainData[EventID],0),0),12),0))</f>
        <v>44599</v>
      </c>
      <c r="F936" s="155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6" s="155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6" s="157" t="s">
        <v>84</v>
      </c>
      <c r="J936" t="s">
        <v>187</v>
      </c>
      <c r="K936" s="2" t="s">
        <v>157</v>
      </c>
      <c r="L936" s="2" t="s">
        <v>164</v>
      </c>
      <c r="M936" s="2" t="s">
        <v>434</v>
      </c>
      <c r="N936" s="2"/>
      <c r="O936" s="109"/>
      <c r="P936" s="109"/>
      <c r="Q936" s="109"/>
    </row>
    <row r="937" spans="2:17" x14ac:dyDescent="0.25">
      <c r="B937" s="114">
        <v>33</v>
      </c>
      <c r="C937" s="114">
        <v>89</v>
      </c>
      <c r="D937" s="114">
        <v>69</v>
      </c>
      <c r="E937" s="154" cm="1">
        <f t="array" ref="E937">IF(ISBLANK(MainData[[#This Row],[EventID]]),0,IFERROR(INDEX(MainData[],MATCH(MainData[[#This Row],[EventID]],IF(MainData[Product]="Date",MainData[EventID],0),0),12),0))</f>
        <v>44599</v>
      </c>
      <c r="F937" s="155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7" s="155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7" s="157" t="s">
        <v>84</v>
      </c>
      <c r="J937" t="s">
        <v>187</v>
      </c>
      <c r="K937" s="2" t="s">
        <v>157</v>
      </c>
      <c r="L937" s="2" t="s">
        <v>0</v>
      </c>
      <c r="M937" s="158">
        <v>44599</v>
      </c>
      <c r="N937" s="2"/>
      <c r="O937" s="109"/>
      <c r="P937" s="109"/>
      <c r="Q937" s="109"/>
    </row>
    <row r="938" spans="2:17" x14ac:dyDescent="0.25">
      <c r="B938" s="114">
        <v>33</v>
      </c>
      <c r="C938" s="114">
        <v>89</v>
      </c>
      <c r="D938" s="114">
        <v>69</v>
      </c>
      <c r="E938" s="154" cm="1">
        <f t="array" ref="E938">IF(ISBLANK(MainData[[#This Row],[EventID]]),0,IFERROR(INDEX(MainData[],MATCH(MainData[[#This Row],[EventID]],IF(MainData[Product]="Date",MainData[EventID],0),0),12),0))</f>
        <v>44599</v>
      </c>
      <c r="F938" s="155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8" s="155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8" s="157" t="s">
        <v>84</v>
      </c>
      <c r="J938" t="s">
        <v>187</v>
      </c>
      <c r="K938" s="2" t="s">
        <v>157</v>
      </c>
      <c r="L938" s="2" t="s">
        <v>82</v>
      </c>
      <c r="M938" s="2">
        <v>291007</v>
      </c>
      <c r="N938" s="2"/>
      <c r="O938" s="109"/>
      <c r="P938" s="109"/>
      <c r="Q938" s="109"/>
    </row>
    <row r="939" spans="2:17" x14ac:dyDescent="0.25">
      <c r="B939" s="114">
        <v>33</v>
      </c>
      <c r="C939" s="114">
        <v>89</v>
      </c>
      <c r="D939" s="114">
        <v>69</v>
      </c>
      <c r="E939" s="154" cm="1">
        <f t="array" ref="E939">IF(ISBLANK(MainData[[#This Row],[EventID]]),0,IFERROR(INDEX(MainData[],MATCH(MainData[[#This Row],[EventID]],IF(MainData[Product]="Date",MainData[EventID],0),0),12),0))</f>
        <v>44599</v>
      </c>
      <c r="F939" s="155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9" s="155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9" s="157" t="s">
        <v>84</v>
      </c>
      <c r="J939" t="s">
        <v>187</v>
      </c>
      <c r="K939" s="2" t="s">
        <v>157</v>
      </c>
      <c r="L939" s="2" t="s">
        <v>175</v>
      </c>
      <c r="M939" s="2" t="s">
        <v>457</v>
      </c>
      <c r="N939" s="2"/>
      <c r="O939" s="109"/>
      <c r="P939" s="109"/>
      <c r="Q939" s="109"/>
    </row>
    <row r="940" spans="2:17" x14ac:dyDescent="0.25">
      <c r="B940" s="114">
        <v>33</v>
      </c>
      <c r="C940" s="114">
        <v>89</v>
      </c>
      <c r="D940" s="114">
        <v>69</v>
      </c>
      <c r="E940" s="154" cm="1">
        <f t="array" ref="E940">IF(ISBLANK(MainData[[#This Row],[EventID]]),0,IFERROR(INDEX(MainData[],MATCH(MainData[[#This Row],[EventID]],IF(MainData[Product]="Date",MainData[EventID],0),0),12),0))</f>
        <v>44599</v>
      </c>
      <c r="F940" s="155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0" s="155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0" s="157" t="s">
        <v>84</v>
      </c>
      <c r="J940" t="s">
        <v>187</v>
      </c>
      <c r="K940" s="2" t="s">
        <v>157</v>
      </c>
      <c r="L940" s="2" t="s">
        <v>20</v>
      </c>
      <c r="M940" s="2" t="s">
        <v>374</v>
      </c>
      <c r="N940" s="2"/>
      <c r="O940" s="109"/>
      <c r="P940" s="109"/>
      <c r="Q940" s="109"/>
    </row>
    <row r="941" spans="2:17" x14ac:dyDescent="0.25">
      <c r="B941" s="114">
        <v>33</v>
      </c>
      <c r="C941" s="114">
        <v>89</v>
      </c>
      <c r="D941" s="114">
        <v>69</v>
      </c>
      <c r="E941" s="154" cm="1">
        <f t="array" ref="E941">IF(ISBLANK(MainData[[#This Row],[EventID]]),0,IFERROR(INDEX(MainData[],MATCH(MainData[[#This Row],[EventID]],IF(MainData[Product]="Date",MainData[EventID],0),0),12),0))</f>
        <v>44599</v>
      </c>
      <c r="F941" s="155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1" s="155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1" s="157" t="s">
        <v>84</v>
      </c>
      <c r="J941" t="s">
        <v>187</v>
      </c>
      <c r="K941" s="2" t="s">
        <v>157</v>
      </c>
      <c r="L941" s="2" t="s">
        <v>138</v>
      </c>
      <c r="M941" s="2">
        <v>245</v>
      </c>
      <c r="N941" s="2"/>
      <c r="O941" s="109"/>
      <c r="P941" s="109"/>
      <c r="Q941" s="109"/>
    </row>
    <row r="942" spans="2:17" x14ac:dyDescent="0.25">
      <c r="B942" s="114">
        <v>33</v>
      </c>
      <c r="C942" s="114">
        <v>89</v>
      </c>
      <c r="D942" s="114">
        <v>69</v>
      </c>
      <c r="E942" s="154" cm="1">
        <f t="array" ref="E942">IF(ISBLANK(MainData[[#This Row],[EventID]]),0,IFERROR(INDEX(MainData[],MATCH(MainData[[#This Row],[EventID]],IF(MainData[Product]="Date",MainData[EventID],0),0),12),0))</f>
        <v>44599</v>
      </c>
      <c r="F942" s="155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2" s="155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2" s="157" t="s">
        <v>84</v>
      </c>
      <c r="J942" t="s">
        <v>187</v>
      </c>
      <c r="K942" s="2" t="s">
        <v>157</v>
      </c>
      <c r="L942" s="2" t="s">
        <v>86</v>
      </c>
      <c r="M942" s="2">
        <v>3</v>
      </c>
      <c r="N942" s="2"/>
      <c r="O942" s="109"/>
      <c r="P942" s="109"/>
      <c r="Q942" s="109"/>
    </row>
    <row r="943" spans="2:17" x14ac:dyDescent="0.25">
      <c r="B943" s="114">
        <v>33</v>
      </c>
      <c r="C943" s="114">
        <v>89</v>
      </c>
      <c r="D943" s="114">
        <v>69</v>
      </c>
      <c r="E943" s="154" cm="1">
        <f t="array" ref="E943">IF(ISBLANK(MainData[[#This Row],[EventID]]),0,IFERROR(INDEX(MainData[],MATCH(MainData[[#This Row],[EventID]],IF(MainData[Product]="Date",MainData[EventID],0),0),12),0))</f>
        <v>44599</v>
      </c>
      <c r="F943" s="155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3" s="155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3" s="157" t="s">
        <v>84</v>
      </c>
      <c r="J943" t="s">
        <v>187</v>
      </c>
      <c r="K943" s="2" t="s">
        <v>157</v>
      </c>
      <c r="L943" s="2" t="s">
        <v>118</v>
      </c>
      <c r="M943" s="2" t="s">
        <v>490</v>
      </c>
      <c r="N943" s="2"/>
      <c r="O943" s="109"/>
      <c r="P943" s="109"/>
      <c r="Q943" s="109"/>
    </row>
    <row r="944" spans="2:17" x14ac:dyDescent="0.25">
      <c r="B944" s="114">
        <v>33</v>
      </c>
      <c r="C944" s="114">
        <v>89</v>
      </c>
      <c r="D944" s="114">
        <v>69</v>
      </c>
      <c r="E944" s="154" cm="1">
        <f t="array" ref="E944">IF(ISBLANK(MainData[[#This Row],[EventID]]),0,IFERROR(INDEX(MainData[],MATCH(MainData[[#This Row],[EventID]],IF(MainData[Product]="Date",MainData[EventID],0),0),12),0))</f>
        <v>44599</v>
      </c>
      <c r="F944" s="155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4" s="155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4" s="157" t="s">
        <v>84</v>
      </c>
      <c r="J944" t="s">
        <v>187</v>
      </c>
      <c r="K944" s="2" t="s">
        <v>157</v>
      </c>
      <c r="L944" s="2" t="s">
        <v>165</v>
      </c>
      <c r="M944" s="2" t="s">
        <v>401</v>
      </c>
      <c r="N944" s="2"/>
      <c r="O944" s="109"/>
      <c r="P944" s="109"/>
      <c r="Q944" s="109"/>
    </row>
    <row r="945" spans="2:17" x14ac:dyDescent="0.25">
      <c r="B945" s="114">
        <v>33</v>
      </c>
      <c r="C945" s="114">
        <v>89</v>
      </c>
      <c r="D945" s="114">
        <v>69</v>
      </c>
      <c r="E945" s="154" cm="1">
        <f t="array" ref="E945">IF(ISBLANK(MainData[[#This Row],[EventID]]),0,IFERROR(INDEX(MainData[],MATCH(MainData[[#This Row],[EventID]],IF(MainData[Product]="Date",MainData[EventID],0),0),12),0))</f>
        <v>44599</v>
      </c>
      <c r="F945" s="155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5" s="155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5" s="20" t="s">
        <v>85</v>
      </c>
      <c r="J945" t="s">
        <v>20</v>
      </c>
      <c r="K945" s="2" t="s">
        <v>116</v>
      </c>
      <c r="L945" s="2" t="s">
        <v>88</v>
      </c>
      <c r="M945" s="2" t="s">
        <v>189</v>
      </c>
      <c r="N945" s="2" t="s">
        <v>233</v>
      </c>
      <c r="O945" s="109">
        <v>2</v>
      </c>
      <c r="P945" s="109"/>
      <c r="Q945" s="109"/>
    </row>
    <row r="946" spans="2:17" x14ac:dyDescent="0.25">
      <c r="B946" s="114">
        <v>33</v>
      </c>
      <c r="C946" s="114">
        <v>89</v>
      </c>
      <c r="D946" s="114">
        <v>69</v>
      </c>
      <c r="E946" s="154" cm="1">
        <f t="array" ref="E946">IF(ISBLANK(MainData[[#This Row],[EventID]]),0,IFERROR(INDEX(MainData[],MATCH(MainData[[#This Row],[EventID]],IF(MainData[Product]="Date",MainData[EventID],0),0),12),0))</f>
        <v>44599</v>
      </c>
      <c r="F946" s="155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6" s="155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6" s="20" t="s">
        <v>85</v>
      </c>
      <c r="J946" t="s">
        <v>20</v>
      </c>
      <c r="K946" s="2" t="s">
        <v>116</v>
      </c>
      <c r="L946" s="2" t="s">
        <v>87</v>
      </c>
      <c r="M946" s="2" t="s">
        <v>188</v>
      </c>
      <c r="N946" s="2" t="s">
        <v>233</v>
      </c>
      <c r="O946" s="109">
        <v>3</v>
      </c>
      <c r="P946" s="109"/>
      <c r="Q946" s="109">
        <v>300</v>
      </c>
    </row>
    <row r="947" spans="2:17" x14ac:dyDescent="0.25">
      <c r="B947" s="114">
        <v>33</v>
      </c>
      <c r="C947" s="114">
        <v>89</v>
      </c>
      <c r="D947" s="114">
        <v>69</v>
      </c>
      <c r="E947" s="154" cm="1">
        <f t="array" ref="E947">IF(ISBLANK(MainData[[#This Row],[EventID]]),0,IFERROR(INDEX(MainData[],MATCH(MainData[[#This Row],[EventID]],IF(MainData[Product]="Date",MainData[EventID],0),0),12),0))</f>
        <v>44599</v>
      </c>
      <c r="F947" s="155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7" s="155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7" s="157" t="s">
        <v>85</v>
      </c>
      <c r="J947" t="s">
        <v>20</v>
      </c>
      <c r="K947" s="2" t="s">
        <v>29</v>
      </c>
      <c r="L947" s="2" t="s">
        <v>35</v>
      </c>
      <c r="M947" s="2" t="s">
        <v>382</v>
      </c>
      <c r="N947" s="2" t="s">
        <v>236</v>
      </c>
      <c r="O947" s="109">
        <v>3</v>
      </c>
      <c r="P947" s="109">
        <v>69</v>
      </c>
      <c r="Q947" s="109">
        <v>690.96</v>
      </c>
    </row>
    <row r="948" spans="2:17" x14ac:dyDescent="0.25">
      <c r="B948" s="114">
        <v>33</v>
      </c>
      <c r="C948" s="114">
        <v>89</v>
      </c>
      <c r="D948" s="114">
        <v>69</v>
      </c>
      <c r="E948" s="154" cm="1">
        <f t="array" ref="E948">IF(ISBLANK(MainData[[#This Row],[EventID]]),0,IFERROR(INDEX(MainData[],MATCH(MainData[[#This Row],[EventID]],IF(MainData[Product]="Date",MainData[EventID],0),0),12),0))</f>
        <v>44599</v>
      </c>
      <c r="F948" s="155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8" s="155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8" s="20" t="s">
        <v>85</v>
      </c>
      <c r="J948" t="s">
        <v>20</v>
      </c>
      <c r="K948" s="2" t="s">
        <v>29</v>
      </c>
      <c r="L948" s="2" t="s">
        <v>36</v>
      </c>
      <c r="M948" s="2" t="s">
        <v>387</v>
      </c>
      <c r="N948" s="2" t="s">
        <v>236</v>
      </c>
      <c r="O948" s="109">
        <v>3</v>
      </c>
      <c r="P948" s="109">
        <v>71.400000000000006</v>
      </c>
      <c r="Q948" s="109">
        <v>1585.67</v>
      </c>
    </row>
    <row r="949" spans="2:17" x14ac:dyDescent="0.25">
      <c r="B949" s="114">
        <v>33</v>
      </c>
      <c r="C949" s="114">
        <v>89</v>
      </c>
      <c r="D949" s="114">
        <v>69</v>
      </c>
      <c r="E949" s="154" cm="1">
        <f t="array" ref="E949">IF(ISBLANK(MainData[[#This Row],[EventID]]),0,IFERROR(INDEX(MainData[],MATCH(MainData[[#This Row],[EventID]],IF(MainData[Product]="Date",MainData[EventID],0),0),12),0))</f>
        <v>44599</v>
      </c>
      <c r="F949" s="155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9" s="155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9" s="157" t="s">
        <v>85</v>
      </c>
      <c r="J949" t="s">
        <v>20</v>
      </c>
      <c r="K949" s="2" t="s">
        <v>29</v>
      </c>
      <c r="L949" s="2" t="s">
        <v>65</v>
      </c>
      <c r="M949" s="2" t="s">
        <v>383</v>
      </c>
      <c r="N949" s="2" t="s">
        <v>236</v>
      </c>
      <c r="O949" s="109">
        <v>3</v>
      </c>
      <c r="P949" s="109">
        <v>12</v>
      </c>
      <c r="Q949" s="109">
        <v>250.4</v>
      </c>
    </row>
    <row r="950" spans="2:17" x14ac:dyDescent="0.25">
      <c r="B950" s="114">
        <v>33</v>
      </c>
      <c r="C950" s="114">
        <v>89</v>
      </c>
      <c r="D950" s="114">
        <v>69</v>
      </c>
      <c r="E950" s="154" cm="1">
        <f t="array" ref="E950">IF(ISBLANK(MainData[[#This Row],[EventID]]),0,IFERROR(INDEX(MainData[],MATCH(MainData[[#This Row],[EventID]],IF(MainData[Product]="Date",MainData[EventID],0),0),12),0))</f>
        <v>44599</v>
      </c>
      <c r="F950" s="155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50" s="155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50" s="157" t="s">
        <v>85</v>
      </c>
      <c r="J950" t="s">
        <v>20</v>
      </c>
      <c r="K950" s="2" t="s">
        <v>29</v>
      </c>
      <c r="L950" s="2" t="s">
        <v>25</v>
      </c>
      <c r="M950" s="2" t="s">
        <v>388</v>
      </c>
      <c r="N950" s="2" t="s">
        <v>236</v>
      </c>
      <c r="O950" s="109">
        <v>3</v>
      </c>
      <c r="P950" s="109">
        <v>72</v>
      </c>
      <c r="Q950" s="109">
        <v>721.45</v>
      </c>
    </row>
    <row r="951" spans="2:17" x14ac:dyDescent="0.25">
      <c r="B951" s="114">
        <v>29</v>
      </c>
      <c r="C951" s="114">
        <v>84</v>
      </c>
      <c r="D951" s="114">
        <v>72</v>
      </c>
      <c r="E951" s="154" cm="1">
        <f t="array" ref="E951">IF(ISBLANK(MainData[[#This Row],[EventID]]),0,IFERROR(INDEX(MainData[],MATCH(MainData[[#This Row],[EventID]],IF(MainData[Product]="Date",MainData[EventID],0),0),12),0))</f>
        <v>44601</v>
      </c>
      <c r="F951" s="155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1" s="155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1" s="157" t="s">
        <v>84</v>
      </c>
      <c r="J951" t="s">
        <v>187</v>
      </c>
      <c r="K951" s="2" t="s">
        <v>157</v>
      </c>
      <c r="L951" s="2" t="s">
        <v>81</v>
      </c>
      <c r="M951" s="2">
        <v>1</v>
      </c>
      <c r="N951" s="2"/>
      <c r="O951" s="109"/>
      <c r="P951" s="109"/>
      <c r="Q951" s="109"/>
    </row>
    <row r="952" spans="2:17" x14ac:dyDescent="0.25">
      <c r="B952" s="114">
        <v>29</v>
      </c>
      <c r="C952" s="114">
        <v>84</v>
      </c>
      <c r="D952" s="114">
        <v>72</v>
      </c>
      <c r="E952" s="154" cm="1">
        <f t="array" ref="E952">IF(ISBLANK(MainData[[#This Row],[EventID]]),0,IFERROR(INDEX(MainData[],MATCH(MainData[[#This Row],[EventID]],IF(MainData[Product]="Date",MainData[EventID],0),0),12),0))</f>
        <v>44601</v>
      </c>
      <c r="F952" s="155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2" s="155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2" s="157" t="s">
        <v>84</v>
      </c>
      <c r="J952" t="s">
        <v>187</v>
      </c>
      <c r="K952" s="2" t="s">
        <v>157</v>
      </c>
      <c r="L952" s="2" t="s">
        <v>0</v>
      </c>
      <c r="M952" s="158">
        <v>44601</v>
      </c>
      <c r="N952" s="2"/>
      <c r="O952" s="109"/>
      <c r="P952" s="109"/>
      <c r="Q952" s="109"/>
    </row>
    <row r="953" spans="2:17" x14ac:dyDescent="0.25">
      <c r="B953" s="114">
        <v>29</v>
      </c>
      <c r="C953" s="114">
        <v>84</v>
      </c>
      <c r="D953" s="114">
        <v>72</v>
      </c>
      <c r="E953" s="154" cm="1">
        <f t="array" ref="E953">IF(ISBLANK(MainData[[#This Row],[EventID]]),0,IFERROR(INDEX(MainData[],MATCH(MainData[[#This Row],[EventID]],IF(MainData[Product]="Date",MainData[EventID],0),0),12),0))</f>
        <v>44601</v>
      </c>
      <c r="F953" s="155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3" s="155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3" s="157" t="s">
        <v>84</v>
      </c>
      <c r="J953" t="s">
        <v>187</v>
      </c>
      <c r="K953" s="2" t="s">
        <v>157</v>
      </c>
      <c r="L953" s="2" t="s">
        <v>82</v>
      </c>
      <c r="M953" s="2">
        <v>826352</v>
      </c>
      <c r="N953" s="2"/>
      <c r="O953" s="109"/>
      <c r="P953" s="109"/>
      <c r="Q953" s="109"/>
    </row>
    <row r="954" spans="2:17" x14ac:dyDescent="0.25">
      <c r="B954" s="114">
        <v>29</v>
      </c>
      <c r="C954" s="114">
        <v>84</v>
      </c>
      <c r="D954" s="114">
        <v>72</v>
      </c>
      <c r="E954" s="154" cm="1">
        <f t="array" ref="E954">IF(ISBLANK(MainData[[#This Row],[EventID]]),0,IFERROR(INDEX(MainData[],MATCH(MainData[[#This Row],[EventID]],IF(MainData[Product]="Date",MainData[EventID],0),0),12),0))</f>
        <v>44601</v>
      </c>
      <c r="F954" s="155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4" s="155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4" s="157" t="s">
        <v>84</v>
      </c>
      <c r="J954" t="s">
        <v>187</v>
      </c>
      <c r="K954" s="2" t="s">
        <v>157</v>
      </c>
      <c r="L954" s="2" t="s">
        <v>175</v>
      </c>
      <c r="M954" s="2" t="s">
        <v>482</v>
      </c>
      <c r="N954" s="2"/>
      <c r="O954" s="109"/>
      <c r="P954" s="109"/>
      <c r="Q954" s="109"/>
    </row>
    <row r="955" spans="2:17" x14ac:dyDescent="0.25">
      <c r="B955" s="114">
        <v>29</v>
      </c>
      <c r="C955" s="114">
        <v>84</v>
      </c>
      <c r="D955" s="114">
        <v>72</v>
      </c>
      <c r="E955" s="154" cm="1">
        <f t="array" ref="E955">IF(ISBLANK(MainData[[#This Row],[EventID]]),0,IFERROR(INDEX(MainData[],MATCH(MainData[[#This Row],[EventID]],IF(MainData[Product]="Date",MainData[EventID],0),0),12),0))</f>
        <v>44601</v>
      </c>
      <c r="F955" s="155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5" s="155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5" s="157" t="s">
        <v>84</v>
      </c>
      <c r="J955" t="s">
        <v>187</v>
      </c>
      <c r="K955" s="2" t="s">
        <v>157</v>
      </c>
      <c r="L955" s="2" t="s">
        <v>138</v>
      </c>
      <c r="M955" s="2">
        <v>38</v>
      </c>
      <c r="N955" s="2"/>
      <c r="O955" s="109"/>
      <c r="P955" s="109"/>
      <c r="Q955" s="109"/>
    </row>
    <row r="956" spans="2:17" x14ac:dyDescent="0.25">
      <c r="B956" s="114">
        <v>29</v>
      </c>
      <c r="C956" s="114">
        <v>84</v>
      </c>
      <c r="D956" s="114">
        <v>72</v>
      </c>
      <c r="E956" s="154" cm="1">
        <f t="array" ref="E956">IF(ISBLANK(MainData[[#This Row],[EventID]]),0,IFERROR(INDEX(MainData[],MATCH(MainData[[#This Row],[EventID]],IF(MainData[Product]="Date",MainData[EventID],0),0),12),0))</f>
        <v>44601</v>
      </c>
      <c r="F956" s="155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6" s="155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6" s="157" t="s">
        <v>84</v>
      </c>
      <c r="J956" t="s">
        <v>187</v>
      </c>
      <c r="K956" s="2" t="s">
        <v>157</v>
      </c>
      <c r="L956" s="2" t="s">
        <v>86</v>
      </c>
      <c r="M956" s="2">
        <v>2</v>
      </c>
      <c r="N956" s="2"/>
      <c r="O956" s="109"/>
      <c r="P956" s="109"/>
      <c r="Q956" s="109"/>
    </row>
    <row r="957" spans="2:17" x14ac:dyDescent="0.25">
      <c r="B957" s="114">
        <v>29</v>
      </c>
      <c r="C957" s="114">
        <v>84</v>
      </c>
      <c r="D957" s="114">
        <v>72</v>
      </c>
      <c r="E957" s="154" cm="1">
        <f t="array" ref="E957">IF(ISBLANK(MainData[[#This Row],[EventID]]),0,IFERROR(INDEX(MainData[],MATCH(MainData[[#This Row],[EventID]],IF(MainData[Product]="Date",MainData[EventID],0),0),12),0))</f>
        <v>44601</v>
      </c>
      <c r="F957" s="155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7" s="155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7" s="157" t="s">
        <v>84</v>
      </c>
      <c r="J957" t="s">
        <v>187</v>
      </c>
      <c r="K957" s="2" t="s">
        <v>157</v>
      </c>
      <c r="L957" s="2" t="s">
        <v>118</v>
      </c>
      <c r="M957" s="2" t="s">
        <v>483</v>
      </c>
      <c r="N957" s="2"/>
      <c r="O957" s="109"/>
      <c r="P957" s="109"/>
      <c r="Q957" s="109"/>
    </row>
    <row r="958" spans="2:17" x14ac:dyDescent="0.25">
      <c r="B958" s="114">
        <v>29</v>
      </c>
      <c r="C958" s="114">
        <v>84</v>
      </c>
      <c r="D958" s="114">
        <v>72</v>
      </c>
      <c r="E958" s="154" cm="1">
        <f t="array" ref="E958">IF(ISBLANK(MainData[[#This Row],[EventID]]),0,IFERROR(INDEX(MainData[],MATCH(MainData[[#This Row],[EventID]],IF(MainData[Product]="Date",MainData[EventID],0),0),12),0))</f>
        <v>44601</v>
      </c>
      <c r="F958" s="155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8" s="155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8" s="20" t="s">
        <v>85</v>
      </c>
      <c r="J958" t="s">
        <v>20</v>
      </c>
      <c r="K958" s="2" t="s">
        <v>116</v>
      </c>
      <c r="L958" s="2" t="s">
        <v>88</v>
      </c>
      <c r="M958" s="2" t="s">
        <v>189</v>
      </c>
      <c r="N958" s="2" t="s">
        <v>233</v>
      </c>
      <c r="O958" s="109">
        <v>1</v>
      </c>
      <c r="P958" s="109"/>
      <c r="Q958" s="109"/>
    </row>
    <row r="959" spans="2:17" x14ac:dyDescent="0.25">
      <c r="B959" s="114">
        <v>29</v>
      </c>
      <c r="C959" s="114">
        <v>84</v>
      </c>
      <c r="D959" s="114">
        <v>72</v>
      </c>
      <c r="E959" s="154" cm="1">
        <f t="array" ref="E959">IF(ISBLANK(MainData[[#This Row],[EventID]]),0,IFERROR(INDEX(MainData[],MATCH(MainData[[#This Row],[EventID]],IF(MainData[Product]="Date",MainData[EventID],0),0),12),0))</f>
        <v>44601</v>
      </c>
      <c r="F959" s="155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9" s="155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9" s="20" t="s">
        <v>85</v>
      </c>
      <c r="J959" t="s">
        <v>20</v>
      </c>
      <c r="K959" s="2" t="s">
        <v>116</v>
      </c>
      <c r="L959" s="2" t="s">
        <v>87</v>
      </c>
      <c r="M959" s="2" t="s">
        <v>188</v>
      </c>
      <c r="N959" s="2" t="s">
        <v>233</v>
      </c>
      <c r="O959" s="109">
        <v>1</v>
      </c>
      <c r="P959" s="109"/>
      <c r="Q959" s="109">
        <v>100</v>
      </c>
    </row>
    <row r="960" spans="2:17" x14ac:dyDescent="0.25">
      <c r="B960" s="114">
        <v>29</v>
      </c>
      <c r="C960" s="114">
        <v>84</v>
      </c>
      <c r="D960" s="114">
        <v>72</v>
      </c>
      <c r="E960" s="154" cm="1">
        <f t="array" ref="E960">IF(ISBLANK(MainData[[#This Row],[EventID]]),0,IFERROR(INDEX(MainData[],MATCH(MainData[[#This Row],[EventID]],IF(MainData[Product]="Date",MainData[EventID],0),0),12),0))</f>
        <v>44601</v>
      </c>
      <c r="F960" s="155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0" s="155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0" s="157" t="s">
        <v>85</v>
      </c>
      <c r="J960" t="s">
        <v>20</v>
      </c>
      <c r="K960" s="2" t="s">
        <v>29</v>
      </c>
      <c r="L960" s="2" t="s">
        <v>35</v>
      </c>
      <c r="M960" s="2" t="s">
        <v>382</v>
      </c>
      <c r="N960" s="2" t="s">
        <v>234</v>
      </c>
      <c r="O960" s="109">
        <v>1</v>
      </c>
      <c r="P960" s="109">
        <v>5</v>
      </c>
      <c r="Q960" s="109">
        <v>50</v>
      </c>
    </row>
    <row r="961" spans="2:17" x14ac:dyDescent="0.25">
      <c r="B961" s="114">
        <v>29</v>
      </c>
      <c r="C961" s="114">
        <v>84</v>
      </c>
      <c r="D961" s="114">
        <v>72</v>
      </c>
      <c r="E961" s="154" cm="1">
        <f t="array" ref="E961">IF(ISBLANK(MainData[[#This Row],[EventID]]),0,IFERROR(INDEX(MainData[],MATCH(MainData[[#This Row],[EventID]],IF(MainData[Product]="Date",MainData[EventID],0),0),12),0))</f>
        <v>44601</v>
      </c>
      <c r="F961" s="155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1" s="155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1" s="157" t="s">
        <v>85</v>
      </c>
      <c r="J961" t="s">
        <v>20</v>
      </c>
      <c r="K961" s="2" t="s">
        <v>29</v>
      </c>
      <c r="L961" s="2" t="s">
        <v>65</v>
      </c>
      <c r="M961" s="2" t="s">
        <v>383</v>
      </c>
      <c r="N961" s="2" t="s">
        <v>234</v>
      </c>
      <c r="O961" s="109">
        <v>1</v>
      </c>
      <c r="P961" s="109">
        <v>0.5</v>
      </c>
      <c r="Q961" s="109">
        <v>10</v>
      </c>
    </row>
    <row r="962" spans="2:17" x14ac:dyDescent="0.25">
      <c r="B962" s="114">
        <v>29</v>
      </c>
      <c r="C962" s="114">
        <v>84</v>
      </c>
      <c r="D962" s="114">
        <v>72</v>
      </c>
      <c r="E962" s="154" cm="1">
        <f t="array" ref="E962">IF(ISBLANK(MainData[[#This Row],[EventID]]),0,IFERROR(INDEX(MainData[],MATCH(MainData[[#This Row],[EventID]],IF(MainData[Product]="Date",MainData[EventID],0),0),12),0))</f>
        <v>44601</v>
      </c>
      <c r="F962" s="155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2" s="155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2" s="20" t="s">
        <v>85</v>
      </c>
      <c r="J962" t="s">
        <v>20</v>
      </c>
      <c r="K962" s="2" t="s">
        <v>29</v>
      </c>
      <c r="L962" s="2" t="s">
        <v>25</v>
      </c>
      <c r="M962" s="2" t="s">
        <v>391</v>
      </c>
      <c r="N962" s="2" t="s">
        <v>234</v>
      </c>
      <c r="O962" s="109">
        <v>1</v>
      </c>
      <c r="P962" s="109">
        <v>57.71</v>
      </c>
      <c r="Q962" s="109">
        <v>230</v>
      </c>
    </row>
    <row r="963" spans="2:17" x14ac:dyDescent="0.25">
      <c r="B963" s="114">
        <v>13</v>
      </c>
      <c r="C963" s="114">
        <v>29</v>
      </c>
      <c r="D963" s="114">
        <v>70</v>
      </c>
      <c r="E963" s="154" cm="1">
        <f t="array" ref="E963">IF(ISBLANK(MainData[[#This Row],[EventID]]),0,IFERROR(INDEX(MainData[],MATCH(MainData[[#This Row],[EventID]],IF(MainData[Product]="Date",MainData[EventID],0),0),12),0))</f>
        <v>44601</v>
      </c>
      <c r="F963" s="155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3" s="155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20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157" t="s">
        <v>84</v>
      </c>
      <c r="J963" t="s">
        <v>187</v>
      </c>
      <c r="K963" s="2" t="s">
        <v>157</v>
      </c>
      <c r="L963" s="2" t="s">
        <v>150</v>
      </c>
      <c r="M963" s="2">
        <v>1</v>
      </c>
      <c r="N963" s="2"/>
      <c r="O963" s="109"/>
      <c r="P963" s="109"/>
      <c r="Q963" s="109"/>
    </row>
    <row r="964" spans="2:17" x14ac:dyDescent="0.25">
      <c r="B964" s="114">
        <v>13</v>
      </c>
      <c r="C964" s="114">
        <v>29</v>
      </c>
      <c r="D964" s="114">
        <v>70</v>
      </c>
      <c r="E964" s="154" cm="1">
        <f t="array" ref="E964">IF(ISBLANK(MainData[[#This Row],[EventID]]),0,IFERROR(INDEX(MainData[],MATCH(MainData[[#This Row],[EventID]],IF(MainData[Product]="Date",MainData[EventID],0),0),12),0))</f>
        <v>44601</v>
      </c>
      <c r="F964" s="155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4" s="155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157" t="s">
        <v>84</v>
      </c>
      <c r="J964" t="s">
        <v>187</v>
      </c>
      <c r="K964" s="2" t="s">
        <v>157</v>
      </c>
      <c r="L964" s="2" t="s">
        <v>81</v>
      </c>
      <c r="M964" s="2">
        <v>1</v>
      </c>
      <c r="N964" s="2"/>
      <c r="O964" s="109"/>
      <c r="P964" s="109"/>
      <c r="Q964" s="109"/>
    </row>
    <row r="965" spans="2:17" x14ac:dyDescent="0.25">
      <c r="B965" s="114">
        <v>13</v>
      </c>
      <c r="C965" s="114">
        <v>29</v>
      </c>
      <c r="D965" s="114">
        <v>70</v>
      </c>
      <c r="E965" s="154" cm="1">
        <f t="array" ref="E965">IF(ISBLANK(MainData[[#This Row],[EventID]]),0,IFERROR(INDEX(MainData[],MATCH(MainData[[#This Row],[EventID]],IF(MainData[Product]="Date",MainData[EventID],0),0),12),0))</f>
        <v>44601</v>
      </c>
      <c r="F965" s="155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5" s="155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157" t="s">
        <v>84</v>
      </c>
      <c r="J965" t="s">
        <v>187</v>
      </c>
      <c r="K965" s="2" t="s">
        <v>157</v>
      </c>
      <c r="L965" s="2" t="s">
        <v>164</v>
      </c>
      <c r="M965" s="2" t="s">
        <v>419</v>
      </c>
      <c r="N965" s="2"/>
      <c r="O965" s="109"/>
      <c r="P965" s="109"/>
      <c r="Q965" s="109"/>
    </row>
    <row r="966" spans="2:17" x14ac:dyDescent="0.25">
      <c r="B966" s="114">
        <v>13</v>
      </c>
      <c r="C966" s="114">
        <v>29</v>
      </c>
      <c r="D966" s="114">
        <v>70</v>
      </c>
      <c r="E966" s="154" cm="1">
        <f t="array" ref="E966">IF(ISBLANK(MainData[[#This Row],[EventID]]),0,IFERROR(INDEX(MainData[],MATCH(MainData[[#This Row],[EventID]],IF(MainData[Product]="Date",MainData[EventID],0),0),12),0))</f>
        <v>44601</v>
      </c>
      <c r="F966" s="155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6" s="155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157" t="s">
        <v>84</v>
      </c>
      <c r="J966" t="s">
        <v>187</v>
      </c>
      <c r="K966" s="2" t="s">
        <v>157</v>
      </c>
      <c r="L966" s="2" t="s">
        <v>0</v>
      </c>
      <c r="M966" s="158">
        <v>44601</v>
      </c>
      <c r="N966" s="2"/>
      <c r="O966" s="109"/>
      <c r="P966" s="109"/>
      <c r="Q966" s="109"/>
    </row>
    <row r="967" spans="2:17" x14ac:dyDescent="0.25">
      <c r="B967" s="114">
        <v>13</v>
      </c>
      <c r="C967" s="114">
        <v>29</v>
      </c>
      <c r="D967" s="114">
        <v>70</v>
      </c>
      <c r="E967" s="154" cm="1">
        <f t="array" ref="E967">IF(ISBLANK(MainData[[#This Row],[EventID]]),0,IFERROR(INDEX(MainData[],MATCH(MainData[[#This Row],[EventID]],IF(MainData[Product]="Date",MainData[EventID],0),0),12),0))</f>
        <v>44601</v>
      </c>
      <c r="F967" s="155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7" s="155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157" t="s">
        <v>84</v>
      </c>
      <c r="J967" t="s">
        <v>187</v>
      </c>
      <c r="K967" s="2" t="s">
        <v>157</v>
      </c>
      <c r="L967" s="2" t="s">
        <v>82</v>
      </c>
      <c r="M967" s="2">
        <v>217379</v>
      </c>
      <c r="N967" s="2"/>
      <c r="O967" s="109"/>
      <c r="P967" s="109"/>
      <c r="Q967" s="109"/>
    </row>
    <row r="968" spans="2:17" x14ac:dyDescent="0.25">
      <c r="B968" s="114">
        <v>13</v>
      </c>
      <c r="C968" s="114">
        <v>29</v>
      </c>
      <c r="D968" s="114">
        <v>70</v>
      </c>
      <c r="E968" s="154" cm="1">
        <f t="array" ref="E968">IF(ISBLANK(MainData[[#This Row],[EventID]]),0,IFERROR(INDEX(MainData[],MATCH(MainData[[#This Row],[EventID]],IF(MainData[Product]="Date",MainData[EventID],0),0),12),0))</f>
        <v>44601</v>
      </c>
      <c r="F968" s="155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8" s="155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8" s="157" t="s">
        <v>84</v>
      </c>
      <c r="J968" t="s">
        <v>187</v>
      </c>
      <c r="K968" s="2" t="s">
        <v>157</v>
      </c>
      <c r="L968" s="2" t="s">
        <v>175</v>
      </c>
      <c r="M968" s="2" t="s">
        <v>475</v>
      </c>
      <c r="N968" s="2"/>
      <c r="O968" s="109"/>
      <c r="P968" s="109"/>
      <c r="Q968" s="109"/>
    </row>
    <row r="969" spans="2:17" x14ac:dyDescent="0.25">
      <c r="B969" s="114">
        <v>13</v>
      </c>
      <c r="C969" s="114">
        <v>29</v>
      </c>
      <c r="D969" s="114">
        <v>70</v>
      </c>
      <c r="E969" s="154" cm="1">
        <f t="array" ref="E969">IF(ISBLANK(MainData[[#This Row],[EventID]]),0,IFERROR(INDEX(MainData[],MATCH(MainData[[#This Row],[EventID]],IF(MainData[Product]="Date",MainData[EventID],0),0),12),0))</f>
        <v>44601</v>
      </c>
      <c r="F969" s="155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9" s="155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9" s="157" t="s">
        <v>84</v>
      </c>
      <c r="J969" t="s">
        <v>187</v>
      </c>
      <c r="K969" s="2" t="s">
        <v>157</v>
      </c>
      <c r="L969" s="2" t="s">
        <v>20</v>
      </c>
      <c r="M969" s="2" t="s">
        <v>376</v>
      </c>
      <c r="N969" s="2"/>
      <c r="O969" s="109"/>
      <c r="P969" s="109"/>
      <c r="Q969" s="109"/>
    </row>
    <row r="970" spans="2:17" x14ac:dyDescent="0.25">
      <c r="B970" s="114">
        <v>13</v>
      </c>
      <c r="C970" s="114">
        <v>29</v>
      </c>
      <c r="D970" s="114">
        <v>70</v>
      </c>
      <c r="E970" s="154" cm="1">
        <f t="array" ref="E970">IF(ISBLANK(MainData[[#This Row],[EventID]]),0,IFERROR(INDEX(MainData[],MATCH(MainData[[#This Row],[EventID]],IF(MainData[Product]="Date",MainData[EventID],0),0),12),0))</f>
        <v>44601</v>
      </c>
      <c r="F970" s="155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0" s="155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0" s="157" t="s">
        <v>84</v>
      </c>
      <c r="J970" t="s">
        <v>187</v>
      </c>
      <c r="K970" s="2" t="s">
        <v>157</v>
      </c>
      <c r="L970" s="2" t="s">
        <v>138</v>
      </c>
      <c r="M970" s="2">
        <v>25</v>
      </c>
      <c r="N970" s="2"/>
      <c r="O970" s="109"/>
      <c r="P970" s="109"/>
      <c r="Q970" s="109"/>
    </row>
    <row r="971" spans="2:17" x14ac:dyDescent="0.25">
      <c r="B971" s="114">
        <v>13</v>
      </c>
      <c r="C971" s="114">
        <v>29</v>
      </c>
      <c r="D971" s="114">
        <v>70</v>
      </c>
      <c r="E971" s="154" cm="1">
        <f t="array" ref="E971">IF(ISBLANK(MainData[[#This Row],[EventID]]),0,IFERROR(INDEX(MainData[],MATCH(MainData[[#This Row],[EventID]],IF(MainData[Product]="Date",MainData[EventID],0),0),12),0))</f>
        <v>44601</v>
      </c>
      <c r="F971" s="155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1" s="155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1" s="157" t="s">
        <v>84</v>
      </c>
      <c r="J971" t="s">
        <v>187</v>
      </c>
      <c r="K971" s="2" t="s">
        <v>157</v>
      </c>
      <c r="L971" s="2" t="s">
        <v>86</v>
      </c>
      <c r="M971" s="2">
        <v>1</v>
      </c>
      <c r="N971" s="2"/>
      <c r="O971" s="109"/>
      <c r="P971" s="109"/>
      <c r="Q971" s="109"/>
    </row>
    <row r="972" spans="2:17" x14ac:dyDescent="0.25">
      <c r="B972" s="114">
        <v>13</v>
      </c>
      <c r="C972" s="114">
        <v>29</v>
      </c>
      <c r="D972" s="114">
        <v>70</v>
      </c>
      <c r="E972" s="154" cm="1">
        <f t="array" ref="E972">IF(ISBLANK(MainData[[#This Row],[EventID]]),0,IFERROR(INDEX(MainData[],MATCH(MainData[[#This Row],[EventID]],IF(MainData[Product]="Date",MainData[EventID],0),0),12),0))</f>
        <v>44601</v>
      </c>
      <c r="F972" s="155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2" s="155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2" s="157" t="s">
        <v>84</v>
      </c>
      <c r="J972" t="s">
        <v>187</v>
      </c>
      <c r="K972" s="2" t="s">
        <v>157</v>
      </c>
      <c r="L972" s="2" t="s">
        <v>118</v>
      </c>
      <c r="M972" s="2" t="s">
        <v>470</v>
      </c>
      <c r="N972" s="2"/>
      <c r="O972" s="109"/>
      <c r="P972" s="109"/>
      <c r="Q972" s="109"/>
    </row>
    <row r="973" spans="2:17" x14ac:dyDescent="0.25">
      <c r="B973" s="114">
        <v>13</v>
      </c>
      <c r="C973" s="114">
        <v>29</v>
      </c>
      <c r="D973" s="114">
        <v>70</v>
      </c>
      <c r="E973" s="154" cm="1">
        <f t="array" ref="E973">IF(ISBLANK(MainData[[#This Row],[EventID]]),0,IFERROR(INDEX(MainData[],MATCH(MainData[[#This Row],[EventID]],IF(MainData[Product]="Date",MainData[EventID],0),0),12),0))</f>
        <v>44601</v>
      </c>
      <c r="F973" s="155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3" s="155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3" s="157" t="s">
        <v>84</v>
      </c>
      <c r="J973" t="s">
        <v>187</v>
      </c>
      <c r="K973" s="2" t="s">
        <v>157</v>
      </c>
      <c r="L973" s="2" t="s">
        <v>165</v>
      </c>
      <c r="M973" s="2" t="s">
        <v>409</v>
      </c>
      <c r="N973" s="2"/>
      <c r="O973" s="109"/>
      <c r="P973" s="109"/>
      <c r="Q973" s="109"/>
    </row>
    <row r="974" spans="2:17" x14ac:dyDescent="0.25">
      <c r="B974" s="114">
        <v>13</v>
      </c>
      <c r="C974" s="114">
        <v>29</v>
      </c>
      <c r="D974" s="114">
        <v>70</v>
      </c>
      <c r="E974" s="154" cm="1">
        <f t="array" ref="E974">IF(ISBLANK(MainData[[#This Row],[EventID]]),0,IFERROR(INDEX(MainData[],MATCH(MainData[[#This Row],[EventID]],IF(MainData[Product]="Date",MainData[EventID],0),0),12),0))</f>
        <v>44601</v>
      </c>
      <c r="F974" s="155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4" s="155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4" s="20" t="s">
        <v>85</v>
      </c>
      <c r="J974" t="s">
        <v>21</v>
      </c>
      <c r="K974" s="2" t="s">
        <v>116</v>
      </c>
      <c r="L974" s="2" t="s">
        <v>107</v>
      </c>
      <c r="M974" s="2" t="s">
        <v>190</v>
      </c>
      <c r="N974" s="2" t="s">
        <v>233</v>
      </c>
      <c r="O974" s="109">
        <v>1</v>
      </c>
      <c r="P974" s="109"/>
      <c r="Q974" s="109"/>
    </row>
    <row r="975" spans="2:17" x14ac:dyDescent="0.25">
      <c r="B975" s="114">
        <v>13</v>
      </c>
      <c r="C975" s="114">
        <v>29</v>
      </c>
      <c r="D975" s="114">
        <v>70</v>
      </c>
      <c r="E975" s="154" cm="1">
        <f t="array" ref="E975">IF(ISBLANK(MainData[[#This Row],[EventID]]),0,IFERROR(INDEX(MainData[],MATCH(MainData[[#This Row],[EventID]],IF(MainData[Product]="Date",MainData[EventID],0),0),12),0))</f>
        <v>44601</v>
      </c>
      <c r="F975" s="155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5" s="155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5" s="20" t="s">
        <v>85</v>
      </c>
      <c r="J975" t="s">
        <v>21</v>
      </c>
      <c r="K975" s="2" t="s">
        <v>29</v>
      </c>
      <c r="L975" s="2" t="s">
        <v>25</v>
      </c>
      <c r="M975" s="2" t="s">
        <v>6</v>
      </c>
      <c r="N975" s="2" t="s">
        <v>235</v>
      </c>
      <c r="O975" s="109">
        <v>1</v>
      </c>
      <c r="P975" s="109">
        <v>17.25</v>
      </c>
      <c r="Q975" s="109">
        <v>41</v>
      </c>
    </row>
    <row r="976" spans="2:17" x14ac:dyDescent="0.25">
      <c r="B976" s="114">
        <v>13</v>
      </c>
      <c r="C976" s="114">
        <v>31</v>
      </c>
      <c r="D976" s="114">
        <v>71</v>
      </c>
      <c r="E976" s="154" cm="1">
        <f t="array" ref="E976">IF(ISBLANK(MainData[[#This Row],[EventID]]),0,IFERROR(INDEX(MainData[],MATCH(MainData[[#This Row],[EventID]],IF(MainData[Product]="Date",MainData[EventID],0),0),12),0))</f>
        <v>44601</v>
      </c>
      <c r="F976" s="155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6" s="155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6" s="157" t="s">
        <v>84</v>
      </c>
      <c r="J976" t="s">
        <v>187</v>
      </c>
      <c r="K976" s="2" t="s">
        <v>157</v>
      </c>
      <c r="L976" s="2" t="s">
        <v>81</v>
      </c>
      <c r="M976" s="2">
        <v>1</v>
      </c>
      <c r="N976" s="2"/>
      <c r="O976" s="109"/>
      <c r="P976" s="109"/>
      <c r="Q976" s="109"/>
    </row>
    <row r="977" spans="2:17" x14ac:dyDescent="0.25">
      <c r="B977" s="114">
        <v>13</v>
      </c>
      <c r="C977" s="114">
        <v>31</v>
      </c>
      <c r="D977" s="114">
        <v>71</v>
      </c>
      <c r="E977" s="154" cm="1">
        <f t="array" ref="E977">IF(ISBLANK(MainData[[#This Row],[EventID]]),0,IFERROR(INDEX(MainData[],MATCH(MainData[[#This Row],[EventID]],IF(MainData[Product]="Date",MainData[EventID],0),0),12),0))</f>
        <v>44601</v>
      </c>
      <c r="F977" s="155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7" s="155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7" s="157" t="s">
        <v>84</v>
      </c>
      <c r="J977" t="s">
        <v>187</v>
      </c>
      <c r="K977" s="2" t="s">
        <v>157</v>
      </c>
      <c r="L977" s="2" t="s">
        <v>0</v>
      </c>
      <c r="M977" s="158">
        <v>44601</v>
      </c>
      <c r="N977" s="2"/>
      <c r="O977" s="109"/>
      <c r="P977" s="109"/>
      <c r="Q977" s="109"/>
    </row>
    <row r="978" spans="2:17" x14ac:dyDescent="0.25">
      <c r="B978" s="114">
        <v>13</v>
      </c>
      <c r="C978" s="114">
        <v>31</v>
      </c>
      <c r="D978" s="114">
        <v>71</v>
      </c>
      <c r="E978" s="154" cm="1">
        <f t="array" ref="E978">IF(ISBLANK(MainData[[#This Row],[EventID]]),0,IFERROR(INDEX(MainData[],MATCH(MainData[[#This Row],[EventID]],IF(MainData[Product]="Date",MainData[EventID],0),0),12),0))</f>
        <v>44601</v>
      </c>
      <c r="F978" s="155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8" s="155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8" s="157" t="s">
        <v>84</v>
      </c>
      <c r="J978" t="s">
        <v>187</v>
      </c>
      <c r="K978" s="2" t="s">
        <v>157</v>
      </c>
      <c r="L978" s="2" t="s">
        <v>82</v>
      </c>
      <c r="M978" s="2">
        <v>584534</v>
      </c>
      <c r="N978" s="2"/>
      <c r="O978" s="109"/>
      <c r="P978" s="109"/>
      <c r="Q978" s="109"/>
    </row>
    <row r="979" spans="2:17" x14ac:dyDescent="0.25">
      <c r="B979" s="114">
        <v>13</v>
      </c>
      <c r="C979" s="114">
        <v>31</v>
      </c>
      <c r="D979" s="114">
        <v>71</v>
      </c>
      <c r="E979" s="154" cm="1">
        <f t="array" ref="E979">IF(ISBLANK(MainData[[#This Row],[EventID]]),0,IFERROR(INDEX(MainData[],MATCH(MainData[[#This Row],[EventID]],IF(MainData[Product]="Date",MainData[EventID],0),0),12),0))</f>
        <v>44601</v>
      </c>
      <c r="F979" s="155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9" s="155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9" s="157" t="s">
        <v>84</v>
      </c>
      <c r="J979" t="s">
        <v>187</v>
      </c>
      <c r="K979" s="2" t="s">
        <v>157</v>
      </c>
      <c r="L979" s="2" t="s">
        <v>175</v>
      </c>
      <c r="M979" s="2" t="s">
        <v>455</v>
      </c>
      <c r="N979" s="2"/>
      <c r="O979" s="109"/>
      <c r="P979" s="109"/>
      <c r="Q979" s="109"/>
    </row>
    <row r="980" spans="2:17" x14ac:dyDescent="0.25">
      <c r="B980" s="114">
        <v>13</v>
      </c>
      <c r="C980" s="114">
        <v>31</v>
      </c>
      <c r="D980" s="114">
        <v>71</v>
      </c>
      <c r="E980" s="154" cm="1">
        <f t="array" ref="E980">IF(ISBLANK(MainData[[#This Row],[EventID]]),0,IFERROR(INDEX(MainData[],MATCH(MainData[[#This Row],[EventID]],IF(MainData[Product]="Date",MainData[EventID],0),0),12),0))</f>
        <v>44601</v>
      </c>
      <c r="F980" s="155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0" s="155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0" s="157" t="s">
        <v>84</v>
      </c>
      <c r="J980" t="s">
        <v>187</v>
      </c>
      <c r="K980" s="2" t="s">
        <v>157</v>
      </c>
      <c r="L980" s="2" t="s">
        <v>138</v>
      </c>
      <c r="M980" s="2">
        <v>88</v>
      </c>
      <c r="N980" s="2"/>
      <c r="O980" s="109"/>
      <c r="P980" s="109"/>
      <c r="Q980" s="109"/>
    </row>
    <row r="981" spans="2:17" x14ac:dyDescent="0.25">
      <c r="B981" s="114">
        <v>13</v>
      </c>
      <c r="C981" s="114">
        <v>31</v>
      </c>
      <c r="D981" s="114">
        <v>71</v>
      </c>
      <c r="E981" s="154" cm="1">
        <f t="array" ref="E981">IF(ISBLANK(MainData[[#This Row],[EventID]]),0,IFERROR(INDEX(MainData[],MATCH(MainData[[#This Row],[EventID]],IF(MainData[Product]="Date",MainData[EventID],0),0),12),0))</f>
        <v>44601</v>
      </c>
      <c r="F981" s="155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1" s="155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1" s="157" t="s">
        <v>84</v>
      </c>
      <c r="J981" t="s">
        <v>187</v>
      </c>
      <c r="K981" s="2" t="s">
        <v>157</v>
      </c>
      <c r="L981" s="2" t="s">
        <v>86</v>
      </c>
      <c r="M981" s="2">
        <v>2.5</v>
      </c>
      <c r="N981" s="2"/>
      <c r="O981" s="109"/>
      <c r="P981" s="109"/>
      <c r="Q981" s="109"/>
    </row>
    <row r="982" spans="2:17" x14ac:dyDescent="0.25">
      <c r="B982" s="114">
        <v>13</v>
      </c>
      <c r="C982" s="114">
        <v>31</v>
      </c>
      <c r="D982" s="114">
        <v>71</v>
      </c>
      <c r="E982" s="154" cm="1">
        <f t="array" ref="E982">IF(ISBLANK(MainData[[#This Row],[EventID]]),0,IFERROR(INDEX(MainData[],MATCH(MainData[[#This Row],[EventID]],IF(MainData[Product]="Date",MainData[EventID],0),0),12),0))</f>
        <v>44601</v>
      </c>
      <c r="F982" s="155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2" s="155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2" s="157" t="s">
        <v>84</v>
      </c>
      <c r="J982" t="s">
        <v>187</v>
      </c>
      <c r="K982" s="2" t="s">
        <v>157</v>
      </c>
      <c r="L982" s="2" t="s">
        <v>118</v>
      </c>
      <c r="M982" s="2" t="s">
        <v>458</v>
      </c>
      <c r="N982" s="2"/>
      <c r="O982" s="109"/>
      <c r="P982" s="109"/>
      <c r="Q982" s="109"/>
    </row>
    <row r="983" spans="2:17" x14ac:dyDescent="0.25">
      <c r="B983" s="114">
        <v>13</v>
      </c>
      <c r="C983" s="114">
        <v>31</v>
      </c>
      <c r="D983" s="114">
        <v>71</v>
      </c>
      <c r="E983" s="154" cm="1">
        <f t="array" ref="E983">IF(ISBLANK(MainData[[#This Row],[EventID]]),0,IFERROR(INDEX(MainData[],MATCH(MainData[[#This Row],[EventID]],IF(MainData[Product]="Date",MainData[EventID],0),0),12),0))</f>
        <v>44601</v>
      </c>
      <c r="F983" s="155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3" s="155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3" s="20" t="s">
        <v>85</v>
      </c>
      <c r="J983" t="s">
        <v>20</v>
      </c>
      <c r="K983" s="2" t="s">
        <v>116</v>
      </c>
      <c r="L983" s="2" t="s">
        <v>88</v>
      </c>
      <c r="M983" s="2" t="s">
        <v>189</v>
      </c>
      <c r="N983" s="2" t="s">
        <v>233</v>
      </c>
      <c r="O983" s="109">
        <v>1</v>
      </c>
      <c r="P983" s="109"/>
      <c r="Q983" s="109"/>
    </row>
    <row r="984" spans="2:17" x14ac:dyDescent="0.25">
      <c r="B984" s="114">
        <v>13</v>
      </c>
      <c r="C984" s="114">
        <v>31</v>
      </c>
      <c r="D984" s="114">
        <v>71</v>
      </c>
      <c r="E984" s="154" cm="1">
        <f t="array" ref="E984">IF(ISBLANK(MainData[[#This Row],[EventID]]),0,IFERROR(INDEX(MainData[],MATCH(MainData[[#This Row],[EventID]],IF(MainData[Product]="Date",MainData[EventID],0),0),12),0))</f>
        <v>44601</v>
      </c>
      <c r="F984" s="155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4" s="155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4" s="20" t="s">
        <v>85</v>
      </c>
      <c r="J984" t="s">
        <v>20</v>
      </c>
      <c r="K984" s="2" t="s">
        <v>116</v>
      </c>
      <c r="L984" s="2" t="s">
        <v>87</v>
      </c>
      <c r="M984" s="2" t="s">
        <v>188</v>
      </c>
      <c r="N984" s="2" t="s">
        <v>233</v>
      </c>
      <c r="O984" s="109">
        <v>1</v>
      </c>
      <c r="P984" s="109"/>
      <c r="Q984" s="109">
        <v>100</v>
      </c>
    </row>
    <row r="985" spans="2:17" x14ac:dyDescent="0.25">
      <c r="B985" s="114">
        <v>13</v>
      </c>
      <c r="C985" s="114">
        <v>31</v>
      </c>
      <c r="D985" s="114">
        <v>71</v>
      </c>
      <c r="E985" s="154" cm="1">
        <f t="array" ref="E985">IF(ISBLANK(MainData[[#This Row],[EventID]]),0,IFERROR(INDEX(MainData[],MATCH(MainData[[#This Row],[EventID]],IF(MainData[Product]="Date",MainData[EventID],0),0),12),0))</f>
        <v>44601</v>
      </c>
      <c r="F985" s="155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5" s="155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5" s="157" t="s">
        <v>85</v>
      </c>
      <c r="J985" t="s">
        <v>20</v>
      </c>
      <c r="K985" s="2" t="s">
        <v>29</v>
      </c>
      <c r="L985" s="2" t="s">
        <v>35</v>
      </c>
      <c r="M985" s="2" t="s">
        <v>382</v>
      </c>
      <c r="N985" s="2" t="s">
        <v>234</v>
      </c>
      <c r="O985" s="109">
        <v>1</v>
      </c>
      <c r="P985" s="109">
        <v>160</v>
      </c>
      <c r="Q985" s="109">
        <v>1596.12</v>
      </c>
    </row>
    <row r="986" spans="2:17" x14ac:dyDescent="0.25">
      <c r="B986" s="114">
        <v>13</v>
      </c>
      <c r="C986" s="114">
        <v>31</v>
      </c>
      <c r="D986" s="114">
        <v>71</v>
      </c>
      <c r="E986" s="154" cm="1">
        <f t="array" ref="E986">IF(ISBLANK(MainData[[#This Row],[EventID]]),0,IFERROR(INDEX(MainData[],MATCH(MainData[[#This Row],[EventID]],IF(MainData[Product]="Date",MainData[EventID],0),0),12),0))</f>
        <v>44601</v>
      </c>
      <c r="F986" s="155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6" s="155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6" s="20" t="s">
        <v>85</v>
      </c>
      <c r="J986" t="s">
        <v>20</v>
      </c>
      <c r="K986" s="2" t="s">
        <v>29</v>
      </c>
      <c r="L986" s="2" t="s">
        <v>36</v>
      </c>
      <c r="M986" s="2" t="s">
        <v>387</v>
      </c>
      <c r="N986" s="2" t="s">
        <v>234</v>
      </c>
      <c r="O986" s="109">
        <v>1</v>
      </c>
      <c r="P986" s="109">
        <v>118.33</v>
      </c>
      <c r="Q986" s="109">
        <v>1889.61</v>
      </c>
    </row>
    <row r="987" spans="2:17" x14ac:dyDescent="0.25">
      <c r="B987" s="114">
        <v>13</v>
      </c>
      <c r="C987" s="114">
        <v>31</v>
      </c>
      <c r="D987" s="114">
        <v>71</v>
      </c>
      <c r="E987" s="154" cm="1">
        <f t="array" ref="E987">IF(ISBLANK(MainData[[#This Row],[EventID]]),0,IFERROR(INDEX(MainData[],MATCH(MainData[[#This Row],[EventID]],IF(MainData[Product]="Date",MainData[EventID],0),0),12),0))</f>
        <v>44601</v>
      </c>
      <c r="F987" s="155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7" s="155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7" s="157" t="s">
        <v>85</v>
      </c>
      <c r="J987" t="s">
        <v>20</v>
      </c>
      <c r="K987" s="2" t="s">
        <v>29</v>
      </c>
      <c r="L987" s="2" t="s">
        <v>65</v>
      </c>
      <c r="M987" s="2" t="s">
        <v>383</v>
      </c>
      <c r="N987" s="2" t="s">
        <v>234</v>
      </c>
      <c r="O987" s="109">
        <v>1</v>
      </c>
      <c r="P987" s="109">
        <v>14</v>
      </c>
      <c r="Q987" s="109">
        <v>249.63</v>
      </c>
    </row>
    <row r="988" spans="2:17" x14ac:dyDescent="0.25">
      <c r="B988" s="114">
        <v>13</v>
      </c>
      <c r="C988" s="114">
        <v>31</v>
      </c>
      <c r="D988" s="114">
        <v>71</v>
      </c>
      <c r="E988" s="154" cm="1">
        <f t="array" ref="E988">IF(ISBLANK(MainData[[#This Row],[EventID]]),0,IFERROR(INDEX(MainData[],MATCH(MainData[[#This Row],[EventID]],IF(MainData[Product]="Date",MainData[EventID],0),0),12),0))</f>
        <v>44601</v>
      </c>
      <c r="F988" s="155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8" s="155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8" s="157" t="s">
        <v>85</v>
      </c>
      <c r="J988" t="s">
        <v>20</v>
      </c>
      <c r="K988" s="2" t="s">
        <v>29</v>
      </c>
      <c r="L988" s="2" t="s">
        <v>25</v>
      </c>
      <c r="M988" s="2" t="s">
        <v>388</v>
      </c>
      <c r="N988" s="2" t="s">
        <v>234</v>
      </c>
      <c r="O988" s="109">
        <v>1</v>
      </c>
      <c r="P988" s="109">
        <v>127</v>
      </c>
      <c r="Q988" s="109">
        <v>1267.8399999999999</v>
      </c>
    </row>
    <row r="989" spans="2:17" x14ac:dyDescent="0.25">
      <c r="B989" s="114">
        <v>20</v>
      </c>
      <c r="C989" s="114">
        <v>48</v>
      </c>
      <c r="D989" s="114">
        <v>75</v>
      </c>
      <c r="E989" s="154" cm="1">
        <f t="array" ref="E989">IF(ISBLANK(MainData[[#This Row],[EventID]]),0,IFERROR(INDEX(MainData[],MATCH(MainData[[#This Row],[EventID]],IF(MainData[Product]="Date",MainData[EventID],0),0),12),0))</f>
        <v>44602</v>
      </c>
      <c r="F989" s="155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9" s="155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9" s="157" t="s">
        <v>84</v>
      </c>
      <c r="J989" t="s">
        <v>187</v>
      </c>
      <c r="K989" s="2" t="s">
        <v>157</v>
      </c>
      <c r="L989" s="2" t="s">
        <v>81</v>
      </c>
      <c r="M989" s="2">
        <v>1</v>
      </c>
      <c r="N989" s="2"/>
      <c r="O989" s="109"/>
      <c r="P989" s="109"/>
      <c r="Q989" s="109"/>
    </row>
    <row r="990" spans="2:17" x14ac:dyDescent="0.25">
      <c r="B990" s="114">
        <v>20</v>
      </c>
      <c r="C990" s="114">
        <v>48</v>
      </c>
      <c r="D990" s="114">
        <v>75</v>
      </c>
      <c r="E990" s="154" cm="1">
        <f t="array" ref="E990">IF(ISBLANK(MainData[[#This Row],[EventID]]),0,IFERROR(INDEX(MainData[],MATCH(MainData[[#This Row],[EventID]],IF(MainData[Product]="Date",MainData[EventID],0),0),12),0))</f>
        <v>44602</v>
      </c>
      <c r="F990" s="155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0" s="155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0" s="157" t="s">
        <v>84</v>
      </c>
      <c r="J990" t="s">
        <v>187</v>
      </c>
      <c r="K990" s="2" t="s">
        <v>157</v>
      </c>
      <c r="L990" s="2" t="s">
        <v>164</v>
      </c>
      <c r="M990" s="2" t="s">
        <v>425</v>
      </c>
      <c r="N990" s="2"/>
      <c r="O990" s="109"/>
      <c r="P990" s="109"/>
      <c r="Q990" s="109"/>
    </row>
    <row r="991" spans="2:17" x14ac:dyDescent="0.25">
      <c r="B991" s="114">
        <v>20</v>
      </c>
      <c r="C991" s="114">
        <v>48</v>
      </c>
      <c r="D991" s="114">
        <v>75</v>
      </c>
      <c r="E991" s="154" cm="1">
        <f t="array" ref="E991">IF(ISBLANK(MainData[[#This Row],[EventID]]),0,IFERROR(INDEX(MainData[],MATCH(MainData[[#This Row],[EventID]],IF(MainData[Product]="Date",MainData[EventID],0),0),12),0))</f>
        <v>44602</v>
      </c>
      <c r="F991" s="155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1" s="155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1" s="157" t="s">
        <v>84</v>
      </c>
      <c r="J991" t="s">
        <v>187</v>
      </c>
      <c r="K991" s="2" t="s">
        <v>157</v>
      </c>
      <c r="L991" s="2" t="s">
        <v>0</v>
      </c>
      <c r="M991" s="158">
        <v>44602</v>
      </c>
      <c r="N991" s="2"/>
      <c r="O991" s="109"/>
      <c r="P991" s="109"/>
      <c r="Q991" s="109"/>
    </row>
    <row r="992" spans="2:17" x14ac:dyDescent="0.25">
      <c r="B992" s="114">
        <v>20</v>
      </c>
      <c r="C992" s="114">
        <v>48</v>
      </c>
      <c r="D992" s="114">
        <v>75</v>
      </c>
      <c r="E992" s="154" cm="1">
        <f t="array" ref="E992">IF(ISBLANK(MainData[[#This Row],[EventID]]),0,IFERROR(INDEX(MainData[],MATCH(MainData[[#This Row],[EventID]],IF(MainData[Product]="Date",MainData[EventID],0),0),12),0))</f>
        <v>44602</v>
      </c>
      <c r="F992" s="155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2" s="155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2" s="157" t="s">
        <v>84</v>
      </c>
      <c r="J992" t="s">
        <v>187</v>
      </c>
      <c r="K992" s="2" t="s">
        <v>157</v>
      </c>
      <c r="L992" s="2" t="s">
        <v>82</v>
      </c>
      <c r="M992" s="2">
        <v>496786</v>
      </c>
      <c r="N992" s="2"/>
      <c r="O992" s="109"/>
      <c r="P992" s="109"/>
      <c r="Q992" s="109"/>
    </row>
    <row r="993" spans="2:17" x14ac:dyDescent="0.25">
      <c r="B993" s="114">
        <v>20</v>
      </c>
      <c r="C993" s="114">
        <v>48</v>
      </c>
      <c r="D993" s="114">
        <v>75</v>
      </c>
      <c r="E993" s="154" cm="1">
        <f t="array" ref="E993">IF(ISBLANK(MainData[[#This Row],[EventID]]),0,IFERROR(INDEX(MainData[],MATCH(MainData[[#This Row],[EventID]],IF(MainData[Product]="Date",MainData[EventID],0),0),12),0))</f>
        <v>44602</v>
      </c>
      <c r="F993" s="155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3" s="155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3" s="157" t="s">
        <v>84</v>
      </c>
      <c r="J993" t="s">
        <v>187</v>
      </c>
      <c r="K993" s="2" t="s">
        <v>157</v>
      </c>
      <c r="L993" s="2" t="s">
        <v>175</v>
      </c>
      <c r="M993" s="2" t="s">
        <v>455</v>
      </c>
      <c r="N993" s="2"/>
      <c r="O993" s="109"/>
      <c r="P993" s="109"/>
      <c r="Q993" s="109"/>
    </row>
    <row r="994" spans="2:17" x14ac:dyDescent="0.25">
      <c r="B994" s="114">
        <v>20</v>
      </c>
      <c r="C994" s="114">
        <v>48</v>
      </c>
      <c r="D994" s="114">
        <v>75</v>
      </c>
      <c r="E994" s="154" cm="1">
        <f t="array" ref="E994">IF(ISBLANK(MainData[[#This Row],[EventID]]),0,IFERROR(INDEX(MainData[],MATCH(MainData[[#This Row],[EventID]],IF(MainData[Product]="Date",MainData[EventID],0),0),12),0))</f>
        <v>44602</v>
      </c>
      <c r="F994" s="155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4" s="155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4" s="157" t="s">
        <v>84</v>
      </c>
      <c r="J994" t="s">
        <v>187</v>
      </c>
      <c r="K994" s="2" t="s">
        <v>157</v>
      </c>
      <c r="L994" s="2" t="s">
        <v>20</v>
      </c>
      <c r="M994" s="2" t="s">
        <v>398</v>
      </c>
      <c r="N994" s="2"/>
      <c r="O994" s="109"/>
      <c r="P994" s="109"/>
      <c r="Q994" s="109"/>
    </row>
    <row r="995" spans="2:17" x14ac:dyDescent="0.25">
      <c r="B995" s="114">
        <v>20</v>
      </c>
      <c r="C995" s="114">
        <v>48</v>
      </c>
      <c r="D995" s="114">
        <v>75</v>
      </c>
      <c r="E995" s="154" cm="1">
        <f t="array" ref="E995">IF(ISBLANK(MainData[[#This Row],[EventID]]),0,IFERROR(INDEX(MainData[],MATCH(MainData[[#This Row],[EventID]],IF(MainData[Product]="Date",MainData[EventID],0),0),12),0))</f>
        <v>44602</v>
      </c>
      <c r="F995" s="155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5" s="155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5" s="157" t="s">
        <v>84</v>
      </c>
      <c r="J995" t="s">
        <v>187</v>
      </c>
      <c r="K995" s="2" t="s">
        <v>157</v>
      </c>
      <c r="L995" s="2" t="s">
        <v>138</v>
      </c>
      <c r="M995" s="2">
        <v>40</v>
      </c>
      <c r="N995" s="2"/>
      <c r="O995" s="109"/>
      <c r="P995" s="109"/>
      <c r="Q995" s="109"/>
    </row>
    <row r="996" spans="2:17" x14ac:dyDescent="0.25">
      <c r="B996" s="114">
        <v>20</v>
      </c>
      <c r="C996" s="114">
        <v>48</v>
      </c>
      <c r="D996" s="114">
        <v>75</v>
      </c>
      <c r="E996" s="154" cm="1">
        <f t="array" ref="E996">IF(ISBLANK(MainData[[#This Row],[EventID]]),0,IFERROR(INDEX(MainData[],MATCH(MainData[[#This Row],[EventID]],IF(MainData[Product]="Date",MainData[EventID],0),0),12),0))</f>
        <v>44602</v>
      </c>
      <c r="F996" s="155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6" s="155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6" s="157" t="s">
        <v>84</v>
      </c>
      <c r="J996" t="s">
        <v>187</v>
      </c>
      <c r="K996" s="2" t="s">
        <v>157</v>
      </c>
      <c r="L996" s="2" t="s">
        <v>86</v>
      </c>
      <c r="M996" s="2">
        <v>2</v>
      </c>
      <c r="N996" s="2"/>
      <c r="O996" s="109"/>
      <c r="P996" s="109"/>
      <c r="Q996" s="109"/>
    </row>
    <row r="997" spans="2:17" x14ac:dyDescent="0.25">
      <c r="B997" s="114">
        <v>20</v>
      </c>
      <c r="C997" s="114">
        <v>48</v>
      </c>
      <c r="D997" s="114">
        <v>75</v>
      </c>
      <c r="E997" s="154" cm="1">
        <f t="array" ref="E997">IF(ISBLANK(MainData[[#This Row],[EventID]]),0,IFERROR(INDEX(MainData[],MATCH(MainData[[#This Row],[EventID]],IF(MainData[Product]="Date",MainData[EventID],0),0),12),0))</f>
        <v>44602</v>
      </c>
      <c r="F997" s="155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7" s="155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7" s="157" t="s">
        <v>84</v>
      </c>
      <c r="J997" t="s">
        <v>187</v>
      </c>
      <c r="K997" s="2" t="s">
        <v>157</v>
      </c>
      <c r="L997" s="2" t="s">
        <v>118</v>
      </c>
      <c r="M997" s="2" t="s">
        <v>469</v>
      </c>
      <c r="N997" s="2"/>
      <c r="O997" s="109"/>
      <c r="P997" s="109"/>
      <c r="Q997" s="109"/>
    </row>
    <row r="998" spans="2:17" x14ac:dyDescent="0.25">
      <c r="B998" s="114">
        <v>20</v>
      </c>
      <c r="C998" s="114">
        <v>48</v>
      </c>
      <c r="D998" s="114">
        <v>75</v>
      </c>
      <c r="E998" s="154" cm="1">
        <f t="array" ref="E998">IF(ISBLANK(MainData[[#This Row],[EventID]]),0,IFERROR(INDEX(MainData[],MATCH(MainData[[#This Row],[EventID]],IF(MainData[Product]="Date",MainData[EventID],0),0),12),0))</f>
        <v>44602</v>
      </c>
      <c r="F998" s="155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8" s="155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8" s="157" t="s">
        <v>84</v>
      </c>
      <c r="J998" t="s">
        <v>187</v>
      </c>
      <c r="K998" s="2" t="s">
        <v>157</v>
      </c>
      <c r="L998" s="2" t="s">
        <v>165</v>
      </c>
      <c r="M998" s="2" t="s">
        <v>405</v>
      </c>
      <c r="N998" s="2"/>
      <c r="O998" s="109"/>
      <c r="P998" s="109"/>
      <c r="Q998" s="109"/>
    </row>
    <row r="999" spans="2:17" x14ac:dyDescent="0.25">
      <c r="B999" s="114">
        <v>20</v>
      </c>
      <c r="C999" s="114">
        <v>48</v>
      </c>
      <c r="D999" s="114">
        <v>75</v>
      </c>
      <c r="E999" s="154" cm="1">
        <f t="array" ref="E999">IF(ISBLANK(MainData[[#This Row],[EventID]]),0,IFERROR(INDEX(MainData[],MATCH(MainData[[#This Row],[EventID]],IF(MainData[Product]="Date",MainData[EventID],0),0),12),0))</f>
        <v>44602</v>
      </c>
      <c r="F999" s="155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9" s="155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9" s="20" t="s">
        <v>85</v>
      </c>
      <c r="J999" t="s">
        <v>21</v>
      </c>
      <c r="K999" s="2" t="s">
        <v>116</v>
      </c>
      <c r="L999" s="2" t="s">
        <v>88</v>
      </c>
      <c r="M999" s="2" t="s">
        <v>189</v>
      </c>
      <c r="N999" s="2" t="s">
        <v>233</v>
      </c>
      <c r="O999" s="109">
        <v>1</v>
      </c>
      <c r="P999" s="109"/>
      <c r="Q999" s="109"/>
    </row>
    <row r="1000" spans="2:17" x14ac:dyDescent="0.25">
      <c r="B1000" s="114">
        <v>20</v>
      </c>
      <c r="C1000" s="114">
        <v>48</v>
      </c>
      <c r="D1000" s="114">
        <v>75</v>
      </c>
      <c r="E1000" s="154" cm="1">
        <f t="array" ref="E1000">IF(ISBLANK(MainData[[#This Row],[EventID]]),0,IFERROR(INDEX(MainData[],MATCH(MainData[[#This Row],[EventID]],IF(MainData[Product]="Date",MainData[EventID],0),0),12),0))</f>
        <v>44602</v>
      </c>
      <c r="F1000" s="155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0" s="155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0" s="20" t="s">
        <v>85</v>
      </c>
      <c r="J1000" t="s">
        <v>21</v>
      </c>
      <c r="K1000" s="2" t="s">
        <v>116</v>
      </c>
      <c r="L1000" s="2" t="s">
        <v>87</v>
      </c>
      <c r="M1000" s="2" t="s">
        <v>188</v>
      </c>
      <c r="N1000" s="2" t="s">
        <v>233</v>
      </c>
      <c r="O1000" s="109">
        <v>1</v>
      </c>
      <c r="P1000" s="109"/>
      <c r="Q1000" s="109"/>
    </row>
    <row r="1001" spans="2:17" x14ac:dyDescent="0.25">
      <c r="B1001" s="114">
        <v>20</v>
      </c>
      <c r="C1001" s="114">
        <v>48</v>
      </c>
      <c r="D1001" s="114">
        <v>75</v>
      </c>
      <c r="E1001" s="154" cm="1">
        <f t="array" ref="E1001">IF(ISBLANK(MainData[[#This Row],[EventID]]),0,IFERROR(INDEX(MainData[],MATCH(MainData[[#This Row],[EventID]],IF(MainData[Product]="Date",MainData[EventID],0),0),12),0))</f>
        <v>44602</v>
      </c>
      <c r="F1001" s="155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1" s="155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1" s="157" t="s">
        <v>85</v>
      </c>
      <c r="J1001" t="s">
        <v>21</v>
      </c>
      <c r="K1001" s="2" t="s">
        <v>29</v>
      </c>
      <c r="L1001" s="2" t="s">
        <v>35</v>
      </c>
      <c r="M1001" s="2" t="s">
        <v>382</v>
      </c>
      <c r="N1001" s="2" t="s">
        <v>234</v>
      </c>
      <c r="O1001" s="109">
        <v>1</v>
      </c>
      <c r="P1001" s="109">
        <v>31</v>
      </c>
      <c r="Q1001" s="109">
        <v>310</v>
      </c>
    </row>
    <row r="1002" spans="2:17" x14ac:dyDescent="0.25">
      <c r="B1002" s="114">
        <v>20</v>
      </c>
      <c r="C1002" s="114">
        <v>48</v>
      </c>
      <c r="D1002" s="114">
        <v>75</v>
      </c>
      <c r="E1002" s="154" cm="1">
        <f t="array" ref="E1002">IF(ISBLANK(MainData[[#This Row],[EventID]]),0,IFERROR(INDEX(MainData[],MATCH(MainData[[#This Row],[EventID]],IF(MainData[Product]="Date",MainData[EventID],0),0),12),0))</f>
        <v>44602</v>
      </c>
      <c r="F1002" s="155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2" s="155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2" s="157" t="s">
        <v>85</v>
      </c>
      <c r="J1002" t="s">
        <v>21</v>
      </c>
      <c r="K1002" s="2" t="s">
        <v>29</v>
      </c>
      <c r="L1002" s="2" t="s">
        <v>65</v>
      </c>
      <c r="M1002" s="2" t="s">
        <v>383</v>
      </c>
      <c r="N1002" s="2" t="s">
        <v>234</v>
      </c>
      <c r="O1002" s="109">
        <v>1</v>
      </c>
      <c r="P1002" s="109">
        <v>3.25</v>
      </c>
      <c r="Q1002" s="109">
        <v>65</v>
      </c>
    </row>
    <row r="1003" spans="2:17" x14ac:dyDescent="0.25">
      <c r="B1003" s="114">
        <v>20</v>
      </c>
      <c r="C1003" s="114">
        <v>48</v>
      </c>
      <c r="D1003" s="114">
        <v>75</v>
      </c>
      <c r="E1003" s="154" cm="1">
        <f t="array" ref="E1003">IF(ISBLANK(MainData[[#This Row],[EventID]]),0,IFERROR(INDEX(MainData[],MATCH(MainData[[#This Row],[EventID]],IF(MainData[Product]="Date",MainData[EventID],0),0),12),0))</f>
        <v>44602</v>
      </c>
      <c r="F1003" s="155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3" s="155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3" s="20" t="s">
        <v>85</v>
      </c>
      <c r="J1003" t="s">
        <v>21</v>
      </c>
      <c r="K1003" s="2" t="s">
        <v>29</v>
      </c>
      <c r="L1003" s="2" t="s">
        <v>25</v>
      </c>
      <c r="M1003" s="2" t="s">
        <v>12</v>
      </c>
      <c r="N1003" s="2" t="s">
        <v>234</v>
      </c>
      <c r="O1003" s="109">
        <v>1</v>
      </c>
      <c r="P1003" s="109">
        <v>101.05</v>
      </c>
      <c r="Q1003" s="109">
        <v>493</v>
      </c>
    </row>
    <row r="1004" spans="2:17" x14ac:dyDescent="0.25">
      <c r="B1004" s="114">
        <v>29</v>
      </c>
      <c r="C1004" s="114">
        <v>82</v>
      </c>
      <c r="D1004" s="114">
        <v>76</v>
      </c>
      <c r="E1004" s="154" cm="1">
        <f t="array" ref="E1004">IF(ISBLANK(MainData[[#This Row],[EventID]]),0,IFERROR(INDEX(MainData[],MATCH(MainData[[#This Row],[EventID]],IF(MainData[Product]="Date",MainData[EventID],0),0),12),0))</f>
        <v>44602</v>
      </c>
      <c r="F1004" s="155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4" s="155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4" s="157" t="s">
        <v>84</v>
      </c>
      <c r="J1004" t="s">
        <v>187</v>
      </c>
      <c r="K1004" s="2" t="s">
        <v>157</v>
      </c>
      <c r="L1004" s="2" t="s">
        <v>81</v>
      </c>
      <c r="M1004" s="2">
        <v>1</v>
      </c>
      <c r="N1004" s="2"/>
      <c r="O1004" s="109"/>
      <c r="P1004" s="109"/>
      <c r="Q1004" s="109"/>
    </row>
    <row r="1005" spans="2:17" x14ac:dyDescent="0.25">
      <c r="B1005" s="114">
        <v>29</v>
      </c>
      <c r="C1005" s="114">
        <v>82</v>
      </c>
      <c r="D1005" s="114">
        <v>76</v>
      </c>
      <c r="E1005" s="154" cm="1">
        <f t="array" ref="E1005">IF(ISBLANK(MainData[[#This Row],[EventID]]),0,IFERROR(INDEX(MainData[],MATCH(MainData[[#This Row],[EventID]],IF(MainData[Product]="Date",MainData[EventID],0),0),12),0))</f>
        <v>44602</v>
      </c>
      <c r="F1005" s="155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5" s="155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5" s="157" t="s">
        <v>84</v>
      </c>
      <c r="J1005" t="s">
        <v>187</v>
      </c>
      <c r="K1005" s="2" t="s">
        <v>157</v>
      </c>
      <c r="L1005" s="2" t="s">
        <v>164</v>
      </c>
      <c r="M1005" s="2" t="s">
        <v>432</v>
      </c>
      <c r="N1005" s="2"/>
      <c r="O1005" s="109"/>
      <c r="P1005" s="109"/>
      <c r="Q1005" s="109"/>
    </row>
    <row r="1006" spans="2:17" x14ac:dyDescent="0.25">
      <c r="B1006" s="114">
        <v>29</v>
      </c>
      <c r="C1006" s="114">
        <v>82</v>
      </c>
      <c r="D1006" s="114">
        <v>76</v>
      </c>
      <c r="E1006" s="154" cm="1">
        <f t="array" ref="E1006">IF(ISBLANK(MainData[[#This Row],[EventID]]),0,IFERROR(INDEX(MainData[],MATCH(MainData[[#This Row],[EventID]],IF(MainData[Product]="Date",MainData[EventID],0),0),12),0))</f>
        <v>44602</v>
      </c>
      <c r="F1006" s="155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6" s="155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6" s="157" t="s">
        <v>84</v>
      </c>
      <c r="J1006" t="s">
        <v>187</v>
      </c>
      <c r="K1006" s="2" t="s">
        <v>157</v>
      </c>
      <c r="L1006" s="2" t="s">
        <v>0</v>
      </c>
      <c r="M1006" s="158">
        <v>44602</v>
      </c>
      <c r="N1006" s="2"/>
      <c r="O1006" s="109"/>
      <c r="P1006" s="109"/>
      <c r="Q1006" s="109"/>
    </row>
    <row r="1007" spans="2:17" x14ac:dyDescent="0.25">
      <c r="B1007" s="114">
        <v>29</v>
      </c>
      <c r="C1007" s="114">
        <v>82</v>
      </c>
      <c r="D1007" s="114">
        <v>76</v>
      </c>
      <c r="E1007" s="154" cm="1">
        <f t="array" ref="E1007">IF(ISBLANK(MainData[[#This Row],[EventID]]),0,IFERROR(INDEX(MainData[],MATCH(MainData[[#This Row],[EventID]],IF(MainData[Product]="Date",MainData[EventID],0),0),12),0))</f>
        <v>44602</v>
      </c>
      <c r="F1007" s="155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7" s="155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7" s="157" t="s">
        <v>84</v>
      </c>
      <c r="J1007" t="s">
        <v>187</v>
      </c>
      <c r="K1007" s="2" t="s">
        <v>157</v>
      </c>
      <c r="L1007" s="2" t="s">
        <v>82</v>
      </c>
      <c r="M1007" s="2">
        <v>43308</v>
      </c>
      <c r="N1007" s="2"/>
      <c r="O1007" s="109"/>
      <c r="P1007" s="109"/>
      <c r="Q1007" s="109"/>
    </row>
    <row r="1008" spans="2:17" x14ac:dyDescent="0.25">
      <c r="B1008" s="114">
        <v>29</v>
      </c>
      <c r="C1008" s="114">
        <v>82</v>
      </c>
      <c r="D1008" s="114">
        <v>76</v>
      </c>
      <c r="E1008" s="154" cm="1">
        <f t="array" ref="E1008">IF(ISBLANK(MainData[[#This Row],[EventID]]),0,IFERROR(INDEX(MainData[],MATCH(MainData[[#This Row],[EventID]],IF(MainData[Product]="Date",MainData[EventID],0),0),12),0))</f>
        <v>44602</v>
      </c>
      <c r="F1008" s="155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8" s="155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8" s="157" t="s">
        <v>84</v>
      </c>
      <c r="J1008" t="s">
        <v>187</v>
      </c>
      <c r="K1008" s="2" t="s">
        <v>157</v>
      </c>
      <c r="L1008" s="2" t="s">
        <v>175</v>
      </c>
      <c r="M1008" s="2" t="s">
        <v>466</v>
      </c>
      <c r="N1008" s="2"/>
      <c r="O1008" s="109"/>
      <c r="P1008" s="109"/>
      <c r="Q1008" s="109"/>
    </row>
    <row r="1009" spans="2:17" x14ac:dyDescent="0.25">
      <c r="B1009" s="114">
        <v>29</v>
      </c>
      <c r="C1009" s="114">
        <v>82</v>
      </c>
      <c r="D1009" s="114">
        <v>76</v>
      </c>
      <c r="E1009" s="154" cm="1">
        <f t="array" ref="E1009">IF(ISBLANK(MainData[[#This Row],[EventID]]),0,IFERROR(INDEX(MainData[],MATCH(MainData[[#This Row],[EventID]],IF(MainData[Product]="Date",MainData[EventID],0),0),12),0))</f>
        <v>44602</v>
      </c>
      <c r="F1009" s="155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9" s="155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9" s="157" t="s">
        <v>84</v>
      </c>
      <c r="J1009" t="s">
        <v>187</v>
      </c>
      <c r="K1009" s="2" t="s">
        <v>157</v>
      </c>
      <c r="L1009" s="2" t="s">
        <v>20</v>
      </c>
      <c r="M1009" s="2" t="s">
        <v>350</v>
      </c>
      <c r="N1009" s="2"/>
      <c r="O1009" s="109"/>
      <c r="P1009" s="109"/>
      <c r="Q1009" s="109"/>
    </row>
    <row r="1010" spans="2:17" x14ac:dyDescent="0.25">
      <c r="B1010" s="114">
        <v>29</v>
      </c>
      <c r="C1010" s="114">
        <v>82</v>
      </c>
      <c r="D1010" s="114">
        <v>76</v>
      </c>
      <c r="E1010" s="154" cm="1">
        <f t="array" ref="E1010">IF(ISBLANK(MainData[[#This Row],[EventID]]),0,IFERROR(INDEX(MainData[],MATCH(MainData[[#This Row],[EventID]],IF(MainData[Product]="Date",MainData[EventID],0),0),12),0))</f>
        <v>44602</v>
      </c>
      <c r="F1010" s="155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0" s="155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0" s="157" t="s">
        <v>84</v>
      </c>
      <c r="J1010" t="s">
        <v>187</v>
      </c>
      <c r="K1010" s="2" t="s">
        <v>157</v>
      </c>
      <c r="L1010" s="2" t="s">
        <v>138</v>
      </c>
      <c r="M1010" s="2">
        <v>565</v>
      </c>
      <c r="N1010" s="2"/>
      <c r="O1010" s="109"/>
      <c r="P1010" s="109"/>
      <c r="Q1010" s="109"/>
    </row>
    <row r="1011" spans="2:17" x14ac:dyDescent="0.25">
      <c r="B1011" s="114">
        <v>29</v>
      </c>
      <c r="C1011" s="114">
        <v>82</v>
      </c>
      <c r="D1011" s="114">
        <v>76</v>
      </c>
      <c r="E1011" s="154" cm="1">
        <f t="array" ref="E1011">IF(ISBLANK(MainData[[#This Row],[EventID]]),0,IFERROR(INDEX(MainData[],MATCH(MainData[[#This Row],[EventID]],IF(MainData[Product]="Date",MainData[EventID],0),0),12),0))</f>
        <v>44602</v>
      </c>
      <c r="F1011" s="155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1" s="155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1" s="157" t="s">
        <v>84</v>
      </c>
      <c r="J1011" t="s">
        <v>187</v>
      </c>
      <c r="K1011" s="2" t="s">
        <v>157</v>
      </c>
      <c r="L1011" s="2" t="s">
        <v>86</v>
      </c>
      <c r="M1011" s="2">
        <v>3.5</v>
      </c>
      <c r="N1011" s="2"/>
      <c r="O1011" s="109"/>
      <c r="P1011" s="109"/>
      <c r="Q1011" s="109"/>
    </row>
    <row r="1012" spans="2:17" x14ac:dyDescent="0.25">
      <c r="B1012" s="114">
        <v>29</v>
      </c>
      <c r="C1012" s="114">
        <v>82</v>
      </c>
      <c r="D1012" s="114">
        <v>76</v>
      </c>
      <c r="E1012" s="154" cm="1">
        <f t="array" ref="E1012">IF(ISBLANK(MainData[[#This Row],[EventID]]),0,IFERROR(INDEX(MainData[],MATCH(MainData[[#This Row],[EventID]],IF(MainData[Product]="Date",MainData[EventID],0),0),12),0))</f>
        <v>44602</v>
      </c>
      <c r="F1012" s="155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2" s="155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2" s="157" t="s">
        <v>84</v>
      </c>
      <c r="J1012" t="s">
        <v>187</v>
      </c>
      <c r="K1012" s="2" t="s">
        <v>157</v>
      </c>
      <c r="L1012" s="2" t="s">
        <v>118</v>
      </c>
      <c r="M1012" s="2" t="s">
        <v>484</v>
      </c>
      <c r="N1012" s="2"/>
      <c r="O1012" s="109"/>
      <c r="P1012" s="109"/>
      <c r="Q1012" s="109"/>
    </row>
    <row r="1013" spans="2:17" x14ac:dyDescent="0.25">
      <c r="B1013" s="114">
        <v>29</v>
      </c>
      <c r="C1013" s="114">
        <v>82</v>
      </c>
      <c r="D1013" s="114">
        <v>76</v>
      </c>
      <c r="E1013" s="154" cm="1">
        <f t="array" ref="E1013">IF(ISBLANK(MainData[[#This Row],[EventID]]),0,IFERROR(INDEX(MainData[],MATCH(MainData[[#This Row],[EventID]],IF(MainData[Product]="Date",MainData[EventID],0),0),12),0))</f>
        <v>44602</v>
      </c>
      <c r="F1013" s="155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3" s="155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3" s="157" t="s">
        <v>84</v>
      </c>
      <c r="J1013" t="s">
        <v>187</v>
      </c>
      <c r="K1013" s="2" t="s">
        <v>157</v>
      </c>
      <c r="L1013" s="2" t="s">
        <v>165</v>
      </c>
      <c r="M1013" s="2" t="s">
        <v>409</v>
      </c>
      <c r="N1013" s="2"/>
      <c r="O1013" s="109"/>
      <c r="P1013" s="109"/>
      <c r="Q1013" s="109"/>
    </row>
    <row r="1014" spans="2:17" x14ac:dyDescent="0.25">
      <c r="B1014" s="114">
        <v>29</v>
      </c>
      <c r="C1014" s="114">
        <v>82</v>
      </c>
      <c r="D1014" s="114">
        <v>76</v>
      </c>
      <c r="E1014" s="154" cm="1">
        <f t="array" ref="E1014">IF(ISBLANK(MainData[[#This Row],[EventID]]),0,IFERROR(INDEX(MainData[],MATCH(MainData[[#This Row],[EventID]],IF(MainData[Product]="Date",MainData[EventID],0),0),12),0))</f>
        <v>44602</v>
      </c>
      <c r="F1014" s="155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4" s="155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4" s="20" t="s">
        <v>85</v>
      </c>
      <c r="J1014" t="s">
        <v>20</v>
      </c>
      <c r="K1014" s="2" t="s">
        <v>116</v>
      </c>
      <c r="L1014" s="2" t="s">
        <v>88</v>
      </c>
      <c r="M1014" s="2" t="s">
        <v>189</v>
      </c>
      <c r="N1014" s="2" t="s">
        <v>233</v>
      </c>
      <c r="O1014" s="109">
        <v>3</v>
      </c>
      <c r="P1014" s="109"/>
      <c r="Q1014" s="109"/>
    </row>
    <row r="1015" spans="2:17" x14ac:dyDescent="0.25">
      <c r="B1015" s="114">
        <v>29</v>
      </c>
      <c r="C1015" s="114">
        <v>82</v>
      </c>
      <c r="D1015" s="114">
        <v>76</v>
      </c>
      <c r="E1015" s="154" cm="1">
        <f t="array" ref="E1015">IF(ISBLANK(MainData[[#This Row],[EventID]]),0,IFERROR(INDEX(MainData[],MATCH(MainData[[#This Row],[EventID]],IF(MainData[Product]="Date",MainData[EventID],0),0),12),0))</f>
        <v>44602</v>
      </c>
      <c r="F1015" s="155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5" s="155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5" s="20" t="s">
        <v>85</v>
      </c>
      <c r="J1015" t="s">
        <v>20</v>
      </c>
      <c r="K1015" s="2" t="s">
        <v>116</v>
      </c>
      <c r="L1015" s="2" t="s">
        <v>87</v>
      </c>
      <c r="M1015" s="2" t="s">
        <v>188</v>
      </c>
      <c r="N1015" s="2" t="s">
        <v>233</v>
      </c>
      <c r="O1015" s="109">
        <v>6</v>
      </c>
      <c r="P1015" s="109"/>
      <c r="Q1015" s="109">
        <v>600</v>
      </c>
    </row>
    <row r="1016" spans="2:17" x14ac:dyDescent="0.25">
      <c r="B1016" s="114">
        <v>29</v>
      </c>
      <c r="C1016" s="114">
        <v>82</v>
      </c>
      <c r="D1016" s="114">
        <v>76</v>
      </c>
      <c r="E1016" s="154" cm="1">
        <f t="array" ref="E1016">IF(ISBLANK(MainData[[#This Row],[EventID]]),0,IFERROR(INDEX(MainData[],MATCH(MainData[[#This Row],[EventID]],IF(MainData[Product]="Date",MainData[EventID],0),0),12),0))</f>
        <v>44602</v>
      </c>
      <c r="F1016" s="155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6" s="155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6" s="157" t="s">
        <v>85</v>
      </c>
      <c r="J1016" t="s">
        <v>20</v>
      </c>
      <c r="K1016" s="2" t="s">
        <v>29</v>
      </c>
      <c r="L1016" s="2" t="s">
        <v>35</v>
      </c>
      <c r="M1016" s="2" t="s">
        <v>382</v>
      </c>
      <c r="N1016" s="2" t="s">
        <v>234</v>
      </c>
      <c r="O1016" s="109">
        <v>6</v>
      </c>
      <c r="P1016" s="109">
        <v>482</v>
      </c>
      <c r="Q1016" s="109">
        <v>4820</v>
      </c>
    </row>
    <row r="1017" spans="2:17" x14ac:dyDescent="0.25">
      <c r="B1017" s="114">
        <v>29</v>
      </c>
      <c r="C1017" s="114">
        <v>82</v>
      </c>
      <c r="D1017" s="114">
        <v>76</v>
      </c>
      <c r="E1017" s="154" cm="1">
        <f t="array" ref="E1017">IF(ISBLANK(MainData[[#This Row],[EventID]]),0,IFERROR(INDEX(MainData[],MATCH(MainData[[#This Row],[EventID]],IF(MainData[Product]="Date",MainData[EventID],0),0),12),0))</f>
        <v>44602</v>
      </c>
      <c r="F1017" s="155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7" s="155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7" s="20" t="s">
        <v>85</v>
      </c>
      <c r="J1017" t="s">
        <v>20</v>
      </c>
      <c r="K1017" s="2" t="s">
        <v>29</v>
      </c>
      <c r="L1017" s="2" t="s">
        <v>36</v>
      </c>
      <c r="M1017" s="2" t="s">
        <v>387</v>
      </c>
      <c r="N1017" s="2" t="s">
        <v>234</v>
      </c>
      <c r="O1017" s="109">
        <v>6</v>
      </c>
      <c r="P1017" s="109">
        <v>565.35</v>
      </c>
      <c r="Q1017" s="109">
        <v>6611</v>
      </c>
    </row>
    <row r="1018" spans="2:17" x14ac:dyDescent="0.25">
      <c r="B1018" s="114">
        <v>29</v>
      </c>
      <c r="C1018" s="114">
        <v>82</v>
      </c>
      <c r="D1018" s="114">
        <v>76</v>
      </c>
      <c r="E1018" s="154" cm="1">
        <f t="array" ref="E1018">IF(ISBLANK(MainData[[#This Row],[EventID]]),0,IFERROR(INDEX(MainData[],MATCH(MainData[[#This Row],[EventID]],IF(MainData[Product]="Date",MainData[EventID],0),0),12),0))</f>
        <v>44602</v>
      </c>
      <c r="F1018" s="155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8" s="155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8" s="157" t="s">
        <v>85</v>
      </c>
      <c r="J1018" t="s">
        <v>20</v>
      </c>
      <c r="K1018" s="2" t="s">
        <v>29</v>
      </c>
      <c r="L1018" s="2" t="s">
        <v>65</v>
      </c>
      <c r="M1018" s="2" t="s">
        <v>383</v>
      </c>
      <c r="N1018" s="2" t="s">
        <v>234</v>
      </c>
      <c r="O1018" s="109">
        <v>6</v>
      </c>
      <c r="P1018" s="109">
        <v>22</v>
      </c>
      <c r="Q1018" s="109">
        <v>845</v>
      </c>
    </row>
    <row r="1019" spans="2:17" x14ac:dyDescent="0.25">
      <c r="B1019" s="114">
        <v>29</v>
      </c>
      <c r="C1019" s="114">
        <v>82</v>
      </c>
      <c r="D1019" s="114">
        <v>76</v>
      </c>
      <c r="E1019" s="154" cm="1">
        <f t="array" ref="E1019">IF(ISBLANK(MainData[[#This Row],[EventID]]),0,IFERROR(INDEX(MainData[],MATCH(MainData[[#This Row],[EventID]],IF(MainData[Product]="Date",MainData[EventID],0),0),12),0))</f>
        <v>44602</v>
      </c>
      <c r="F1019" s="155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9" s="155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9" s="157" t="s">
        <v>85</v>
      </c>
      <c r="J1019" t="s">
        <v>20</v>
      </c>
      <c r="K1019" s="2" t="s">
        <v>29</v>
      </c>
      <c r="L1019" s="2" t="s">
        <v>25</v>
      </c>
      <c r="M1019" s="2" t="s">
        <v>388</v>
      </c>
      <c r="N1019" s="2" t="s">
        <v>234</v>
      </c>
      <c r="O1019" s="109">
        <v>6</v>
      </c>
      <c r="P1019" s="109">
        <v>363</v>
      </c>
      <c r="Q1019" s="109">
        <v>3624</v>
      </c>
    </row>
    <row r="1020" spans="2:17" x14ac:dyDescent="0.25">
      <c r="B1020" s="114">
        <v>29</v>
      </c>
      <c r="C1020" s="114">
        <v>83</v>
      </c>
      <c r="D1020" s="114">
        <v>77</v>
      </c>
      <c r="E1020" s="154" cm="1">
        <f t="array" ref="E1020">IF(ISBLANK(MainData[[#This Row],[EventID]]),0,IFERROR(INDEX(MainData[],MATCH(MainData[[#This Row],[EventID]],IF(MainData[Product]="Date",MainData[EventID],0),0),12),0))</f>
        <v>44602</v>
      </c>
      <c r="F1020" s="155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0" s="155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0" s="157" t="s">
        <v>84</v>
      </c>
      <c r="J1020" t="s">
        <v>187</v>
      </c>
      <c r="K1020" s="2" t="s">
        <v>157</v>
      </c>
      <c r="L1020" s="2" t="s">
        <v>81</v>
      </c>
      <c r="M1020" s="2">
        <v>1</v>
      </c>
      <c r="N1020" s="2"/>
      <c r="O1020" s="109"/>
      <c r="P1020" s="109"/>
      <c r="Q1020" s="109"/>
    </row>
    <row r="1021" spans="2:17" x14ac:dyDescent="0.25">
      <c r="B1021" s="114">
        <v>29</v>
      </c>
      <c r="C1021" s="114">
        <v>83</v>
      </c>
      <c r="D1021" s="114">
        <v>77</v>
      </c>
      <c r="E1021" s="154" cm="1">
        <f t="array" ref="E1021">IF(ISBLANK(MainData[[#This Row],[EventID]]),0,IFERROR(INDEX(MainData[],MATCH(MainData[[#This Row],[EventID]],IF(MainData[Product]="Date",MainData[EventID],0),0),12),0))</f>
        <v>44602</v>
      </c>
      <c r="F1021" s="155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1" s="155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1" s="157" t="s">
        <v>84</v>
      </c>
      <c r="J1021" t="s">
        <v>187</v>
      </c>
      <c r="K1021" s="2" t="s">
        <v>157</v>
      </c>
      <c r="L1021" s="2" t="s">
        <v>0</v>
      </c>
      <c r="M1021" s="158">
        <v>44602</v>
      </c>
      <c r="N1021" s="2"/>
      <c r="O1021" s="109"/>
      <c r="P1021" s="109"/>
      <c r="Q1021" s="109"/>
    </row>
    <row r="1022" spans="2:17" x14ac:dyDescent="0.25">
      <c r="B1022" s="114">
        <v>29</v>
      </c>
      <c r="C1022" s="114">
        <v>83</v>
      </c>
      <c r="D1022" s="114">
        <v>77</v>
      </c>
      <c r="E1022" s="154" cm="1">
        <f t="array" ref="E1022">IF(ISBLANK(MainData[[#This Row],[EventID]]),0,IFERROR(INDEX(MainData[],MATCH(MainData[[#This Row],[EventID]],IF(MainData[Product]="Date",MainData[EventID],0),0),12),0))</f>
        <v>44602</v>
      </c>
      <c r="F1022" s="155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2" s="155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2" s="157" t="s">
        <v>84</v>
      </c>
      <c r="J1022" t="s">
        <v>187</v>
      </c>
      <c r="K1022" s="2" t="s">
        <v>157</v>
      </c>
      <c r="L1022" s="2" t="s">
        <v>82</v>
      </c>
      <c r="M1022" s="2">
        <v>664927</v>
      </c>
      <c r="N1022" s="2"/>
      <c r="O1022" s="109"/>
      <c r="P1022" s="109"/>
      <c r="Q1022" s="109"/>
    </row>
    <row r="1023" spans="2:17" x14ac:dyDescent="0.25">
      <c r="B1023" s="114">
        <v>29</v>
      </c>
      <c r="C1023" s="114">
        <v>83</v>
      </c>
      <c r="D1023" s="114">
        <v>77</v>
      </c>
      <c r="E1023" s="154" cm="1">
        <f t="array" ref="E1023">IF(ISBLANK(MainData[[#This Row],[EventID]]),0,IFERROR(INDEX(MainData[],MATCH(MainData[[#This Row],[EventID]],IF(MainData[Product]="Date",MainData[EventID],0),0),12),0))</f>
        <v>44602</v>
      </c>
      <c r="F1023" s="155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3" s="155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3" s="157" t="s">
        <v>84</v>
      </c>
      <c r="J1023" t="s">
        <v>187</v>
      </c>
      <c r="K1023" s="2" t="s">
        <v>157</v>
      </c>
      <c r="L1023" s="2" t="s">
        <v>175</v>
      </c>
      <c r="M1023" s="2" t="s">
        <v>455</v>
      </c>
      <c r="N1023" s="2"/>
      <c r="O1023" s="109"/>
      <c r="P1023" s="109"/>
      <c r="Q1023" s="109"/>
    </row>
    <row r="1024" spans="2:17" x14ac:dyDescent="0.25">
      <c r="B1024" s="114">
        <v>29</v>
      </c>
      <c r="C1024" s="114">
        <v>83</v>
      </c>
      <c r="D1024" s="114">
        <v>77</v>
      </c>
      <c r="E1024" s="154" cm="1">
        <f t="array" ref="E1024">IF(ISBLANK(MainData[[#This Row],[EventID]]),0,IFERROR(INDEX(MainData[],MATCH(MainData[[#This Row],[EventID]],IF(MainData[Product]="Date",MainData[EventID],0),0),12),0))</f>
        <v>44602</v>
      </c>
      <c r="F1024" s="155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4" s="155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4" s="157" t="s">
        <v>84</v>
      </c>
      <c r="J1024" t="s">
        <v>187</v>
      </c>
      <c r="K1024" s="2" t="s">
        <v>157</v>
      </c>
      <c r="L1024" s="2" t="s">
        <v>138</v>
      </c>
      <c r="M1024" s="2">
        <v>48</v>
      </c>
      <c r="N1024" s="2"/>
      <c r="O1024" s="109"/>
      <c r="P1024" s="109"/>
      <c r="Q1024" s="109"/>
    </row>
    <row r="1025" spans="2:17" x14ac:dyDescent="0.25">
      <c r="B1025" s="114">
        <v>29</v>
      </c>
      <c r="C1025" s="114">
        <v>83</v>
      </c>
      <c r="D1025" s="114">
        <v>77</v>
      </c>
      <c r="E1025" s="154" cm="1">
        <f t="array" ref="E1025">IF(ISBLANK(MainData[[#This Row],[EventID]]),0,IFERROR(INDEX(MainData[],MATCH(MainData[[#This Row],[EventID]],IF(MainData[Product]="Date",MainData[EventID],0),0),12),0))</f>
        <v>44602</v>
      </c>
      <c r="F1025" s="155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5" s="155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5" s="157" t="s">
        <v>84</v>
      </c>
      <c r="J1025" t="s">
        <v>187</v>
      </c>
      <c r="K1025" s="2" t="s">
        <v>157</v>
      </c>
      <c r="L1025" s="2" t="s">
        <v>86</v>
      </c>
      <c r="M1025" s="2">
        <v>1</v>
      </c>
      <c r="N1025" s="2"/>
      <c r="O1025" s="109"/>
      <c r="P1025" s="109"/>
      <c r="Q1025" s="109"/>
    </row>
    <row r="1026" spans="2:17" x14ac:dyDescent="0.25">
      <c r="B1026" s="114">
        <v>29</v>
      </c>
      <c r="C1026" s="114">
        <v>83</v>
      </c>
      <c r="D1026" s="114">
        <v>77</v>
      </c>
      <c r="E1026" s="154" cm="1">
        <f t="array" ref="E1026">IF(ISBLANK(MainData[[#This Row],[EventID]]),0,IFERROR(INDEX(MainData[],MATCH(MainData[[#This Row],[EventID]],IF(MainData[Product]="Date",MainData[EventID],0),0),12),0))</f>
        <v>44602</v>
      </c>
      <c r="F1026" s="155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6" s="155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6" s="157" t="s">
        <v>84</v>
      </c>
      <c r="J1026" t="s">
        <v>187</v>
      </c>
      <c r="K1026" s="2" t="s">
        <v>157</v>
      </c>
      <c r="L1026" s="2" t="s">
        <v>118</v>
      </c>
      <c r="M1026" s="2" t="s">
        <v>462</v>
      </c>
      <c r="N1026" s="2"/>
      <c r="O1026" s="109"/>
      <c r="P1026" s="109"/>
      <c r="Q1026" s="109"/>
    </row>
    <row r="1027" spans="2:17" x14ac:dyDescent="0.25">
      <c r="B1027" s="114">
        <v>29</v>
      </c>
      <c r="C1027" s="114">
        <v>83</v>
      </c>
      <c r="D1027" s="114">
        <v>77</v>
      </c>
      <c r="E1027" s="154" cm="1">
        <f t="array" ref="E1027">IF(ISBLANK(MainData[[#This Row],[EventID]]),0,IFERROR(INDEX(MainData[],MATCH(MainData[[#This Row],[EventID]],IF(MainData[Product]="Date",MainData[EventID],0),0),12),0))</f>
        <v>44602</v>
      </c>
      <c r="F1027" s="155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7" s="155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7" s="20" t="s">
        <v>85</v>
      </c>
      <c r="J1027" t="s">
        <v>20</v>
      </c>
      <c r="K1027" s="2" t="s">
        <v>116</v>
      </c>
      <c r="L1027" s="2" t="s">
        <v>88</v>
      </c>
      <c r="M1027" s="2" t="s">
        <v>189</v>
      </c>
      <c r="N1027" s="2" t="s">
        <v>233</v>
      </c>
      <c r="O1027" s="109">
        <v>1</v>
      </c>
      <c r="P1027" s="109"/>
      <c r="Q1027" s="109"/>
    </row>
    <row r="1028" spans="2:17" x14ac:dyDescent="0.25">
      <c r="B1028" s="114">
        <v>29</v>
      </c>
      <c r="C1028" s="114">
        <v>83</v>
      </c>
      <c r="D1028" s="114">
        <v>77</v>
      </c>
      <c r="E1028" s="154" cm="1">
        <f t="array" ref="E1028">IF(ISBLANK(MainData[[#This Row],[EventID]]),0,IFERROR(INDEX(MainData[],MATCH(MainData[[#This Row],[EventID]],IF(MainData[Product]="Date",MainData[EventID],0),0),12),0))</f>
        <v>44602</v>
      </c>
      <c r="F1028" s="155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8" s="155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8" s="20" t="s">
        <v>85</v>
      </c>
      <c r="J1028" t="s">
        <v>20</v>
      </c>
      <c r="K1028" s="2" t="s">
        <v>116</v>
      </c>
      <c r="L1028" s="2" t="s">
        <v>87</v>
      </c>
      <c r="M1028" s="2" t="s">
        <v>188</v>
      </c>
      <c r="N1028" s="2" t="s">
        <v>233</v>
      </c>
      <c r="O1028" s="109">
        <v>1</v>
      </c>
      <c r="P1028" s="109"/>
      <c r="Q1028" s="109">
        <v>100</v>
      </c>
    </row>
    <row r="1029" spans="2:17" x14ac:dyDescent="0.25">
      <c r="B1029" s="114">
        <v>29</v>
      </c>
      <c r="C1029" s="114">
        <v>83</v>
      </c>
      <c r="D1029" s="114">
        <v>77</v>
      </c>
      <c r="E1029" s="154" cm="1">
        <f t="array" ref="E1029">IF(ISBLANK(MainData[[#This Row],[EventID]]),0,IFERROR(INDEX(MainData[],MATCH(MainData[[#This Row],[EventID]],IF(MainData[Product]="Date",MainData[EventID],0),0),12),0))</f>
        <v>44602</v>
      </c>
      <c r="F1029" s="155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9" s="155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9" s="157" t="s">
        <v>85</v>
      </c>
      <c r="J1029" t="s">
        <v>20</v>
      </c>
      <c r="K1029" s="2" t="s">
        <v>29</v>
      </c>
      <c r="L1029" s="2" t="s">
        <v>35</v>
      </c>
      <c r="M1029" s="2" t="s">
        <v>382</v>
      </c>
      <c r="N1029" s="2" t="s">
        <v>234</v>
      </c>
      <c r="O1029" s="109">
        <v>1</v>
      </c>
      <c r="P1029" s="109">
        <v>8</v>
      </c>
      <c r="Q1029" s="109">
        <v>80</v>
      </c>
    </row>
    <row r="1030" spans="2:17" x14ac:dyDescent="0.25">
      <c r="B1030" s="114">
        <v>29</v>
      </c>
      <c r="C1030" s="114">
        <v>83</v>
      </c>
      <c r="D1030" s="114">
        <v>77</v>
      </c>
      <c r="E1030" s="154" cm="1">
        <f t="array" ref="E1030">IF(ISBLANK(MainData[[#This Row],[EventID]]),0,IFERROR(INDEX(MainData[],MATCH(MainData[[#This Row],[EventID]],IF(MainData[Product]="Date",MainData[EventID],0),0),12),0))</f>
        <v>44602</v>
      </c>
      <c r="F1030" s="155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0" s="155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0" s="20" t="s">
        <v>85</v>
      </c>
      <c r="J1030" t="s">
        <v>20</v>
      </c>
      <c r="K1030" s="2" t="s">
        <v>29</v>
      </c>
      <c r="L1030" s="2" t="s">
        <v>36</v>
      </c>
      <c r="M1030" s="2" t="s">
        <v>384</v>
      </c>
      <c r="N1030" s="2" t="s">
        <v>234</v>
      </c>
      <c r="O1030" s="109">
        <v>1</v>
      </c>
      <c r="P1030" s="109">
        <v>18.100000000000001</v>
      </c>
      <c r="Q1030" s="109">
        <v>289</v>
      </c>
    </row>
    <row r="1031" spans="2:17" x14ac:dyDescent="0.25">
      <c r="B1031" s="114">
        <v>29</v>
      </c>
      <c r="C1031" s="114">
        <v>83</v>
      </c>
      <c r="D1031" s="114">
        <v>77</v>
      </c>
      <c r="E1031" s="154" cm="1">
        <f t="array" ref="E1031">IF(ISBLANK(MainData[[#This Row],[EventID]]),0,IFERROR(INDEX(MainData[],MATCH(MainData[[#This Row],[EventID]],IF(MainData[Product]="Date",MainData[EventID],0),0),12),0))</f>
        <v>44602</v>
      </c>
      <c r="F1031" s="155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1" s="155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1" s="157" t="s">
        <v>85</v>
      </c>
      <c r="J1031" t="s">
        <v>20</v>
      </c>
      <c r="K1031" s="2" t="s">
        <v>29</v>
      </c>
      <c r="L1031" s="2" t="s">
        <v>65</v>
      </c>
      <c r="M1031" s="2" t="s">
        <v>383</v>
      </c>
      <c r="N1031" s="2" t="s">
        <v>234</v>
      </c>
      <c r="O1031" s="109">
        <v>1</v>
      </c>
      <c r="P1031" s="109">
        <v>0.75</v>
      </c>
      <c r="Q1031" s="109">
        <v>15</v>
      </c>
    </row>
    <row r="1032" spans="2:17" x14ac:dyDescent="0.25">
      <c r="B1032" s="114">
        <v>29</v>
      </c>
      <c r="C1032" s="114">
        <v>83</v>
      </c>
      <c r="D1032" s="114">
        <v>77</v>
      </c>
      <c r="E1032" s="154" cm="1">
        <f t="array" ref="E1032">IF(ISBLANK(MainData[[#This Row],[EventID]]),0,IFERROR(INDEX(MainData[],MATCH(MainData[[#This Row],[EventID]],IF(MainData[Product]="Date",MainData[EventID],0),0),12),0))</f>
        <v>44602</v>
      </c>
      <c r="F1032" s="155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2" s="155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2" s="157" t="s">
        <v>85</v>
      </c>
      <c r="J1032" t="s">
        <v>20</v>
      </c>
      <c r="K1032" s="2" t="s">
        <v>29</v>
      </c>
      <c r="L1032" s="2" t="s">
        <v>25</v>
      </c>
      <c r="M1032" s="2" t="s">
        <v>385</v>
      </c>
      <c r="N1032" s="2" t="s">
        <v>234</v>
      </c>
      <c r="O1032" s="109">
        <v>1</v>
      </c>
      <c r="P1032" s="109">
        <v>12</v>
      </c>
      <c r="Q1032" s="109">
        <v>120</v>
      </c>
    </row>
    <row r="1033" spans="2:17" x14ac:dyDescent="0.25">
      <c r="B1033" s="114">
        <v>13</v>
      </c>
      <c r="C1033" s="114">
        <v>32</v>
      </c>
      <c r="D1033" s="114">
        <v>73</v>
      </c>
      <c r="E1033" s="154" cm="1">
        <f t="array" ref="E1033">IF(ISBLANK(MainData[[#This Row],[EventID]]),0,IFERROR(INDEX(MainData[],MATCH(MainData[[#This Row],[EventID]],IF(MainData[Product]="Date",MainData[EventID],0),0),12),0))</f>
        <v>44602</v>
      </c>
      <c r="F1033" s="155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3" s="155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3" s="157" t="s">
        <v>84</v>
      </c>
      <c r="J1033" t="s">
        <v>187</v>
      </c>
      <c r="K1033" s="2" t="s">
        <v>157</v>
      </c>
      <c r="L1033" s="2" t="s">
        <v>81</v>
      </c>
      <c r="M1033" s="2">
        <v>1</v>
      </c>
      <c r="N1033" s="2"/>
      <c r="O1033" s="109"/>
      <c r="P1033" s="109"/>
      <c r="Q1033" s="109"/>
    </row>
    <row r="1034" spans="2:17" x14ac:dyDescent="0.25">
      <c r="B1034" s="114">
        <v>13</v>
      </c>
      <c r="C1034" s="114">
        <v>32</v>
      </c>
      <c r="D1034" s="114">
        <v>73</v>
      </c>
      <c r="E1034" s="154" cm="1">
        <f t="array" ref="E1034">IF(ISBLANK(MainData[[#This Row],[EventID]]),0,IFERROR(INDEX(MainData[],MATCH(MainData[[#This Row],[EventID]],IF(MainData[Product]="Date",MainData[EventID],0),0),12),0))</f>
        <v>44602</v>
      </c>
      <c r="F1034" s="155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4" s="155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4" s="157" t="s">
        <v>84</v>
      </c>
      <c r="J1034" t="s">
        <v>187</v>
      </c>
      <c r="K1034" s="2" t="s">
        <v>157</v>
      </c>
      <c r="L1034" s="2" t="s">
        <v>0</v>
      </c>
      <c r="M1034" s="158">
        <v>44602</v>
      </c>
      <c r="N1034" s="2"/>
      <c r="O1034" s="109"/>
      <c r="P1034" s="109"/>
      <c r="Q1034" s="109"/>
    </row>
    <row r="1035" spans="2:17" x14ac:dyDescent="0.25">
      <c r="B1035" s="114">
        <v>13</v>
      </c>
      <c r="C1035" s="114">
        <v>32</v>
      </c>
      <c r="D1035" s="114">
        <v>73</v>
      </c>
      <c r="E1035" s="154" cm="1">
        <f t="array" ref="E1035">IF(ISBLANK(MainData[[#This Row],[EventID]]),0,IFERROR(INDEX(MainData[],MATCH(MainData[[#This Row],[EventID]],IF(MainData[Product]="Date",MainData[EventID],0),0),12),0))</f>
        <v>44602</v>
      </c>
      <c r="F1035" s="155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5" s="155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5" s="157" t="s">
        <v>84</v>
      </c>
      <c r="J1035" t="s">
        <v>187</v>
      </c>
      <c r="K1035" s="2" t="s">
        <v>157</v>
      </c>
      <c r="L1035" s="2" t="s">
        <v>82</v>
      </c>
      <c r="M1035" s="2">
        <v>632764</v>
      </c>
      <c r="N1035" s="2"/>
      <c r="O1035" s="109"/>
      <c r="P1035" s="109"/>
      <c r="Q1035" s="109"/>
    </row>
    <row r="1036" spans="2:17" x14ac:dyDescent="0.25">
      <c r="B1036" s="114">
        <v>13</v>
      </c>
      <c r="C1036" s="114">
        <v>32</v>
      </c>
      <c r="D1036" s="114">
        <v>73</v>
      </c>
      <c r="E1036" s="154" cm="1">
        <f t="array" ref="E1036">IF(ISBLANK(MainData[[#This Row],[EventID]]),0,IFERROR(INDEX(MainData[],MATCH(MainData[[#This Row],[EventID]],IF(MainData[Product]="Date",MainData[EventID],0),0),12),0))</f>
        <v>44602</v>
      </c>
      <c r="F1036" s="155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6" s="155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6" s="157" t="s">
        <v>84</v>
      </c>
      <c r="J1036" t="s">
        <v>187</v>
      </c>
      <c r="K1036" s="2" t="s">
        <v>157</v>
      </c>
      <c r="L1036" s="2" t="s">
        <v>175</v>
      </c>
      <c r="M1036" s="2" t="s">
        <v>455</v>
      </c>
      <c r="N1036" s="2"/>
      <c r="O1036" s="109"/>
      <c r="P1036" s="109"/>
      <c r="Q1036" s="109"/>
    </row>
    <row r="1037" spans="2:17" x14ac:dyDescent="0.25">
      <c r="B1037" s="114">
        <v>13</v>
      </c>
      <c r="C1037" s="114">
        <v>32</v>
      </c>
      <c r="D1037" s="114">
        <v>73</v>
      </c>
      <c r="E1037" s="154" cm="1">
        <f t="array" ref="E1037">IF(ISBLANK(MainData[[#This Row],[EventID]]),0,IFERROR(INDEX(MainData[],MATCH(MainData[[#This Row],[EventID]],IF(MainData[Product]="Date",MainData[EventID],0),0),12),0))</f>
        <v>44602</v>
      </c>
      <c r="F1037" s="155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7" s="155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7" s="157" t="s">
        <v>84</v>
      </c>
      <c r="J1037" t="s">
        <v>187</v>
      </c>
      <c r="K1037" s="2" t="s">
        <v>157</v>
      </c>
      <c r="L1037" s="2" t="s">
        <v>138</v>
      </c>
      <c r="M1037" s="2">
        <v>55</v>
      </c>
      <c r="N1037" s="2"/>
      <c r="O1037" s="109"/>
      <c r="P1037" s="109"/>
      <c r="Q1037" s="109"/>
    </row>
    <row r="1038" spans="2:17" x14ac:dyDescent="0.25">
      <c r="B1038" s="114">
        <v>13</v>
      </c>
      <c r="C1038" s="114">
        <v>32</v>
      </c>
      <c r="D1038" s="114">
        <v>73</v>
      </c>
      <c r="E1038" s="154" cm="1">
        <f t="array" ref="E1038">IF(ISBLANK(MainData[[#This Row],[EventID]]),0,IFERROR(INDEX(MainData[],MATCH(MainData[[#This Row],[EventID]],IF(MainData[Product]="Date",MainData[EventID],0),0),12),0))</f>
        <v>44602</v>
      </c>
      <c r="F1038" s="155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8" s="155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8" s="157" t="s">
        <v>84</v>
      </c>
      <c r="J1038" t="s">
        <v>187</v>
      </c>
      <c r="K1038" s="2" t="s">
        <v>157</v>
      </c>
      <c r="L1038" s="2" t="s">
        <v>86</v>
      </c>
      <c r="M1038" s="2">
        <v>1.5</v>
      </c>
      <c r="N1038" s="2"/>
      <c r="O1038" s="109"/>
      <c r="P1038" s="109"/>
      <c r="Q1038" s="109"/>
    </row>
    <row r="1039" spans="2:17" x14ac:dyDescent="0.25">
      <c r="B1039" s="114">
        <v>13</v>
      </c>
      <c r="C1039" s="114">
        <v>32</v>
      </c>
      <c r="D1039" s="114">
        <v>73</v>
      </c>
      <c r="E1039" s="154" cm="1">
        <f t="array" ref="E1039">IF(ISBLANK(MainData[[#This Row],[EventID]]),0,IFERROR(INDEX(MainData[],MATCH(MainData[[#This Row],[EventID]],IF(MainData[Product]="Date",MainData[EventID],0),0),12),0))</f>
        <v>44602</v>
      </c>
      <c r="F1039" s="155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9" s="155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9" s="157" t="s">
        <v>84</v>
      </c>
      <c r="J1039" t="s">
        <v>187</v>
      </c>
      <c r="K1039" s="2" t="s">
        <v>157</v>
      </c>
      <c r="L1039" s="2" t="s">
        <v>118</v>
      </c>
      <c r="M1039" s="2" t="s">
        <v>489</v>
      </c>
      <c r="N1039" s="2"/>
      <c r="O1039" s="109"/>
      <c r="P1039" s="109"/>
      <c r="Q1039" s="109"/>
    </row>
    <row r="1040" spans="2:17" x14ac:dyDescent="0.25">
      <c r="B1040" s="114">
        <v>13</v>
      </c>
      <c r="C1040" s="114">
        <v>32</v>
      </c>
      <c r="D1040" s="114">
        <v>73</v>
      </c>
      <c r="E1040" s="154" cm="1">
        <f t="array" ref="E1040">IF(ISBLANK(MainData[[#This Row],[EventID]]),0,IFERROR(INDEX(MainData[],MATCH(MainData[[#This Row],[EventID]],IF(MainData[Product]="Date",MainData[EventID],0),0),12),0))</f>
        <v>44602</v>
      </c>
      <c r="F1040" s="155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0" s="155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0" s="20" t="s">
        <v>85</v>
      </c>
      <c r="J1040" t="s">
        <v>20</v>
      </c>
      <c r="K1040" s="2" t="s">
        <v>116</v>
      </c>
      <c r="L1040" s="2" t="s">
        <v>88</v>
      </c>
      <c r="M1040" s="2" t="s">
        <v>189</v>
      </c>
      <c r="N1040" s="2" t="s">
        <v>233</v>
      </c>
      <c r="O1040" s="109">
        <v>1</v>
      </c>
      <c r="P1040" s="109"/>
      <c r="Q1040" s="109"/>
    </row>
    <row r="1041" spans="2:17" x14ac:dyDescent="0.25">
      <c r="B1041" s="114">
        <v>13</v>
      </c>
      <c r="C1041" s="114">
        <v>32</v>
      </c>
      <c r="D1041" s="114">
        <v>73</v>
      </c>
      <c r="E1041" s="154" cm="1">
        <f t="array" ref="E1041">IF(ISBLANK(MainData[[#This Row],[EventID]]),0,IFERROR(INDEX(MainData[],MATCH(MainData[[#This Row],[EventID]],IF(MainData[Product]="Date",MainData[EventID],0),0),12),0))</f>
        <v>44602</v>
      </c>
      <c r="F1041" s="155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1" s="155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1" s="20" t="s">
        <v>85</v>
      </c>
      <c r="J1041" t="s">
        <v>20</v>
      </c>
      <c r="K1041" s="2" t="s">
        <v>116</v>
      </c>
      <c r="L1041" s="2" t="s">
        <v>87</v>
      </c>
      <c r="M1041" s="2" t="s">
        <v>188</v>
      </c>
      <c r="N1041" s="2" t="s">
        <v>233</v>
      </c>
      <c r="O1041" s="109">
        <v>1</v>
      </c>
      <c r="P1041" s="109"/>
      <c r="Q1041" s="109">
        <v>100</v>
      </c>
    </row>
    <row r="1042" spans="2:17" x14ac:dyDescent="0.25">
      <c r="B1042" s="114">
        <v>13</v>
      </c>
      <c r="C1042" s="114">
        <v>32</v>
      </c>
      <c r="D1042" s="114">
        <v>73</v>
      </c>
      <c r="E1042" s="154" cm="1">
        <f t="array" ref="E1042">IF(ISBLANK(MainData[[#This Row],[EventID]]),0,IFERROR(INDEX(MainData[],MATCH(MainData[[#This Row],[EventID]],IF(MainData[Product]="Date",MainData[EventID],0),0),12),0))</f>
        <v>44602</v>
      </c>
      <c r="F1042" s="155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2" s="155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2" s="157" t="s">
        <v>85</v>
      </c>
      <c r="J1042" t="s">
        <v>20</v>
      </c>
      <c r="K1042" s="2" t="s">
        <v>29</v>
      </c>
      <c r="L1042" s="2" t="s">
        <v>35</v>
      </c>
      <c r="M1042" s="2" t="s">
        <v>382</v>
      </c>
      <c r="N1042" s="2" t="s">
        <v>234</v>
      </c>
      <c r="O1042" s="109">
        <v>1</v>
      </c>
      <c r="P1042" s="109">
        <v>4.5</v>
      </c>
      <c r="Q1042" s="109">
        <v>45.45</v>
      </c>
    </row>
    <row r="1043" spans="2:17" x14ac:dyDescent="0.25">
      <c r="B1043" s="114">
        <v>13</v>
      </c>
      <c r="C1043" s="114">
        <v>32</v>
      </c>
      <c r="D1043" s="114">
        <v>73</v>
      </c>
      <c r="E1043" s="154" cm="1">
        <f t="array" ref="E1043">IF(ISBLANK(MainData[[#This Row],[EventID]]),0,IFERROR(INDEX(MainData[],MATCH(MainData[[#This Row],[EventID]],IF(MainData[Product]="Date",MainData[EventID],0),0),12),0))</f>
        <v>44602</v>
      </c>
      <c r="F1043" s="155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3" s="155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3" s="20" t="s">
        <v>85</v>
      </c>
      <c r="J1043" t="s">
        <v>20</v>
      </c>
      <c r="K1043" s="2" t="s">
        <v>29</v>
      </c>
      <c r="L1043" s="2" t="s">
        <v>36</v>
      </c>
      <c r="M1043" s="2" t="s">
        <v>387</v>
      </c>
      <c r="N1043" s="2" t="s">
        <v>234</v>
      </c>
      <c r="O1043" s="109">
        <v>1</v>
      </c>
      <c r="P1043" s="109">
        <v>18.88</v>
      </c>
      <c r="Q1043" s="109">
        <v>232.34</v>
      </c>
    </row>
    <row r="1044" spans="2:17" x14ac:dyDescent="0.25">
      <c r="B1044" s="114">
        <v>13</v>
      </c>
      <c r="C1044" s="114">
        <v>32</v>
      </c>
      <c r="D1044" s="114">
        <v>73</v>
      </c>
      <c r="E1044" s="154" cm="1">
        <f t="array" ref="E1044">IF(ISBLANK(MainData[[#This Row],[EventID]]),0,IFERROR(INDEX(MainData[],MATCH(MainData[[#This Row],[EventID]],IF(MainData[Product]="Date",MainData[EventID],0),0),12),0))</f>
        <v>44602</v>
      </c>
      <c r="F1044" s="155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4" s="155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4" s="157" t="s">
        <v>85</v>
      </c>
      <c r="J1044" t="s">
        <v>20</v>
      </c>
      <c r="K1044" s="2" t="s">
        <v>29</v>
      </c>
      <c r="L1044" s="2" t="s">
        <v>65</v>
      </c>
      <c r="M1044" s="2" t="s">
        <v>383</v>
      </c>
      <c r="N1044" s="2" t="s">
        <v>234</v>
      </c>
      <c r="O1044" s="109">
        <v>1</v>
      </c>
      <c r="P1044" s="109">
        <v>0.6</v>
      </c>
      <c r="Q1044" s="109">
        <v>12.2</v>
      </c>
    </row>
    <row r="1045" spans="2:17" x14ac:dyDescent="0.25">
      <c r="B1045" s="114">
        <v>13</v>
      </c>
      <c r="C1045" s="114">
        <v>32</v>
      </c>
      <c r="D1045" s="114">
        <v>73</v>
      </c>
      <c r="E1045" s="154" cm="1">
        <f t="array" ref="E1045">IF(ISBLANK(MainData[[#This Row],[EventID]]),0,IFERROR(INDEX(MainData[],MATCH(MainData[[#This Row],[EventID]],IF(MainData[Product]="Date",MainData[EventID],0),0),12),0))</f>
        <v>44602</v>
      </c>
      <c r="F1045" s="155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5" s="155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5" s="157" t="s">
        <v>85</v>
      </c>
      <c r="J1045" t="s">
        <v>20</v>
      </c>
      <c r="K1045" s="2" t="s">
        <v>29</v>
      </c>
      <c r="L1045" s="2" t="s">
        <v>25</v>
      </c>
      <c r="M1045" s="2" t="s">
        <v>388</v>
      </c>
      <c r="N1045" s="2" t="s">
        <v>234</v>
      </c>
      <c r="O1045" s="109">
        <v>1</v>
      </c>
      <c r="P1045" s="109">
        <v>3.9</v>
      </c>
      <c r="Q1045" s="109">
        <v>39.21</v>
      </c>
    </row>
    <row r="1046" spans="2:17" x14ac:dyDescent="0.25">
      <c r="B1046" s="114">
        <v>13</v>
      </c>
      <c r="C1046" s="114">
        <v>34</v>
      </c>
      <c r="D1046" s="114">
        <v>74</v>
      </c>
      <c r="E1046" s="154" cm="1">
        <f t="array" ref="E1046">IF(ISBLANK(MainData[[#This Row],[EventID]]),0,IFERROR(INDEX(MainData[],MATCH(MainData[[#This Row],[EventID]],IF(MainData[Product]="Date",MainData[EventID],0),0),12),0))</f>
        <v>44602</v>
      </c>
      <c r="F1046" s="155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6" s="155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6" s="157" t="s">
        <v>84</v>
      </c>
      <c r="J1046" t="s">
        <v>187</v>
      </c>
      <c r="K1046" s="2" t="s">
        <v>157</v>
      </c>
      <c r="L1046" s="2" t="s">
        <v>81</v>
      </c>
      <c r="M1046" s="2">
        <v>1</v>
      </c>
      <c r="N1046" s="2"/>
      <c r="O1046" s="109"/>
      <c r="P1046" s="109"/>
      <c r="Q1046" s="109"/>
    </row>
    <row r="1047" spans="2:17" x14ac:dyDescent="0.25">
      <c r="B1047" s="114">
        <v>13</v>
      </c>
      <c r="C1047" s="114">
        <v>34</v>
      </c>
      <c r="D1047" s="114">
        <v>74</v>
      </c>
      <c r="E1047" s="154" cm="1">
        <f t="array" ref="E1047">IF(ISBLANK(MainData[[#This Row],[EventID]]),0,IFERROR(INDEX(MainData[],MATCH(MainData[[#This Row],[EventID]],IF(MainData[Product]="Date",MainData[EventID],0),0),12),0))</f>
        <v>44602</v>
      </c>
      <c r="F1047" s="155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7" s="155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7" s="157" t="s">
        <v>84</v>
      </c>
      <c r="J1047" t="s">
        <v>187</v>
      </c>
      <c r="K1047" s="2" t="s">
        <v>157</v>
      </c>
      <c r="L1047" s="2" t="s">
        <v>0</v>
      </c>
      <c r="M1047" s="158">
        <v>44602</v>
      </c>
      <c r="N1047" s="2"/>
      <c r="O1047" s="109"/>
      <c r="P1047" s="109"/>
      <c r="Q1047" s="109"/>
    </row>
    <row r="1048" spans="2:17" x14ac:dyDescent="0.25">
      <c r="B1048" s="114">
        <v>13</v>
      </c>
      <c r="C1048" s="114">
        <v>34</v>
      </c>
      <c r="D1048" s="114">
        <v>74</v>
      </c>
      <c r="E1048" s="154" cm="1">
        <f t="array" ref="E1048">IF(ISBLANK(MainData[[#This Row],[EventID]]),0,IFERROR(INDEX(MainData[],MATCH(MainData[[#This Row],[EventID]],IF(MainData[Product]="Date",MainData[EventID],0),0),12),0))</f>
        <v>44602</v>
      </c>
      <c r="F1048" s="155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8" s="155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8" s="157" t="s">
        <v>84</v>
      </c>
      <c r="J1048" t="s">
        <v>187</v>
      </c>
      <c r="K1048" s="2" t="s">
        <v>157</v>
      </c>
      <c r="L1048" s="2" t="s">
        <v>82</v>
      </c>
      <c r="M1048" s="2">
        <v>786465</v>
      </c>
      <c r="N1048" s="2"/>
      <c r="O1048" s="109"/>
      <c r="P1048" s="109"/>
      <c r="Q1048" s="109"/>
    </row>
    <row r="1049" spans="2:17" x14ac:dyDescent="0.25">
      <c r="B1049" s="114">
        <v>13</v>
      </c>
      <c r="C1049" s="114">
        <v>34</v>
      </c>
      <c r="D1049" s="114">
        <v>74</v>
      </c>
      <c r="E1049" s="154" cm="1">
        <f t="array" ref="E1049">IF(ISBLANK(MainData[[#This Row],[EventID]]),0,IFERROR(INDEX(MainData[],MATCH(MainData[[#This Row],[EventID]],IF(MainData[Product]="Date",MainData[EventID],0),0),12),0))</f>
        <v>44602</v>
      </c>
      <c r="F1049" s="155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9" s="155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9" s="157" t="s">
        <v>84</v>
      </c>
      <c r="J1049" t="s">
        <v>187</v>
      </c>
      <c r="K1049" s="2" t="s">
        <v>157</v>
      </c>
      <c r="L1049" s="2" t="s">
        <v>175</v>
      </c>
      <c r="M1049" s="2" t="s">
        <v>455</v>
      </c>
      <c r="N1049" s="2"/>
      <c r="O1049" s="109"/>
      <c r="P1049" s="109"/>
      <c r="Q1049" s="109"/>
    </row>
    <row r="1050" spans="2:17" x14ac:dyDescent="0.25">
      <c r="B1050" s="114">
        <v>13</v>
      </c>
      <c r="C1050" s="114">
        <v>34</v>
      </c>
      <c r="D1050" s="114">
        <v>74</v>
      </c>
      <c r="E1050" s="154" cm="1">
        <f t="array" ref="E1050">IF(ISBLANK(MainData[[#This Row],[EventID]]),0,IFERROR(INDEX(MainData[],MATCH(MainData[[#This Row],[EventID]],IF(MainData[Product]="Date",MainData[EventID],0),0),12),0))</f>
        <v>44602</v>
      </c>
      <c r="F1050" s="155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0" s="155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0" s="157" t="s">
        <v>84</v>
      </c>
      <c r="J1050" t="s">
        <v>187</v>
      </c>
      <c r="K1050" s="2" t="s">
        <v>157</v>
      </c>
      <c r="L1050" s="2" t="s">
        <v>138</v>
      </c>
      <c r="M1050" s="2">
        <v>840</v>
      </c>
      <c r="N1050" s="2"/>
      <c r="O1050" s="109"/>
      <c r="P1050" s="109"/>
      <c r="Q1050" s="109"/>
    </row>
    <row r="1051" spans="2:17" x14ac:dyDescent="0.25">
      <c r="B1051" s="114">
        <v>13</v>
      </c>
      <c r="C1051" s="114">
        <v>34</v>
      </c>
      <c r="D1051" s="114">
        <v>74</v>
      </c>
      <c r="E1051" s="154" cm="1">
        <f t="array" ref="E1051">IF(ISBLANK(MainData[[#This Row],[EventID]]),0,IFERROR(INDEX(MainData[],MATCH(MainData[[#This Row],[EventID]],IF(MainData[Product]="Date",MainData[EventID],0),0),12),0))</f>
        <v>44602</v>
      </c>
      <c r="F1051" s="155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1" s="155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1" s="157" t="s">
        <v>84</v>
      </c>
      <c r="J1051" t="s">
        <v>187</v>
      </c>
      <c r="K1051" s="2" t="s">
        <v>157</v>
      </c>
      <c r="L1051" s="2" t="s">
        <v>86</v>
      </c>
      <c r="M1051" s="2">
        <v>3</v>
      </c>
      <c r="N1051" s="2"/>
      <c r="O1051" s="109"/>
      <c r="P1051" s="109"/>
      <c r="Q1051" s="109"/>
    </row>
    <row r="1052" spans="2:17" x14ac:dyDescent="0.25">
      <c r="B1052" s="114">
        <v>13</v>
      </c>
      <c r="C1052" s="114">
        <v>34</v>
      </c>
      <c r="D1052" s="114">
        <v>74</v>
      </c>
      <c r="E1052" s="154" cm="1">
        <f t="array" ref="E1052">IF(ISBLANK(MainData[[#This Row],[EventID]]),0,IFERROR(INDEX(MainData[],MATCH(MainData[[#This Row],[EventID]],IF(MainData[Product]="Date",MainData[EventID],0),0),12),0))</f>
        <v>44602</v>
      </c>
      <c r="F1052" s="155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2" s="155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2" s="157" t="s">
        <v>84</v>
      </c>
      <c r="J1052" t="s">
        <v>187</v>
      </c>
      <c r="K1052" s="2" t="s">
        <v>157</v>
      </c>
      <c r="L1052" s="2" t="s">
        <v>118</v>
      </c>
      <c r="M1052" s="2" t="s">
        <v>463</v>
      </c>
      <c r="N1052" s="2"/>
      <c r="O1052" s="109"/>
      <c r="P1052" s="109"/>
      <c r="Q1052" s="109"/>
    </row>
    <row r="1053" spans="2:17" x14ac:dyDescent="0.25">
      <c r="B1053" s="114">
        <v>13</v>
      </c>
      <c r="C1053" s="114">
        <v>34</v>
      </c>
      <c r="D1053" s="114">
        <v>74</v>
      </c>
      <c r="E1053" s="154" cm="1">
        <f t="array" ref="E1053">IF(ISBLANK(MainData[[#This Row],[EventID]]),0,IFERROR(INDEX(MainData[],MATCH(MainData[[#This Row],[EventID]],IF(MainData[Product]="Date",MainData[EventID],0),0),12),0))</f>
        <v>44602</v>
      </c>
      <c r="F1053" s="155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3" s="155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3" s="20" t="s">
        <v>85</v>
      </c>
      <c r="J1053" t="s">
        <v>20</v>
      </c>
      <c r="K1053" s="2" t="s">
        <v>116</v>
      </c>
      <c r="L1053" s="2" t="s">
        <v>88</v>
      </c>
      <c r="M1053" s="2" t="s">
        <v>189</v>
      </c>
      <c r="N1053" s="2" t="s">
        <v>233</v>
      </c>
      <c r="O1053" s="109">
        <v>3</v>
      </c>
      <c r="P1053" s="109"/>
      <c r="Q1053" s="109"/>
    </row>
    <row r="1054" spans="2:17" x14ac:dyDescent="0.25">
      <c r="B1054" s="114">
        <v>13</v>
      </c>
      <c r="C1054" s="114">
        <v>34</v>
      </c>
      <c r="D1054" s="114">
        <v>74</v>
      </c>
      <c r="E1054" s="154" cm="1">
        <f t="array" ref="E1054">IF(ISBLANK(MainData[[#This Row],[EventID]]),0,IFERROR(INDEX(MainData[],MATCH(MainData[[#This Row],[EventID]],IF(MainData[Product]="Date",MainData[EventID],0),0),12),0))</f>
        <v>44602</v>
      </c>
      <c r="F1054" s="155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4" s="155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4" s="20" t="s">
        <v>85</v>
      </c>
      <c r="J1054" t="s">
        <v>20</v>
      </c>
      <c r="K1054" s="2" t="s">
        <v>116</v>
      </c>
      <c r="L1054" s="2" t="s">
        <v>87</v>
      </c>
      <c r="M1054" s="2" t="s">
        <v>188</v>
      </c>
      <c r="N1054" s="2" t="s">
        <v>233</v>
      </c>
      <c r="O1054" s="109">
        <v>9</v>
      </c>
      <c r="P1054" s="109"/>
      <c r="Q1054" s="109">
        <v>900</v>
      </c>
    </row>
    <row r="1055" spans="2:17" x14ac:dyDescent="0.25">
      <c r="B1055" s="114">
        <v>13</v>
      </c>
      <c r="C1055" s="114">
        <v>34</v>
      </c>
      <c r="D1055" s="114">
        <v>74</v>
      </c>
      <c r="E1055" s="154" cm="1">
        <f t="array" ref="E1055">IF(ISBLANK(MainData[[#This Row],[EventID]]),0,IFERROR(INDEX(MainData[],MATCH(MainData[[#This Row],[EventID]],IF(MainData[Product]="Date",MainData[EventID],0),0),12),0))</f>
        <v>44602</v>
      </c>
      <c r="F1055" s="155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5" s="155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5" s="157" t="s">
        <v>85</v>
      </c>
      <c r="J1055" t="s">
        <v>20</v>
      </c>
      <c r="K1055" s="2" t="s">
        <v>29</v>
      </c>
      <c r="L1055" s="2" t="s">
        <v>35</v>
      </c>
      <c r="M1055" s="2" t="s">
        <v>382</v>
      </c>
      <c r="N1055" s="2" t="s">
        <v>234</v>
      </c>
      <c r="O1055" s="109">
        <v>9</v>
      </c>
      <c r="P1055" s="109">
        <v>1240</v>
      </c>
      <c r="Q1055" s="109">
        <v>12432.12</v>
      </c>
    </row>
    <row r="1056" spans="2:17" x14ac:dyDescent="0.25">
      <c r="B1056" s="114">
        <v>13</v>
      </c>
      <c r="C1056" s="114">
        <v>34</v>
      </c>
      <c r="D1056" s="114">
        <v>74</v>
      </c>
      <c r="E1056" s="154" cm="1">
        <f t="array" ref="E1056">IF(ISBLANK(MainData[[#This Row],[EventID]]),0,IFERROR(INDEX(MainData[],MATCH(MainData[[#This Row],[EventID]],IF(MainData[Product]="Date",MainData[EventID],0),0),12),0))</f>
        <v>44602</v>
      </c>
      <c r="F1056" s="155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6" s="155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6" s="20" t="s">
        <v>85</v>
      </c>
      <c r="J1056" t="s">
        <v>20</v>
      </c>
      <c r="K1056" s="2" t="s">
        <v>29</v>
      </c>
      <c r="L1056" s="2" t="s">
        <v>36</v>
      </c>
      <c r="M1056" s="2" t="s">
        <v>387</v>
      </c>
      <c r="N1056" s="2" t="s">
        <v>234</v>
      </c>
      <c r="O1056" s="109">
        <v>9</v>
      </c>
      <c r="P1056" s="109">
        <v>1321</v>
      </c>
      <c r="Q1056" s="109">
        <v>16745.82</v>
      </c>
    </row>
    <row r="1057" spans="2:17" x14ac:dyDescent="0.25">
      <c r="B1057" s="114">
        <v>13</v>
      </c>
      <c r="C1057" s="114">
        <v>34</v>
      </c>
      <c r="D1057" s="114">
        <v>74</v>
      </c>
      <c r="E1057" s="154" cm="1">
        <f t="array" ref="E1057">IF(ISBLANK(MainData[[#This Row],[EventID]]),0,IFERROR(INDEX(MainData[],MATCH(MainData[[#This Row],[EventID]],IF(MainData[Product]="Date",MainData[EventID],0),0),12),0))</f>
        <v>44602</v>
      </c>
      <c r="F1057" s="155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7" s="155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7" s="157" t="s">
        <v>85</v>
      </c>
      <c r="J1057" t="s">
        <v>20</v>
      </c>
      <c r="K1057" s="2" t="s">
        <v>29</v>
      </c>
      <c r="L1057" s="2" t="s">
        <v>65</v>
      </c>
      <c r="M1057" s="2" t="s">
        <v>383</v>
      </c>
      <c r="N1057" s="2" t="s">
        <v>234</v>
      </c>
      <c r="O1057" s="109">
        <v>9</v>
      </c>
      <c r="P1057" s="109">
        <v>45</v>
      </c>
      <c r="Q1057" s="109">
        <v>899.56</v>
      </c>
    </row>
    <row r="1058" spans="2:17" x14ac:dyDescent="0.25">
      <c r="B1058" s="114">
        <v>13</v>
      </c>
      <c r="C1058" s="114">
        <v>34</v>
      </c>
      <c r="D1058" s="114">
        <v>74</v>
      </c>
      <c r="E1058" s="154" cm="1">
        <f t="array" ref="E1058">IF(ISBLANK(MainData[[#This Row],[EventID]]),0,IFERROR(INDEX(MainData[],MATCH(MainData[[#This Row],[EventID]],IF(MainData[Product]="Date",MainData[EventID],0),0),12),0))</f>
        <v>44602</v>
      </c>
      <c r="F1058" s="155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8" s="155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8" s="157" t="s">
        <v>85</v>
      </c>
      <c r="J1058" t="s">
        <v>20</v>
      </c>
      <c r="K1058" s="2" t="s">
        <v>29</v>
      </c>
      <c r="L1058" s="2" t="s">
        <v>25</v>
      </c>
      <c r="M1058" s="2" t="s">
        <v>388</v>
      </c>
      <c r="N1058" s="2" t="s">
        <v>234</v>
      </c>
      <c r="O1058" s="109">
        <v>9</v>
      </c>
      <c r="P1058" s="109">
        <v>786</v>
      </c>
      <c r="Q1058" s="109">
        <v>7856.3</v>
      </c>
    </row>
    <row r="1059" spans="2:17" x14ac:dyDescent="0.25">
      <c r="B1059" s="114">
        <v>30</v>
      </c>
      <c r="C1059" s="114">
        <v>85</v>
      </c>
      <c r="D1059" s="114">
        <v>80</v>
      </c>
      <c r="E1059" s="154" cm="1">
        <f t="array" ref="E1059">IF(ISBLANK(MainData[[#This Row],[EventID]]),0,IFERROR(INDEX(MainData[],MATCH(MainData[[#This Row],[EventID]],IF(MainData[Product]="Date",MainData[EventID],0),0),12),0))</f>
        <v>44603</v>
      </c>
      <c r="F1059" s="155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9" s="155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9" s="157" t="s">
        <v>84</v>
      </c>
      <c r="J1059" t="s">
        <v>187</v>
      </c>
      <c r="K1059" s="2" t="s">
        <v>157</v>
      </c>
      <c r="L1059" s="2" t="s">
        <v>81</v>
      </c>
      <c r="M1059" s="2">
        <v>1</v>
      </c>
      <c r="N1059" s="2"/>
      <c r="O1059" s="109"/>
      <c r="P1059" s="109"/>
      <c r="Q1059" s="109"/>
    </row>
    <row r="1060" spans="2:17" x14ac:dyDescent="0.25">
      <c r="B1060" s="114">
        <v>30</v>
      </c>
      <c r="C1060" s="114">
        <v>85</v>
      </c>
      <c r="D1060" s="114">
        <v>81</v>
      </c>
      <c r="E1060" s="154" cm="1">
        <f t="array" ref="E1060">IF(ISBLANK(MainData[[#This Row],[EventID]]),0,IFERROR(INDEX(MainData[],MATCH(MainData[[#This Row],[EventID]],IF(MainData[Product]="Date",MainData[EventID],0),0),12),0))</f>
        <v>44603</v>
      </c>
      <c r="F1060" s="155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0" s="155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0" s="157" t="s">
        <v>84</v>
      </c>
      <c r="J1060" t="s">
        <v>187</v>
      </c>
      <c r="K1060" s="2" t="s">
        <v>157</v>
      </c>
      <c r="L1060" s="2" t="s">
        <v>81</v>
      </c>
      <c r="M1060" s="2">
        <v>2</v>
      </c>
      <c r="N1060" s="2"/>
      <c r="O1060" s="109"/>
      <c r="P1060" s="109"/>
      <c r="Q1060" s="109"/>
    </row>
    <row r="1061" spans="2:17" x14ac:dyDescent="0.25">
      <c r="B1061" s="114">
        <v>30</v>
      </c>
      <c r="C1061" s="114">
        <v>85</v>
      </c>
      <c r="D1061" s="114">
        <v>80</v>
      </c>
      <c r="E1061" s="154" cm="1">
        <f t="array" ref="E1061">IF(ISBLANK(MainData[[#This Row],[EventID]]),0,IFERROR(INDEX(MainData[],MATCH(MainData[[#This Row],[EventID]],IF(MainData[Product]="Date",MainData[EventID],0),0),12),0))</f>
        <v>44603</v>
      </c>
      <c r="F1061" s="155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1" s="155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1" s="157" t="s">
        <v>84</v>
      </c>
      <c r="J1061" t="s">
        <v>187</v>
      </c>
      <c r="K1061" s="2" t="s">
        <v>157</v>
      </c>
      <c r="L1061" s="2" t="s">
        <v>164</v>
      </c>
      <c r="M1061" s="2" t="s">
        <v>450</v>
      </c>
      <c r="N1061" s="2"/>
      <c r="O1061" s="109"/>
      <c r="P1061" s="109"/>
      <c r="Q1061" s="109"/>
    </row>
    <row r="1062" spans="2:17" x14ac:dyDescent="0.25">
      <c r="B1062" s="114">
        <v>30</v>
      </c>
      <c r="C1062" s="114">
        <v>85</v>
      </c>
      <c r="D1062" s="114">
        <v>80</v>
      </c>
      <c r="E1062" s="154" cm="1">
        <f t="array" ref="E1062">IF(ISBLANK(MainData[[#This Row],[EventID]]),0,IFERROR(INDEX(MainData[],MATCH(MainData[[#This Row],[EventID]],IF(MainData[Product]="Date",MainData[EventID],0),0),12),0))</f>
        <v>44603</v>
      </c>
      <c r="F1062" s="155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2" s="155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2" s="157" t="s">
        <v>84</v>
      </c>
      <c r="J1062" t="s">
        <v>187</v>
      </c>
      <c r="K1062" s="2" t="s">
        <v>157</v>
      </c>
      <c r="L1062" s="2" t="s">
        <v>0</v>
      </c>
      <c r="M1062" s="158">
        <v>44603</v>
      </c>
      <c r="N1062" s="2"/>
      <c r="O1062" s="109"/>
      <c r="P1062" s="109"/>
      <c r="Q1062" s="109"/>
    </row>
    <row r="1063" spans="2:17" x14ac:dyDescent="0.25">
      <c r="B1063" s="114">
        <v>30</v>
      </c>
      <c r="C1063" s="114">
        <v>85</v>
      </c>
      <c r="D1063" s="114">
        <v>80</v>
      </c>
      <c r="E1063" s="154" cm="1">
        <f t="array" ref="E1063">IF(ISBLANK(MainData[[#This Row],[EventID]]),0,IFERROR(INDEX(MainData[],MATCH(MainData[[#This Row],[EventID]],IF(MainData[Product]="Date",MainData[EventID],0),0),12),0))</f>
        <v>44603</v>
      </c>
      <c r="F1063" s="155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3" s="155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3" s="157" t="s">
        <v>84</v>
      </c>
      <c r="J1063" t="s">
        <v>187</v>
      </c>
      <c r="K1063" s="2" t="s">
        <v>157</v>
      </c>
      <c r="L1063" s="2" t="s">
        <v>82</v>
      </c>
      <c r="M1063" s="2">
        <v>508855</v>
      </c>
      <c r="N1063" s="2"/>
      <c r="O1063" s="109"/>
      <c r="P1063" s="109"/>
      <c r="Q1063" s="109"/>
    </row>
    <row r="1064" spans="2:17" x14ac:dyDescent="0.25">
      <c r="B1064" s="114">
        <v>30</v>
      </c>
      <c r="C1064" s="114">
        <v>85</v>
      </c>
      <c r="D1064" s="114">
        <v>80</v>
      </c>
      <c r="E1064" s="154" cm="1">
        <f t="array" ref="E1064">IF(ISBLANK(MainData[[#This Row],[EventID]]),0,IFERROR(INDEX(MainData[],MATCH(MainData[[#This Row],[EventID]],IF(MainData[Product]="Date",MainData[EventID],0),0),12),0))</f>
        <v>44603</v>
      </c>
      <c r="F1064" s="155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4" s="155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4" s="157" t="s">
        <v>84</v>
      </c>
      <c r="J1064" t="s">
        <v>187</v>
      </c>
      <c r="K1064" s="2" t="s">
        <v>157</v>
      </c>
      <c r="L1064" s="2" t="s">
        <v>175</v>
      </c>
      <c r="M1064" s="2" t="s">
        <v>455</v>
      </c>
      <c r="N1064" s="2"/>
      <c r="O1064" s="109"/>
      <c r="P1064" s="109"/>
      <c r="Q1064" s="109"/>
    </row>
    <row r="1065" spans="2:17" x14ac:dyDescent="0.25">
      <c r="B1065" s="114">
        <v>30</v>
      </c>
      <c r="C1065" s="114">
        <v>85</v>
      </c>
      <c r="D1065" s="114">
        <v>80</v>
      </c>
      <c r="E1065" s="154" cm="1">
        <f t="array" ref="E1065">IF(ISBLANK(MainData[[#This Row],[EventID]]),0,IFERROR(INDEX(MainData[],MATCH(MainData[[#This Row],[EventID]],IF(MainData[Product]="Date",MainData[EventID],0),0),12),0))</f>
        <v>44603</v>
      </c>
      <c r="F1065" s="155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5" s="155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5" s="157" t="s">
        <v>84</v>
      </c>
      <c r="J1065" t="s">
        <v>187</v>
      </c>
      <c r="K1065" s="2" t="s">
        <v>157</v>
      </c>
      <c r="L1065" s="2" t="s">
        <v>20</v>
      </c>
      <c r="M1065" s="2" t="s">
        <v>356</v>
      </c>
      <c r="N1065" s="2"/>
      <c r="O1065" s="109"/>
      <c r="P1065" s="109"/>
      <c r="Q1065" s="109"/>
    </row>
    <row r="1066" spans="2:17" x14ac:dyDescent="0.25">
      <c r="B1066" s="114">
        <v>30</v>
      </c>
      <c r="C1066" s="114">
        <v>85</v>
      </c>
      <c r="D1066" s="114">
        <v>80</v>
      </c>
      <c r="E1066" s="154" cm="1">
        <f t="array" ref="E1066">IF(ISBLANK(MainData[[#This Row],[EventID]]),0,IFERROR(INDEX(MainData[],MATCH(MainData[[#This Row],[EventID]],IF(MainData[Product]="Date",MainData[EventID],0),0),12),0))</f>
        <v>44603</v>
      </c>
      <c r="F1066" s="155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6" s="155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6" s="157" t="s">
        <v>84</v>
      </c>
      <c r="J1066" t="s">
        <v>187</v>
      </c>
      <c r="K1066" s="2" t="s">
        <v>157</v>
      </c>
      <c r="L1066" s="2" t="s">
        <v>138</v>
      </c>
      <c r="M1066" s="2">
        <v>135</v>
      </c>
      <c r="N1066" s="2"/>
      <c r="O1066" s="109"/>
      <c r="P1066" s="109"/>
      <c r="Q1066" s="109"/>
    </row>
    <row r="1067" spans="2:17" x14ac:dyDescent="0.25">
      <c r="B1067" s="114">
        <v>30</v>
      </c>
      <c r="C1067" s="114">
        <v>85</v>
      </c>
      <c r="D1067" s="114">
        <v>80</v>
      </c>
      <c r="E1067" s="154" cm="1">
        <f t="array" ref="E1067">IF(ISBLANK(MainData[[#This Row],[EventID]]),0,IFERROR(INDEX(MainData[],MATCH(MainData[[#This Row],[EventID]],IF(MainData[Product]="Date",MainData[EventID],0),0),12),0))</f>
        <v>44603</v>
      </c>
      <c r="F1067" s="155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7" s="155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7" s="157" t="s">
        <v>84</v>
      </c>
      <c r="J1067" t="s">
        <v>187</v>
      </c>
      <c r="K1067" s="2" t="s">
        <v>157</v>
      </c>
      <c r="L1067" s="2" t="s">
        <v>86</v>
      </c>
      <c r="M1067" s="2">
        <v>2.5</v>
      </c>
      <c r="N1067" s="2"/>
      <c r="O1067" s="109"/>
      <c r="P1067" s="109"/>
      <c r="Q1067" s="109"/>
    </row>
    <row r="1068" spans="2:17" x14ac:dyDescent="0.25">
      <c r="B1068" s="114">
        <v>30</v>
      </c>
      <c r="C1068" s="114">
        <v>85</v>
      </c>
      <c r="D1068" s="114">
        <v>80</v>
      </c>
      <c r="E1068" s="154" cm="1">
        <f t="array" ref="E1068">IF(ISBLANK(MainData[[#This Row],[EventID]]),0,IFERROR(INDEX(MainData[],MATCH(MainData[[#This Row],[EventID]],IF(MainData[Product]="Date",MainData[EventID],0),0),12),0))</f>
        <v>44603</v>
      </c>
      <c r="F1068" s="155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8" s="155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8" s="157" t="s">
        <v>84</v>
      </c>
      <c r="J1068" t="s">
        <v>187</v>
      </c>
      <c r="K1068" s="2" t="s">
        <v>157</v>
      </c>
      <c r="L1068" s="2" t="s">
        <v>118</v>
      </c>
      <c r="M1068" s="2" t="s">
        <v>458</v>
      </c>
      <c r="N1068" s="2"/>
      <c r="O1068" s="109"/>
      <c r="P1068" s="109"/>
      <c r="Q1068" s="109"/>
    </row>
    <row r="1069" spans="2:17" x14ac:dyDescent="0.25">
      <c r="B1069" s="114">
        <v>30</v>
      </c>
      <c r="C1069" s="114">
        <v>85</v>
      </c>
      <c r="D1069" s="114">
        <v>80</v>
      </c>
      <c r="E1069" s="154" cm="1">
        <f t="array" ref="E1069">IF(ISBLANK(MainData[[#This Row],[EventID]]),0,IFERROR(INDEX(MainData[],MATCH(MainData[[#This Row],[EventID]],IF(MainData[Product]="Date",MainData[EventID],0),0),12),0))</f>
        <v>44603</v>
      </c>
      <c r="F1069" s="155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9" s="155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9" s="157" t="s">
        <v>84</v>
      </c>
      <c r="J1069" t="s">
        <v>187</v>
      </c>
      <c r="K1069" s="2" t="s">
        <v>157</v>
      </c>
      <c r="L1069" s="2" t="s">
        <v>165</v>
      </c>
      <c r="M1069" s="2" t="s">
        <v>410</v>
      </c>
      <c r="N1069" s="2"/>
      <c r="O1069" s="109"/>
      <c r="P1069" s="109"/>
      <c r="Q1069" s="109"/>
    </row>
    <row r="1070" spans="2:17" x14ac:dyDescent="0.25">
      <c r="B1070" s="114">
        <v>30</v>
      </c>
      <c r="C1070" s="114">
        <v>85</v>
      </c>
      <c r="D1070" s="114">
        <v>81</v>
      </c>
      <c r="E1070" s="154" cm="1">
        <f t="array" ref="E1070">IF(ISBLANK(MainData[[#This Row],[EventID]]),0,IFERROR(INDEX(MainData[],MATCH(MainData[[#This Row],[EventID]],IF(MainData[Product]="Date",MainData[EventID],0),0),12),0))</f>
        <v>44603</v>
      </c>
      <c r="F1070" s="155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0" s="155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0" s="20" t="s">
        <v>85</v>
      </c>
      <c r="J1070" t="s">
        <v>22</v>
      </c>
      <c r="K1070" s="2" t="s">
        <v>29</v>
      </c>
      <c r="L1070" s="2" t="s">
        <v>36</v>
      </c>
      <c r="M1070" s="2" t="s">
        <v>387</v>
      </c>
      <c r="N1070" s="2" t="s">
        <v>234</v>
      </c>
      <c r="O1070" s="109">
        <v>2</v>
      </c>
      <c r="P1070" s="109">
        <v>1</v>
      </c>
      <c r="Q1070" s="109">
        <v>9.5500000000000007</v>
      </c>
    </row>
    <row r="1071" spans="2:17" x14ac:dyDescent="0.25">
      <c r="B1071" s="114">
        <v>30</v>
      </c>
      <c r="C1071" s="114">
        <v>85</v>
      </c>
      <c r="D1071" s="114">
        <v>80</v>
      </c>
      <c r="E1071" s="154" cm="1">
        <f t="array" ref="E1071">IF(ISBLANK(MainData[[#This Row],[EventID]]),0,IFERROR(INDEX(MainData[],MATCH(MainData[[#This Row],[EventID]],IF(MainData[Product]="Date",MainData[EventID],0),0),12),0))</f>
        <v>44603</v>
      </c>
      <c r="F1071" s="155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1" s="155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1" s="20" t="s">
        <v>85</v>
      </c>
      <c r="J1071" t="s">
        <v>20</v>
      </c>
      <c r="K1071" s="2" t="s">
        <v>116</v>
      </c>
      <c r="L1071" s="2" t="s">
        <v>88</v>
      </c>
      <c r="M1071" s="2" t="s">
        <v>189</v>
      </c>
      <c r="N1071" s="2" t="s">
        <v>233</v>
      </c>
      <c r="O1071" s="109">
        <v>1</v>
      </c>
      <c r="P1071" s="109"/>
      <c r="Q1071" s="109"/>
    </row>
    <row r="1072" spans="2:17" x14ac:dyDescent="0.25">
      <c r="B1072" s="114">
        <v>30</v>
      </c>
      <c r="C1072" s="114">
        <v>85</v>
      </c>
      <c r="D1072" s="114">
        <v>80</v>
      </c>
      <c r="E1072" s="154" cm="1">
        <f t="array" ref="E1072">IF(ISBLANK(MainData[[#This Row],[EventID]]),0,IFERROR(INDEX(MainData[],MATCH(MainData[[#This Row],[EventID]],IF(MainData[Product]="Date",MainData[EventID],0),0),12),0))</f>
        <v>44603</v>
      </c>
      <c r="F1072" s="155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2" s="155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2" s="20" t="s">
        <v>85</v>
      </c>
      <c r="J1072" t="s">
        <v>20</v>
      </c>
      <c r="K1072" s="2" t="s">
        <v>116</v>
      </c>
      <c r="L1072" s="2" t="s">
        <v>87</v>
      </c>
      <c r="M1072" s="2" t="s">
        <v>188</v>
      </c>
      <c r="N1072" s="2" t="s">
        <v>233</v>
      </c>
      <c r="O1072" s="109">
        <v>2</v>
      </c>
      <c r="P1072" s="109"/>
      <c r="Q1072" s="109">
        <v>200</v>
      </c>
    </row>
    <row r="1073" spans="2:17" x14ac:dyDescent="0.25">
      <c r="B1073" s="114">
        <v>30</v>
      </c>
      <c r="C1073" s="114">
        <v>85</v>
      </c>
      <c r="D1073" s="114">
        <v>80</v>
      </c>
      <c r="E1073" s="154" cm="1">
        <f t="array" ref="E1073">IF(ISBLANK(MainData[[#This Row],[EventID]]),0,IFERROR(INDEX(MainData[],MATCH(MainData[[#This Row],[EventID]],IF(MainData[Product]="Date",MainData[EventID],0),0),12),0))</f>
        <v>44603</v>
      </c>
      <c r="F1073" s="155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3" s="155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3" s="157" t="s">
        <v>85</v>
      </c>
      <c r="J1073" t="s">
        <v>20</v>
      </c>
      <c r="K1073" s="2" t="s">
        <v>29</v>
      </c>
      <c r="L1073" s="2" t="s">
        <v>35</v>
      </c>
      <c r="M1073" s="2" t="s">
        <v>382</v>
      </c>
      <c r="N1073" s="2" t="s">
        <v>234</v>
      </c>
      <c r="O1073" s="109">
        <v>2</v>
      </c>
      <c r="P1073" s="109">
        <v>83</v>
      </c>
      <c r="Q1073" s="109">
        <v>830</v>
      </c>
    </row>
    <row r="1074" spans="2:17" x14ac:dyDescent="0.25">
      <c r="B1074" s="114">
        <v>30</v>
      </c>
      <c r="C1074" s="114">
        <v>85</v>
      </c>
      <c r="D1074" s="114">
        <v>80</v>
      </c>
      <c r="E1074" s="154" cm="1">
        <f t="array" ref="E1074">IF(ISBLANK(MainData[[#This Row],[EventID]]),0,IFERROR(INDEX(MainData[],MATCH(MainData[[#This Row],[EventID]],IF(MainData[Product]="Date",MainData[EventID],0),0),12),0))</f>
        <v>44603</v>
      </c>
      <c r="F1074" s="155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4" s="155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4" s="157" t="s">
        <v>85</v>
      </c>
      <c r="J1074" t="s">
        <v>20</v>
      </c>
      <c r="K1074" s="2" t="s">
        <v>29</v>
      </c>
      <c r="L1074" s="2" t="s">
        <v>65</v>
      </c>
      <c r="M1074" s="2" t="s">
        <v>383</v>
      </c>
      <c r="N1074" s="2" t="s">
        <v>234</v>
      </c>
      <c r="O1074" s="109">
        <v>2</v>
      </c>
      <c r="P1074" s="109">
        <v>3</v>
      </c>
      <c r="Q1074" s="109">
        <v>55</v>
      </c>
    </row>
    <row r="1075" spans="2:17" x14ac:dyDescent="0.25">
      <c r="B1075" s="114">
        <v>30</v>
      </c>
      <c r="C1075" s="114">
        <v>85</v>
      </c>
      <c r="D1075" s="114">
        <v>80</v>
      </c>
      <c r="E1075" s="154" cm="1">
        <f t="array" ref="E1075">IF(ISBLANK(MainData[[#This Row],[EventID]]),0,IFERROR(INDEX(MainData[],MATCH(MainData[[#This Row],[EventID]],IF(MainData[Product]="Date",MainData[EventID],0),0),12),0))</f>
        <v>44603</v>
      </c>
      <c r="F1075" s="155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5" s="155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5" s="20" t="s">
        <v>85</v>
      </c>
      <c r="J1075" t="s">
        <v>20</v>
      </c>
      <c r="K1075" s="2" t="s">
        <v>29</v>
      </c>
      <c r="L1075" s="2" t="s">
        <v>25</v>
      </c>
      <c r="M1075" s="2" t="s">
        <v>388</v>
      </c>
      <c r="N1075" s="2" t="s">
        <v>234</v>
      </c>
      <c r="O1075" s="109">
        <v>2</v>
      </c>
      <c r="P1075" s="109">
        <v>47.54</v>
      </c>
      <c r="Q1075" s="109">
        <v>436</v>
      </c>
    </row>
    <row r="1076" spans="2:17" x14ac:dyDescent="0.25">
      <c r="B1076" s="114">
        <v>16</v>
      </c>
      <c r="C1076" s="114">
        <v>43</v>
      </c>
      <c r="D1076" s="114">
        <v>78</v>
      </c>
      <c r="E1076" s="154" cm="1">
        <f t="array" ref="E1076">IF(ISBLANK(MainData[[#This Row],[EventID]]),0,IFERROR(INDEX(MainData[],MATCH(MainData[[#This Row],[EventID]],IF(MainData[Product]="Date",MainData[EventID],0),0),12),0))</f>
        <v>44603</v>
      </c>
      <c r="F1076" s="155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6" s="155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6" s="157" t="s">
        <v>84</v>
      </c>
      <c r="J1076" t="s">
        <v>187</v>
      </c>
      <c r="K1076" s="2" t="s">
        <v>157</v>
      </c>
      <c r="L1076" s="2" t="s">
        <v>81</v>
      </c>
      <c r="M1076" s="2">
        <v>1</v>
      </c>
      <c r="N1076" s="2"/>
      <c r="O1076" s="109"/>
      <c r="P1076" s="109"/>
      <c r="Q1076" s="109"/>
    </row>
    <row r="1077" spans="2:17" x14ac:dyDescent="0.25">
      <c r="B1077" s="114">
        <v>16</v>
      </c>
      <c r="C1077" s="114">
        <v>43</v>
      </c>
      <c r="D1077" s="114">
        <v>78</v>
      </c>
      <c r="E1077" s="154" cm="1">
        <f t="array" ref="E1077">IF(ISBLANK(MainData[[#This Row],[EventID]]),0,IFERROR(INDEX(MainData[],MATCH(MainData[[#This Row],[EventID]],IF(MainData[Product]="Date",MainData[EventID],0),0),12),0))</f>
        <v>44603</v>
      </c>
      <c r="F1077" s="155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7" s="155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7" s="157" t="s">
        <v>84</v>
      </c>
      <c r="J1077" t="s">
        <v>187</v>
      </c>
      <c r="K1077" s="2" t="s">
        <v>157</v>
      </c>
      <c r="L1077" s="2" t="s">
        <v>164</v>
      </c>
      <c r="M1077" s="2" t="s">
        <v>448</v>
      </c>
      <c r="N1077" s="2"/>
      <c r="O1077" s="109"/>
      <c r="P1077" s="109"/>
      <c r="Q1077" s="109"/>
    </row>
    <row r="1078" spans="2:17" x14ac:dyDescent="0.25">
      <c r="B1078" s="114">
        <v>16</v>
      </c>
      <c r="C1078" s="114">
        <v>43</v>
      </c>
      <c r="D1078" s="114">
        <v>78</v>
      </c>
      <c r="E1078" s="154" cm="1">
        <f t="array" ref="E1078">IF(ISBLANK(MainData[[#This Row],[EventID]]),0,IFERROR(INDEX(MainData[],MATCH(MainData[[#This Row],[EventID]],IF(MainData[Product]="Date",MainData[EventID],0),0),12),0))</f>
        <v>44603</v>
      </c>
      <c r="F1078" s="155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8" s="155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8" s="157" t="s">
        <v>84</v>
      </c>
      <c r="J1078" t="s">
        <v>187</v>
      </c>
      <c r="K1078" s="2" t="s">
        <v>157</v>
      </c>
      <c r="L1078" s="2" t="s">
        <v>0</v>
      </c>
      <c r="M1078" s="158">
        <v>44603</v>
      </c>
      <c r="N1078" s="2"/>
      <c r="O1078" s="109"/>
      <c r="P1078" s="109"/>
      <c r="Q1078" s="109"/>
    </row>
    <row r="1079" spans="2:17" x14ac:dyDescent="0.25">
      <c r="B1079" s="114">
        <v>16</v>
      </c>
      <c r="C1079" s="114">
        <v>43</v>
      </c>
      <c r="D1079" s="114">
        <v>78</v>
      </c>
      <c r="E1079" s="154" cm="1">
        <f t="array" ref="E1079">IF(ISBLANK(MainData[[#This Row],[EventID]]),0,IFERROR(INDEX(MainData[],MATCH(MainData[[#This Row],[EventID]],IF(MainData[Product]="Date",MainData[EventID],0),0),12),0))</f>
        <v>44603</v>
      </c>
      <c r="F1079" s="155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9" s="155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9" s="157" t="s">
        <v>84</v>
      </c>
      <c r="J1079" t="s">
        <v>187</v>
      </c>
      <c r="K1079" s="2" t="s">
        <v>157</v>
      </c>
      <c r="L1079" s="2" t="s">
        <v>82</v>
      </c>
      <c r="M1079" s="2">
        <v>587482</v>
      </c>
      <c r="N1079" s="2"/>
      <c r="O1079" s="109"/>
      <c r="P1079" s="109"/>
      <c r="Q1079" s="109"/>
    </row>
    <row r="1080" spans="2:17" x14ac:dyDescent="0.25">
      <c r="B1080" s="114">
        <v>16</v>
      </c>
      <c r="C1080" s="114">
        <v>43</v>
      </c>
      <c r="D1080" s="114">
        <v>78</v>
      </c>
      <c r="E1080" s="154" cm="1">
        <f t="array" ref="E1080">IF(ISBLANK(MainData[[#This Row],[EventID]]),0,IFERROR(INDEX(MainData[],MATCH(MainData[[#This Row],[EventID]],IF(MainData[Product]="Date",MainData[EventID],0),0),12),0))</f>
        <v>44603</v>
      </c>
      <c r="F1080" s="155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0" s="155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0" s="157" t="s">
        <v>84</v>
      </c>
      <c r="J1080" t="s">
        <v>187</v>
      </c>
      <c r="K1080" s="2" t="s">
        <v>157</v>
      </c>
      <c r="L1080" s="2" t="s">
        <v>175</v>
      </c>
      <c r="M1080" s="2" t="s">
        <v>455</v>
      </c>
      <c r="N1080" s="2"/>
      <c r="O1080" s="109"/>
      <c r="P1080" s="109"/>
      <c r="Q1080" s="109"/>
    </row>
    <row r="1081" spans="2:17" x14ac:dyDescent="0.25">
      <c r="B1081" s="114">
        <v>16</v>
      </c>
      <c r="C1081" s="114">
        <v>43</v>
      </c>
      <c r="D1081" s="114">
        <v>78</v>
      </c>
      <c r="E1081" s="154" cm="1">
        <f t="array" ref="E1081">IF(ISBLANK(MainData[[#This Row],[EventID]]),0,IFERROR(INDEX(MainData[],MATCH(MainData[[#This Row],[EventID]],IF(MainData[Product]="Date",MainData[EventID],0),0),12),0))</f>
        <v>44603</v>
      </c>
      <c r="F1081" s="155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1" s="155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1" s="157" t="s">
        <v>84</v>
      </c>
      <c r="J1081" t="s">
        <v>187</v>
      </c>
      <c r="K1081" s="2" t="s">
        <v>157</v>
      </c>
      <c r="L1081" s="2" t="s">
        <v>20</v>
      </c>
      <c r="M1081" s="2" t="s">
        <v>359</v>
      </c>
      <c r="N1081" s="2"/>
      <c r="O1081" s="109"/>
      <c r="P1081" s="109"/>
      <c r="Q1081" s="109"/>
    </row>
    <row r="1082" spans="2:17" x14ac:dyDescent="0.25">
      <c r="B1082" s="114">
        <v>16</v>
      </c>
      <c r="C1082" s="114">
        <v>43</v>
      </c>
      <c r="D1082" s="114">
        <v>78</v>
      </c>
      <c r="E1082" s="154" cm="1">
        <f t="array" ref="E1082">IF(ISBLANK(MainData[[#This Row],[EventID]]),0,IFERROR(INDEX(MainData[],MATCH(MainData[[#This Row],[EventID]],IF(MainData[Product]="Date",MainData[EventID],0),0),12),0))</f>
        <v>44603</v>
      </c>
      <c r="F1082" s="155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2" s="155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2" s="157" t="s">
        <v>84</v>
      </c>
      <c r="J1082" t="s">
        <v>187</v>
      </c>
      <c r="K1082" s="2" t="s">
        <v>157</v>
      </c>
      <c r="L1082" s="2" t="s">
        <v>138</v>
      </c>
      <c r="M1082" s="2">
        <v>40</v>
      </c>
      <c r="N1082" s="2"/>
      <c r="O1082" s="109"/>
      <c r="P1082" s="109"/>
      <c r="Q1082" s="109"/>
    </row>
    <row r="1083" spans="2:17" x14ac:dyDescent="0.25">
      <c r="B1083" s="114">
        <v>16</v>
      </c>
      <c r="C1083" s="114">
        <v>43</v>
      </c>
      <c r="D1083" s="114">
        <v>78</v>
      </c>
      <c r="E1083" s="154" cm="1">
        <f t="array" ref="E1083">IF(ISBLANK(MainData[[#This Row],[EventID]]),0,IFERROR(INDEX(MainData[],MATCH(MainData[[#This Row],[EventID]],IF(MainData[Product]="Date",MainData[EventID],0),0),12),0))</f>
        <v>44603</v>
      </c>
      <c r="F1083" s="155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3" s="155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3" s="157" t="s">
        <v>84</v>
      </c>
      <c r="J1083" t="s">
        <v>187</v>
      </c>
      <c r="K1083" s="2" t="s">
        <v>157</v>
      </c>
      <c r="L1083" s="2" t="s">
        <v>86</v>
      </c>
      <c r="M1083" s="2">
        <v>1</v>
      </c>
      <c r="N1083" s="2"/>
      <c r="O1083" s="109"/>
      <c r="P1083" s="109"/>
      <c r="Q1083" s="109"/>
    </row>
    <row r="1084" spans="2:17" x14ac:dyDescent="0.25">
      <c r="B1084" s="114">
        <v>16</v>
      </c>
      <c r="C1084" s="114">
        <v>43</v>
      </c>
      <c r="D1084" s="114">
        <v>78</v>
      </c>
      <c r="E1084" s="154" cm="1">
        <f t="array" ref="E1084">IF(ISBLANK(MainData[[#This Row],[EventID]]),0,IFERROR(INDEX(MainData[],MATCH(MainData[[#This Row],[EventID]],IF(MainData[Product]="Date",MainData[EventID],0),0),12),0))</f>
        <v>44603</v>
      </c>
      <c r="F1084" s="155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4" s="155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4" s="157" t="s">
        <v>84</v>
      </c>
      <c r="J1084" t="s">
        <v>187</v>
      </c>
      <c r="K1084" s="2" t="s">
        <v>157</v>
      </c>
      <c r="L1084" s="2" t="s">
        <v>118</v>
      </c>
      <c r="M1084" s="2" t="s">
        <v>464</v>
      </c>
      <c r="N1084" s="2"/>
      <c r="O1084" s="109"/>
      <c r="P1084" s="109"/>
      <c r="Q1084" s="109"/>
    </row>
    <row r="1085" spans="2:17" x14ac:dyDescent="0.25">
      <c r="B1085" s="114">
        <v>16</v>
      </c>
      <c r="C1085" s="114">
        <v>43</v>
      </c>
      <c r="D1085" s="114">
        <v>78</v>
      </c>
      <c r="E1085" s="154" cm="1">
        <f t="array" ref="E1085">IF(ISBLANK(MainData[[#This Row],[EventID]]),0,IFERROR(INDEX(MainData[],MATCH(MainData[[#This Row],[EventID]],IF(MainData[Product]="Date",MainData[EventID],0),0),12),0))</f>
        <v>44603</v>
      </c>
      <c r="F1085" s="155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5" s="155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5" s="157" t="s">
        <v>84</v>
      </c>
      <c r="J1085" t="s">
        <v>187</v>
      </c>
      <c r="K1085" s="2" t="s">
        <v>157</v>
      </c>
      <c r="L1085" s="2" t="s">
        <v>165</v>
      </c>
      <c r="M1085" s="2" t="s">
        <v>414</v>
      </c>
      <c r="N1085" s="2"/>
      <c r="O1085" s="109"/>
      <c r="P1085" s="109"/>
      <c r="Q1085" s="109"/>
    </row>
    <row r="1086" spans="2:17" x14ac:dyDescent="0.25">
      <c r="B1086" s="114">
        <v>16</v>
      </c>
      <c r="C1086" s="114">
        <v>43</v>
      </c>
      <c r="D1086" s="114">
        <v>78</v>
      </c>
      <c r="E1086" s="154" cm="1">
        <f t="array" ref="E1086">IF(ISBLANK(MainData[[#This Row],[EventID]]),0,IFERROR(INDEX(MainData[],MATCH(MainData[[#This Row],[EventID]],IF(MainData[Product]="Date",MainData[EventID],0),0),12),0))</f>
        <v>44603</v>
      </c>
      <c r="F1086" s="155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6" s="155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6" s="20" t="s">
        <v>85</v>
      </c>
      <c r="J1086" t="s">
        <v>20</v>
      </c>
      <c r="K1086" s="2" t="s">
        <v>116</v>
      </c>
      <c r="L1086" s="2" t="s">
        <v>88</v>
      </c>
      <c r="M1086" s="2" t="s">
        <v>189</v>
      </c>
      <c r="N1086" s="2" t="s">
        <v>233</v>
      </c>
      <c r="O1086" s="109">
        <v>1</v>
      </c>
      <c r="P1086" s="109"/>
      <c r="Q1086" s="109"/>
    </row>
    <row r="1087" spans="2:17" x14ac:dyDescent="0.25">
      <c r="B1087" s="114">
        <v>16</v>
      </c>
      <c r="C1087" s="114">
        <v>43</v>
      </c>
      <c r="D1087" s="114">
        <v>78</v>
      </c>
      <c r="E1087" s="154" cm="1">
        <f t="array" ref="E1087">IF(ISBLANK(MainData[[#This Row],[EventID]]),0,IFERROR(INDEX(MainData[],MATCH(MainData[[#This Row],[EventID]],IF(MainData[Product]="Date",MainData[EventID],0),0),12),0))</f>
        <v>44603</v>
      </c>
      <c r="F1087" s="155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7" s="155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7" s="20" t="s">
        <v>85</v>
      </c>
      <c r="J1087" t="s">
        <v>20</v>
      </c>
      <c r="K1087" s="2" t="s">
        <v>116</v>
      </c>
      <c r="L1087" s="2" t="s">
        <v>87</v>
      </c>
      <c r="M1087" s="2" t="s">
        <v>188</v>
      </c>
      <c r="N1087" s="2" t="s">
        <v>233</v>
      </c>
      <c r="O1087" s="109">
        <v>1</v>
      </c>
      <c r="P1087" s="109"/>
      <c r="Q1087" s="109">
        <v>100</v>
      </c>
    </row>
    <row r="1088" spans="2:17" x14ac:dyDescent="0.25">
      <c r="B1088" s="114">
        <v>16</v>
      </c>
      <c r="C1088" s="114">
        <v>43</v>
      </c>
      <c r="D1088" s="114">
        <v>78</v>
      </c>
      <c r="E1088" s="154" cm="1">
        <f t="array" ref="E1088">IF(ISBLANK(MainData[[#This Row],[EventID]]),0,IFERROR(INDEX(MainData[],MATCH(MainData[[#This Row],[EventID]],IF(MainData[Product]="Date",MainData[EventID],0),0),12),0))</f>
        <v>44603</v>
      </c>
      <c r="F1088" s="155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8" s="155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8" s="157" t="s">
        <v>85</v>
      </c>
      <c r="J1088" t="s">
        <v>20</v>
      </c>
      <c r="K1088" s="2" t="s">
        <v>29</v>
      </c>
      <c r="L1088" s="2" t="s">
        <v>35</v>
      </c>
      <c r="M1088" s="2" t="s">
        <v>382</v>
      </c>
      <c r="N1088" s="2" t="s">
        <v>234</v>
      </c>
      <c r="O1088" s="109">
        <v>1</v>
      </c>
      <c r="P1088" s="109">
        <v>32</v>
      </c>
      <c r="Q1088" s="109">
        <v>320</v>
      </c>
    </row>
    <row r="1089" spans="2:17" x14ac:dyDescent="0.25">
      <c r="B1089" s="114">
        <v>16</v>
      </c>
      <c r="C1089" s="114">
        <v>43</v>
      </c>
      <c r="D1089" s="114">
        <v>78</v>
      </c>
      <c r="E1089" s="154" cm="1">
        <f t="array" ref="E1089">IF(ISBLANK(MainData[[#This Row],[EventID]]),0,IFERROR(INDEX(MainData[],MATCH(MainData[[#This Row],[EventID]],IF(MainData[Product]="Date",MainData[EventID],0),0),12),0))</f>
        <v>44603</v>
      </c>
      <c r="F1089" s="155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9" s="155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2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9" s="157" t="s">
        <v>85</v>
      </c>
      <c r="J1089" t="s">
        <v>20</v>
      </c>
      <c r="K1089" s="2" t="s">
        <v>29</v>
      </c>
      <c r="L1089" s="2" t="s">
        <v>65</v>
      </c>
      <c r="M1089" s="2" t="s">
        <v>383</v>
      </c>
      <c r="N1089" s="2" t="s">
        <v>234</v>
      </c>
      <c r="O1089" s="109">
        <v>1</v>
      </c>
      <c r="P1089" s="109">
        <v>30</v>
      </c>
      <c r="Q1089" s="109">
        <v>410</v>
      </c>
    </row>
    <row r="1090" spans="2:17" x14ac:dyDescent="0.25">
      <c r="B1090" s="114">
        <v>16</v>
      </c>
      <c r="C1090" s="114">
        <v>43</v>
      </c>
      <c r="D1090" s="114">
        <v>78</v>
      </c>
      <c r="E1090" s="154" cm="1">
        <f t="array" ref="E1090">IF(ISBLANK(MainData[[#This Row],[EventID]]),0,IFERROR(INDEX(MainData[],MATCH(MainData[[#This Row],[EventID]],IF(MainData[Product]="Date",MainData[EventID],0),0),12),0))</f>
        <v>44603</v>
      </c>
      <c r="F1090" s="155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90" s="155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0" s="20" t="s">
        <v>85</v>
      </c>
      <c r="J1090" t="s">
        <v>20</v>
      </c>
      <c r="K1090" s="2" t="s">
        <v>29</v>
      </c>
      <c r="L1090" s="2" t="s">
        <v>25</v>
      </c>
      <c r="M1090" s="2" t="s">
        <v>388</v>
      </c>
      <c r="N1090" s="2" t="s">
        <v>234</v>
      </c>
      <c r="O1090" s="109">
        <v>1</v>
      </c>
      <c r="P1090" s="109">
        <v>17.8</v>
      </c>
      <c r="Q1090" s="109">
        <v>182</v>
      </c>
    </row>
    <row r="1091" spans="2:17" x14ac:dyDescent="0.25">
      <c r="B1091" s="114">
        <v>16</v>
      </c>
      <c r="C1091" s="114">
        <v>44</v>
      </c>
      <c r="D1091" s="114">
        <v>79</v>
      </c>
      <c r="E1091" s="154" cm="1">
        <f t="array" ref="E1091">IF(ISBLANK(MainData[[#This Row],[EventID]]),0,IFERROR(INDEX(MainData[],MATCH(MainData[[#This Row],[EventID]],IF(MainData[Product]="Date",MainData[EventID],0),0),12),0))</f>
        <v>44603</v>
      </c>
      <c r="F1091" s="155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1" s="155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1" s="157" t="s">
        <v>84</v>
      </c>
      <c r="J1091" t="s">
        <v>187</v>
      </c>
      <c r="K1091" s="2" t="s">
        <v>157</v>
      </c>
      <c r="L1091" s="2" t="s">
        <v>81</v>
      </c>
      <c r="M1091" s="2">
        <v>1</v>
      </c>
      <c r="N1091" s="2"/>
      <c r="O1091" s="109"/>
      <c r="P1091" s="109"/>
      <c r="Q1091" s="109"/>
    </row>
    <row r="1092" spans="2:17" x14ac:dyDescent="0.25">
      <c r="B1092" s="114">
        <v>16</v>
      </c>
      <c r="C1092" s="114">
        <v>44</v>
      </c>
      <c r="D1092" s="114">
        <v>79</v>
      </c>
      <c r="E1092" s="154" cm="1">
        <f t="array" ref="E1092">IF(ISBLANK(MainData[[#This Row],[EventID]]),0,IFERROR(INDEX(MainData[],MATCH(MainData[[#This Row],[EventID]],IF(MainData[Product]="Date",MainData[EventID],0),0),12),0))</f>
        <v>44603</v>
      </c>
      <c r="F1092" s="155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2" s="155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2" s="157" t="s">
        <v>84</v>
      </c>
      <c r="J1092" t="s">
        <v>187</v>
      </c>
      <c r="K1092" s="2" t="s">
        <v>157</v>
      </c>
      <c r="L1092" s="2" t="s">
        <v>0</v>
      </c>
      <c r="M1092" s="158">
        <v>44603</v>
      </c>
      <c r="N1092" s="2"/>
      <c r="O1092" s="109"/>
      <c r="P1092" s="109"/>
      <c r="Q1092" s="109"/>
    </row>
    <row r="1093" spans="2:17" x14ac:dyDescent="0.25">
      <c r="B1093" s="114">
        <v>16</v>
      </c>
      <c r="C1093" s="114">
        <v>44</v>
      </c>
      <c r="D1093" s="114">
        <v>79</v>
      </c>
      <c r="E1093" s="154" cm="1">
        <f t="array" ref="E1093">IF(ISBLANK(MainData[[#This Row],[EventID]]),0,IFERROR(INDEX(MainData[],MATCH(MainData[[#This Row],[EventID]],IF(MainData[Product]="Date",MainData[EventID],0),0),12),0))</f>
        <v>44603</v>
      </c>
      <c r="F1093" s="155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3" s="155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3" s="157" t="s">
        <v>84</v>
      </c>
      <c r="J1093" t="s">
        <v>187</v>
      </c>
      <c r="K1093" s="2" t="s">
        <v>157</v>
      </c>
      <c r="L1093" s="2" t="s">
        <v>82</v>
      </c>
      <c r="M1093" s="2">
        <v>588042</v>
      </c>
      <c r="N1093" s="2"/>
      <c r="O1093" s="109"/>
      <c r="P1093" s="109"/>
      <c r="Q1093" s="109"/>
    </row>
    <row r="1094" spans="2:17" x14ac:dyDescent="0.25">
      <c r="B1094" s="114">
        <v>16</v>
      </c>
      <c r="C1094" s="114">
        <v>44</v>
      </c>
      <c r="D1094" s="114">
        <v>79</v>
      </c>
      <c r="E1094" s="154" cm="1">
        <f t="array" ref="E1094">IF(ISBLANK(MainData[[#This Row],[EventID]]),0,IFERROR(INDEX(MainData[],MATCH(MainData[[#This Row],[EventID]],IF(MainData[Product]="Date",MainData[EventID],0),0),12),0))</f>
        <v>44603</v>
      </c>
      <c r="F1094" s="155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4" s="155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4" s="157" t="s">
        <v>84</v>
      </c>
      <c r="J1094" t="s">
        <v>187</v>
      </c>
      <c r="K1094" s="2" t="s">
        <v>157</v>
      </c>
      <c r="L1094" s="2" t="s">
        <v>175</v>
      </c>
      <c r="M1094" s="2" t="s">
        <v>457</v>
      </c>
      <c r="N1094" s="2"/>
      <c r="O1094" s="109"/>
      <c r="P1094" s="109"/>
      <c r="Q1094" s="109"/>
    </row>
    <row r="1095" spans="2:17" x14ac:dyDescent="0.25">
      <c r="B1095" s="114">
        <v>16</v>
      </c>
      <c r="C1095" s="114">
        <v>44</v>
      </c>
      <c r="D1095" s="114">
        <v>79</v>
      </c>
      <c r="E1095" s="154" cm="1">
        <f t="array" ref="E1095">IF(ISBLANK(MainData[[#This Row],[EventID]]),0,IFERROR(INDEX(MainData[],MATCH(MainData[[#This Row],[EventID]],IF(MainData[Product]="Date",MainData[EventID],0),0),12),0))</f>
        <v>44603</v>
      </c>
      <c r="F1095" s="155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5" s="155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5" s="157" t="s">
        <v>84</v>
      </c>
      <c r="J1095" t="s">
        <v>187</v>
      </c>
      <c r="K1095" s="2" t="s">
        <v>157</v>
      </c>
      <c r="L1095" s="2" t="s">
        <v>138</v>
      </c>
      <c r="M1095" s="2">
        <v>90</v>
      </c>
      <c r="N1095" s="2"/>
      <c r="O1095" s="109"/>
      <c r="P1095" s="109"/>
      <c r="Q1095" s="109"/>
    </row>
    <row r="1096" spans="2:17" x14ac:dyDescent="0.25">
      <c r="B1096" s="114">
        <v>16</v>
      </c>
      <c r="C1096" s="114">
        <v>44</v>
      </c>
      <c r="D1096" s="114">
        <v>79</v>
      </c>
      <c r="E1096" s="154" cm="1">
        <f t="array" ref="E1096">IF(ISBLANK(MainData[[#This Row],[EventID]]),0,IFERROR(INDEX(MainData[],MATCH(MainData[[#This Row],[EventID]],IF(MainData[Product]="Date",MainData[EventID],0),0),12),0))</f>
        <v>44603</v>
      </c>
      <c r="F1096" s="155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6" s="155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6" s="157" t="s">
        <v>84</v>
      </c>
      <c r="J1096" t="s">
        <v>187</v>
      </c>
      <c r="K1096" s="2" t="s">
        <v>157</v>
      </c>
      <c r="L1096" s="2" t="s">
        <v>86</v>
      </c>
      <c r="M1096" s="2">
        <v>2.5</v>
      </c>
      <c r="N1096" s="2"/>
      <c r="O1096" s="109"/>
      <c r="P1096" s="109"/>
      <c r="Q1096" s="109"/>
    </row>
    <row r="1097" spans="2:17" x14ac:dyDescent="0.25">
      <c r="B1097" s="114">
        <v>16</v>
      </c>
      <c r="C1097" s="114">
        <v>44</v>
      </c>
      <c r="D1097" s="114">
        <v>79</v>
      </c>
      <c r="E1097" s="154" cm="1">
        <f t="array" ref="E1097">IF(ISBLANK(MainData[[#This Row],[EventID]]),0,IFERROR(INDEX(MainData[],MATCH(MainData[[#This Row],[EventID]],IF(MainData[Product]="Date",MainData[EventID],0),0),12),0))</f>
        <v>44603</v>
      </c>
      <c r="F1097" s="155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7" s="155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7" s="157" t="s">
        <v>84</v>
      </c>
      <c r="J1097" t="s">
        <v>187</v>
      </c>
      <c r="K1097" s="2" t="s">
        <v>157</v>
      </c>
      <c r="L1097" s="2" t="s">
        <v>118</v>
      </c>
      <c r="M1097" s="2" t="s">
        <v>465</v>
      </c>
      <c r="N1097" s="2"/>
      <c r="O1097" s="109"/>
      <c r="P1097" s="109"/>
      <c r="Q1097" s="109"/>
    </row>
    <row r="1098" spans="2:17" x14ac:dyDescent="0.25">
      <c r="B1098" s="114">
        <v>16</v>
      </c>
      <c r="C1098" s="114">
        <v>44</v>
      </c>
      <c r="D1098" s="114">
        <v>79</v>
      </c>
      <c r="E1098" s="154" cm="1">
        <f t="array" ref="E1098">IF(ISBLANK(MainData[[#This Row],[EventID]]),0,IFERROR(INDEX(MainData[],MATCH(MainData[[#This Row],[EventID]],IF(MainData[Product]="Date",MainData[EventID],0),0),12),0))</f>
        <v>44603</v>
      </c>
      <c r="F1098" s="155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8" s="155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8" s="20" t="s">
        <v>85</v>
      </c>
      <c r="J1098" t="s">
        <v>20</v>
      </c>
      <c r="K1098" s="2" t="s">
        <v>116</v>
      </c>
      <c r="L1098" s="2" t="s">
        <v>88</v>
      </c>
      <c r="M1098" s="2" t="s">
        <v>189</v>
      </c>
      <c r="N1098" s="2" t="s">
        <v>233</v>
      </c>
      <c r="O1098" s="109">
        <v>1</v>
      </c>
      <c r="P1098" s="109"/>
      <c r="Q1098" s="109"/>
    </row>
    <row r="1099" spans="2:17" x14ac:dyDescent="0.25">
      <c r="B1099" s="114">
        <v>16</v>
      </c>
      <c r="C1099" s="114">
        <v>44</v>
      </c>
      <c r="D1099" s="114">
        <v>79</v>
      </c>
      <c r="E1099" s="154" cm="1">
        <f t="array" ref="E1099">IF(ISBLANK(MainData[[#This Row],[EventID]]),0,IFERROR(INDEX(MainData[],MATCH(MainData[[#This Row],[EventID]],IF(MainData[Product]="Date",MainData[EventID],0),0),12),0))</f>
        <v>44603</v>
      </c>
      <c r="F1099" s="155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9" s="155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9" s="20" t="s">
        <v>85</v>
      </c>
      <c r="J1099" t="s">
        <v>20</v>
      </c>
      <c r="K1099" s="2" t="s">
        <v>116</v>
      </c>
      <c r="L1099" s="2" t="s">
        <v>87</v>
      </c>
      <c r="M1099" s="2" t="s">
        <v>188</v>
      </c>
      <c r="N1099" s="2" t="s">
        <v>233</v>
      </c>
      <c r="O1099" s="109">
        <v>1</v>
      </c>
      <c r="P1099" s="109"/>
      <c r="Q1099" s="109">
        <v>100</v>
      </c>
    </row>
    <row r="1100" spans="2:17" x14ac:dyDescent="0.25">
      <c r="B1100" s="114">
        <v>16</v>
      </c>
      <c r="C1100" s="114">
        <v>44</v>
      </c>
      <c r="D1100" s="114">
        <v>79</v>
      </c>
      <c r="E1100" s="154" cm="1">
        <f t="array" ref="E1100">IF(ISBLANK(MainData[[#This Row],[EventID]]),0,IFERROR(INDEX(MainData[],MATCH(MainData[[#This Row],[EventID]],IF(MainData[Product]="Date",MainData[EventID],0),0),12),0))</f>
        <v>44603</v>
      </c>
      <c r="F1100" s="155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0" s="155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0" s="157" t="s">
        <v>85</v>
      </c>
      <c r="J1100" t="s">
        <v>20</v>
      </c>
      <c r="K1100" s="2" t="s">
        <v>29</v>
      </c>
      <c r="L1100" s="2" t="s">
        <v>35</v>
      </c>
      <c r="M1100" s="2" t="s">
        <v>382</v>
      </c>
      <c r="N1100" s="2" t="s">
        <v>234</v>
      </c>
      <c r="O1100" s="109">
        <v>1</v>
      </c>
      <c r="P1100" s="109">
        <v>53</v>
      </c>
      <c r="Q1100" s="109">
        <v>530</v>
      </c>
    </row>
    <row r="1101" spans="2:17" x14ac:dyDescent="0.25">
      <c r="B1101" s="114">
        <v>16</v>
      </c>
      <c r="C1101" s="114">
        <v>44</v>
      </c>
      <c r="D1101" s="114">
        <v>79</v>
      </c>
      <c r="E1101" s="154" cm="1">
        <f t="array" ref="E1101">IF(ISBLANK(MainData[[#This Row],[EventID]]),0,IFERROR(INDEX(MainData[],MATCH(MainData[[#This Row],[EventID]],IF(MainData[Product]="Date",MainData[EventID],0),0),12),0))</f>
        <v>44603</v>
      </c>
      <c r="F1101" s="155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1" s="155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1" s="20" t="s">
        <v>85</v>
      </c>
      <c r="J1101" t="s">
        <v>20</v>
      </c>
      <c r="K1101" s="2" t="s">
        <v>29</v>
      </c>
      <c r="L1101" s="2" t="s">
        <v>36</v>
      </c>
      <c r="M1101" s="2" t="s">
        <v>387</v>
      </c>
      <c r="N1101" s="2" t="s">
        <v>234</v>
      </c>
      <c r="O1101" s="109">
        <v>1</v>
      </c>
      <c r="P1101" s="109">
        <v>123.32</v>
      </c>
      <c r="Q1101" s="109">
        <v>1607</v>
      </c>
    </row>
    <row r="1102" spans="2:17" x14ac:dyDescent="0.25">
      <c r="B1102" s="114">
        <v>16</v>
      </c>
      <c r="C1102" s="114">
        <v>44</v>
      </c>
      <c r="D1102" s="114">
        <v>79</v>
      </c>
      <c r="E1102" s="154" cm="1">
        <f t="array" ref="E1102">IF(ISBLANK(MainData[[#This Row],[EventID]]),0,IFERROR(INDEX(MainData[],MATCH(MainData[[#This Row],[EventID]],IF(MainData[Product]="Date",MainData[EventID],0),0),12),0))</f>
        <v>44603</v>
      </c>
      <c r="F1102" s="155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2" s="155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2" s="157" t="s">
        <v>85</v>
      </c>
      <c r="J1102" t="s">
        <v>20</v>
      </c>
      <c r="K1102" s="2" t="s">
        <v>29</v>
      </c>
      <c r="L1102" s="2" t="s">
        <v>65</v>
      </c>
      <c r="M1102" s="2" t="s">
        <v>383</v>
      </c>
      <c r="N1102" s="2" t="s">
        <v>234</v>
      </c>
      <c r="O1102" s="109">
        <v>1</v>
      </c>
      <c r="P1102" s="109">
        <v>5</v>
      </c>
      <c r="Q1102" s="109">
        <v>95</v>
      </c>
    </row>
    <row r="1103" spans="2:17" x14ac:dyDescent="0.25">
      <c r="B1103" s="114">
        <v>16</v>
      </c>
      <c r="C1103" s="114">
        <v>44</v>
      </c>
      <c r="D1103" s="114">
        <v>79</v>
      </c>
      <c r="E1103" s="154" cm="1">
        <f t="array" ref="E1103">IF(ISBLANK(MainData[[#This Row],[EventID]]),0,IFERROR(INDEX(MainData[],MATCH(MainData[[#This Row],[EventID]],IF(MainData[Product]="Date",MainData[EventID],0),0),12),0))</f>
        <v>44603</v>
      </c>
      <c r="F1103" s="155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3" s="155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3" s="157" t="s">
        <v>85</v>
      </c>
      <c r="J1103" t="s">
        <v>20</v>
      </c>
      <c r="K1103" s="2" t="s">
        <v>29</v>
      </c>
      <c r="L1103" s="2" t="s">
        <v>25</v>
      </c>
      <c r="M1103" s="2" t="s">
        <v>388</v>
      </c>
      <c r="N1103" s="2" t="s">
        <v>234</v>
      </c>
      <c r="O1103" s="109">
        <v>1</v>
      </c>
      <c r="P1103" s="109">
        <v>45</v>
      </c>
      <c r="Q1103" s="109">
        <v>450</v>
      </c>
    </row>
    <row r="1104" spans="2:17" x14ac:dyDescent="0.25">
      <c r="B1104" s="114">
        <v>13</v>
      </c>
      <c r="C1104" s="114">
        <v>30</v>
      </c>
      <c r="D1104" s="114">
        <v>82</v>
      </c>
      <c r="E1104" s="154" cm="1">
        <f t="array" ref="E1104">IF(ISBLANK(MainData[[#This Row],[EventID]]),0,IFERROR(INDEX(MainData[],MATCH(MainData[[#This Row],[EventID]],IF(MainData[Product]="Date",MainData[EventID],0),0),12),0))</f>
        <v>44604</v>
      </c>
      <c r="F1104" s="155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4" s="155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4" s="157" t="s">
        <v>84</v>
      </c>
      <c r="J1104" t="s">
        <v>187</v>
      </c>
      <c r="K1104" s="2" t="s">
        <v>157</v>
      </c>
      <c r="L1104" s="2" t="s">
        <v>81</v>
      </c>
      <c r="M1104" s="2">
        <v>1</v>
      </c>
      <c r="N1104" s="2"/>
      <c r="O1104" s="109"/>
      <c r="P1104" s="109"/>
      <c r="Q1104" s="109"/>
    </row>
    <row r="1105" spans="2:17" x14ac:dyDescent="0.25">
      <c r="B1105" s="114">
        <v>13</v>
      </c>
      <c r="C1105" s="114">
        <v>30</v>
      </c>
      <c r="D1105" s="114">
        <v>82</v>
      </c>
      <c r="E1105" s="154" cm="1">
        <f t="array" ref="E1105">IF(ISBLANK(MainData[[#This Row],[EventID]]),0,IFERROR(INDEX(MainData[],MATCH(MainData[[#This Row],[EventID]],IF(MainData[Product]="Date",MainData[EventID],0),0),12),0))</f>
        <v>44604</v>
      </c>
      <c r="F1105" s="155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5" s="155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5" s="157" t="s">
        <v>84</v>
      </c>
      <c r="J1105" t="s">
        <v>187</v>
      </c>
      <c r="K1105" s="2" t="s">
        <v>157</v>
      </c>
      <c r="L1105" s="2" t="s">
        <v>0</v>
      </c>
      <c r="M1105" s="158">
        <v>44604</v>
      </c>
      <c r="N1105" s="2"/>
      <c r="O1105" s="109"/>
      <c r="P1105" s="109"/>
      <c r="Q1105" s="109"/>
    </row>
    <row r="1106" spans="2:17" x14ac:dyDescent="0.25">
      <c r="B1106" s="114">
        <v>13</v>
      </c>
      <c r="C1106" s="114">
        <v>30</v>
      </c>
      <c r="D1106" s="114">
        <v>82</v>
      </c>
      <c r="E1106" s="154" cm="1">
        <f t="array" ref="E1106">IF(ISBLANK(MainData[[#This Row],[EventID]]),0,IFERROR(INDEX(MainData[],MATCH(MainData[[#This Row],[EventID]],IF(MainData[Product]="Date",MainData[EventID],0),0),12),0))</f>
        <v>44604</v>
      </c>
      <c r="F1106" s="155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6" s="155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6" s="157" t="s">
        <v>84</v>
      </c>
      <c r="J1106" t="s">
        <v>187</v>
      </c>
      <c r="K1106" s="2" t="s">
        <v>157</v>
      </c>
      <c r="L1106" s="2" t="s">
        <v>82</v>
      </c>
      <c r="M1106" s="2">
        <v>481908</v>
      </c>
      <c r="N1106" s="2"/>
      <c r="O1106" s="109"/>
      <c r="P1106" s="109"/>
      <c r="Q1106" s="109"/>
    </row>
    <row r="1107" spans="2:17" x14ac:dyDescent="0.25">
      <c r="B1107" s="114">
        <v>13</v>
      </c>
      <c r="C1107" s="114">
        <v>30</v>
      </c>
      <c r="D1107" s="114">
        <v>82</v>
      </c>
      <c r="E1107" s="154" cm="1">
        <f t="array" ref="E1107">IF(ISBLANK(MainData[[#This Row],[EventID]]),0,IFERROR(INDEX(MainData[],MATCH(MainData[[#This Row],[EventID]],IF(MainData[Product]="Date",MainData[EventID],0),0),12),0))</f>
        <v>44604</v>
      </c>
      <c r="F1107" s="155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7" s="155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7" s="157" t="s">
        <v>84</v>
      </c>
      <c r="J1107" t="s">
        <v>187</v>
      </c>
      <c r="K1107" s="2" t="s">
        <v>157</v>
      </c>
      <c r="L1107" s="2" t="s">
        <v>175</v>
      </c>
      <c r="M1107" s="2" t="s">
        <v>455</v>
      </c>
      <c r="N1107" s="2"/>
      <c r="O1107" s="109"/>
      <c r="P1107" s="109"/>
      <c r="Q1107" s="109"/>
    </row>
    <row r="1108" spans="2:17" x14ac:dyDescent="0.25">
      <c r="B1108" s="114">
        <v>13</v>
      </c>
      <c r="C1108" s="114">
        <v>30</v>
      </c>
      <c r="D1108" s="114">
        <v>82</v>
      </c>
      <c r="E1108" s="154" cm="1">
        <f t="array" ref="E1108">IF(ISBLANK(MainData[[#This Row],[EventID]]),0,IFERROR(INDEX(MainData[],MATCH(MainData[[#This Row],[EventID]],IF(MainData[Product]="Date",MainData[EventID],0),0),12),0))</f>
        <v>44604</v>
      </c>
      <c r="F1108" s="155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8" s="155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8" s="157" t="s">
        <v>84</v>
      </c>
      <c r="J1108" t="s">
        <v>187</v>
      </c>
      <c r="K1108" s="2" t="s">
        <v>157</v>
      </c>
      <c r="L1108" s="2" t="s">
        <v>138</v>
      </c>
      <c r="M1108" s="2">
        <v>800</v>
      </c>
      <c r="N1108" s="2"/>
      <c r="O1108" s="109"/>
      <c r="P1108" s="109"/>
      <c r="Q1108" s="109"/>
    </row>
    <row r="1109" spans="2:17" x14ac:dyDescent="0.25">
      <c r="B1109" s="114">
        <v>13</v>
      </c>
      <c r="C1109" s="114">
        <v>30</v>
      </c>
      <c r="D1109" s="114">
        <v>82</v>
      </c>
      <c r="E1109" s="154" cm="1">
        <f t="array" ref="E1109">IF(ISBLANK(MainData[[#This Row],[EventID]]),0,IFERROR(INDEX(MainData[],MATCH(MainData[[#This Row],[EventID]],IF(MainData[Product]="Date",MainData[EventID],0),0),12),0))</f>
        <v>44604</v>
      </c>
      <c r="F1109" s="155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9" s="155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9" s="2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9" s="157" t="s">
        <v>84</v>
      </c>
      <c r="J1109" t="s">
        <v>187</v>
      </c>
      <c r="K1109" s="2" t="s">
        <v>157</v>
      </c>
      <c r="L1109" s="2" t="s">
        <v>86</v>
      </c>
      <c r="M1109" s="2">
        <v>4</v>
      </c>
      <c r="N1109" s="2"/>
      <c r="O1109" s="109"/>
      <c r="P1109" s="109"/>
      <c r="Q1109" s="109"/>
    </row>
    <row r="1110" spans="2:17" x14ac:dyDescent="0.25">
      <c r="B1110" s="114">
        <v>13</v>
      </c>
      <c r="C1110" s="114">
        <v>30</v>
      </c>
      <c r="D1110" s="114">
        <v>82</v>
      </c>
      <c r="E1110" s="154" cm="1">
        <f t="array" ref="E1110">IF(ISBLANK(MainData[[#This Row],[EventID]]),0,IFERROR(INDEX(MainData[],MATCH(MainData[[#This Row],[EventID]],IF(MainData[Product]="Date",MainData[EventID],0),0),12),0))</f>
        <v>44604</v>
      </c>
      <c r="F1110" s="155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0" s="155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2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0" s="157" t="s">
        <v>84</v>
      </c>
      <c r="J1110" t="s">
        <v>187</v>
      </c>
      <c r="K1110" s="2" t="s">
        <v>157</v>
      </c>
      <c r="L1110" s="2" t="s">
        <v>118</v>
      </c>
      <c r="M1110" s="2" t="s">
        <v>463</v>
      </c>
      <c r="N1110" s="2"/>
      <c r="O1110" s="109"/>
      <c r="P1110" s="109"/>
      <c r="Q1110" s="109"/>
    </row>
    <row r="1111" spans="2:17" x14ac:dyDescent="0.25">
      <c r="B1111" s="114">
        <v>13</v>
      </c>
      <c r="C1111" s="114">
        <v>30</v>
      </c>
      <c r="D1111" s="114">
        <v>82</v>
      </c>
      <c r="E1111" s="154" cm="1">
        <f t="array" ref="E1111">IF(ISBLANK(MainData[[#This Row],[EventID]]),0,IFERROR(INDEX(MainData[],MATCH(MainData[[#This Row],[EventID]],IF(MainData[Product]="Date",MainData[EventID],0),0),12),0))</f>
        <v>44604</v>
      </c>
      <c r="F1111" s="155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1" s="155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2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1" s="20" t="s">
        <v>85</v>
      </c>
      <c r="J1111" t="s">
        <v>20</v>
      </c>
      <c r="K1111" s="2" t="s">
        <v>116</v>
      </c>
      <c r="L1111" s="2" t="s">
        <v>88</v>
      </c>
      <c r="M1111" s="2" t="s">
        <v>189</v>
      </c>
      <c r="N1111" s="2" t="s">
        <v>233</v>
      </c>
      <c r="O1111" s="109">
        <v>4</v>
      </c>
      <c r="P1111" s="109"/>
      <c r="Q1111" s="109"/>
    </row>
    <row r="1112" spans="2:17" x14ac:dyDescent="0.25">
      <c r="B1112" s="114">
        <v>13</v>
      </c>
      <c r="C1112" s="114">
        <v>30</v>
      </c>
      <c r="D1112" s="114">
        <v>82</v>
      </c>
      <c r="E1112" s="154" cm="1">
        <f t="array" ref="E1112">IF(ISBLANK(MainData[[#This Row],[EventID]]),0,IFERROR(INDEX(MainData[],MATCH(MainData[[#This Row],[EventID]],IF(MainData[Product]="Date",MainData[EventID],0),0),12),0))</f>
        <v>44604</v>
      </c>
      <c r="F1112" s="155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2" s="155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2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2" s="20" t="s">
        <v>85</v>
      </c>
      <c r="J1112" t="s">
        <v>20</v>
      </c>
      <c r="K1112" s="2" t="s">
        <v>116</v>
      </c>
      <c r="L1112" s="2" t="s">
        <v>87</v>
      </c>
      <c r="M1112" s="2" t="s">
        <v>188</v>
      </c>
      <c r="N1112" s="2" t="s">
        <v>233</v>
      </c>
      <c r="O1112" s="109">
        <v>9</v>
      </c>
      <c r="P1112" s="109"/>
      <c r="Q1112" s="109">
        <v>900</v>
      </c>
    </row>
    <row r="1113" spans="2:17" x14ac:dyDescent="0.25">
      <c r="B1113" s="114">
        <v>13</v>
      </c>
      <c r="C1113" s="114">
        <v>30</v>
      </c>
      <c r="D1113" s="114">
        <v>82</v>
      </c>
      <c r="E1113" s="154" cm="1">
        <f t="array" ref="E1113">IF(ISBLANK(MainData[[#This Row],[EventID]]),0,IFERROR(INDEX(MainData[],MATCH(MainData[[#This Row],[EventID]],IF(MainData[Product]="Date",MainData[EventID],0),0),12),0))</f>
        <v>44604</v>
      </c>
      <c r="F1113" s="155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3" s="155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2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3" s="157" t="s">
        <v>85</v>
      </c>
      <c r="J1113" t="s">
        <v>20</v>
      </c>
      <c r="K1113" s="2" t="s">
        <v>29</v>
      </c>
      <c r="L1113" s="2" t="s">
        <v>35</v>
      </c>
      <c r="M1113" s="2" t="s">
        <v>382</v>
      </c>
      <c r="N1113" s="2" t="s">
        <v>234</v>
      </c>
      <c r="O1113" s="109">
        <v>9</v>
      </c>
      <c r="P1113" s="109">
        <v>1900</v>
      </c>
      <c r="Q1113" s="109">
        <v>18931.25</v>
      </c>
    </row>
    <row r="1114" spans="2:17" x14ac:dyDescent="0.25">
      <c r="B1114" s="114">
        <v>13</v>
      </c>
      <c r="C1114" s="114">
        <v>30</v>
      </c>
      <c r="D1114" s="114">
        <v>82</v>
      </c>
      <c r="E1114" s="154" cm="1">
        <f t="array" ref="E1114">IF(ISBLANK(MainData[[#This Row],[EventID]]),0,IFERROR(INDEX(MainData[],MATCH(MainData[[#This Row],[EventID]],IF(MainData[Product]="Date",MainData[EventID],0),0),12),0))</f>
        <v>44604</v>
      </c>
      <c r="F1114" s="155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4" s="155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2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4" s="20" t="s">
        <v>85</v>
      </c>
      <c r="J1114" t="s">
        <v>20</v>
      </c>
      <c r="K1114" s="2" t="s">
        <v>29</v>
      </c>
      <c r="L1114" s="2" t="s">
        <v>36</v>
      </c>
      <c r="M1114" s="2" t="s">
        <v>384</v>
      </c>
      <c r="N1114" s="2" t="s">
        <v>234</v>
      </c>
      <c r="O1114" s="109">
        <v>9</v>
      </c>
      <c r="P1114" s="109">
        <v>2409.96</v>
      </c>
      <c r="Q1114" s="109">
        <v>24873.35</v>
      </c>
    </row>
    <row r="1115" spans="2:17" x14ac:dyDescent="0.25">
      <c r="B1115" s="114">
        <v>13</v>
      </c>
      <c r="C1115" s="114">
        <v>30</v>
      </c>
      <c r="D1115" s="114">
        <v>82</v>
      </c>
      <c r="E1115" s="154" cm="1">
        <f t="array" ref="E1115">IF(ISBLANK(MainData[[#This Row],[EventID]]),0,IFERROR(INDEX(MainData[],MATCH(MainData[[#This Row],[EventID]],IF(MainData[Product]="Date",MainData[EventID],0),0),12),0))</f>
        <v>44604</v>
      </c>
      <c r="F1115" s="155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5" s="155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2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5" s="157" t="s">
        <v>85</v>
      </c>
      <c r="J1115" t="s">
        <v>20</v>
      </c>
      <c r="K1115" s="2" t="s">
        <v>29</v>
      </c>
      <c r="L1115" s="2" t="s">
        <v>65</v>
      </c>
      <c r="M1115" s="2" t="s">
        <v>383</v>
      </c>
      <c r="N1115" s="2" t="s">
        <v>234</v>
      </c>
      <c r="O1115" s="109">
        <v>9</v>
      </c>
      <c r="P1115" s="109">
        <v>275</v>
      </c>
      <c r="Q1115" s="109">
        <v>5610.05</v>
      </c>
    </row>
    <row r="1116" spans="2:17" x14ac:dyDescent="0.25">
      <c r="B1116" s="114">
        <v>13</v>
      </c>
      <c r="C1116" s="114">
        <v>30</v>
      </c>
      <c r="D1116" s="114">
        <v>82</v>
      </c>
      <c r="E1116" s="154" cm="1">
        <f t="array" ref="E1116">IF(ISBLANK(MainData[[#This Row],[EventID]]),0,IFERROR(INDEX(MainData[],MATCH(MainData[[#This Row],[EventID]],IF(MainData[Product]="Date",MainData[EventID],0),0),12),0))</f>
        <v>44604</v>
      </c>
      <c r="F1116" s="155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6" s="155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2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6" s="157" t="s">
        <v>85</v>
      </c>
      <c r="J1116" t="s">
        <v>20</v>
      </c>
      <c r="K1116" s="2" t="s">
        <v>29</v>
      </c>
      <c r="L1116" s="2" t="s">
        <v>25</v>
      </c>
      <c r="M1116" s="2" t="s">
        <v>385</v>
      </c>
      <c r="N1116" s="2" t="s">
        <v>234</v>
      </c>
      <c r="O1116" s="109">
        <v>9</v>
      </c>
      <c r="P1116" s="109">
        <v>1650</v>
      </c>
      <c r="Q1116" s="109">
        <v>16287.15</v>
      </c>
    </row>
    <row r="1117" spans="2:17" x14ac:dyDescent="0.25">
      <c r="B1117" s="114">
        <v>13</v>
      </c>
      <c r="C1117" s="114">
        <v>33</v>
      </c>
      <c r="D1117" s="114">
        <v>83</v>
      </c>
      <c r="E1117" s="154" cm="1">
        <f t="array" ref="E1117">IF(ISBLANK(MainData[[#This Row],[EventID]]),0,IFERROR(INDEX(MainData[],MATCH(MainData[[#This Row],[EventID]],IF(MainData[Product]="Date",MainData[EventID],0),0),12),0))</f>
        <v>44604</v>
      </c>
      <c r="F1117" s="155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7" s="155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7" s="2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7" s="157" t="s">
        <v>84</v>
      </c>
      <c r="J1117" t="s">
        <v>187</v>
      </c>
      <c r="K1117" s="2" t="s">
        <v>157</v>
      </c>
      <c r="L1117" s="2" t="s">
        <v>81</v>
      </c>
      <c r="M1117" s="2">
        <v>1</v>
      </c>
      <c r="N1117" s="2"/>
      <c r="O1117" s="109"/>
      <c r="P1117" s="109"/>
      <c r="Q1117" s="109"/>
    </row>
    <row r="1118" spans="2:17" x14ac:dyDescent="0.25">
      <c r="B1118" s="114">
        <v>13</v>
      </c>
      <c r="C1118" s="114">
        <v>33</v>
      </c>
      <c r="D1118" s="114">
        <v>83</v>
      </c>
      <c r="E1118" s="154" cm="1">
        <f t="array" ref="E1118">IF(ISBLANK(MainData[[#This Row],[EventID]]),0,IFERROR(INDEX(MainData[],MATCH(MainData[[#This Row],[EventID]],IF(MainData[Product]="Date",MainData[EventID],0),0),12),0))</f>
        <v>44604</v>
      </c>
      <c r="F1118" s="155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8" s="155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8" s="2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8" s="157" t="s">
        <v>84</v>
      </c>
      <c r="J1118" t="s">
        <v>187</v>
      </c>
      <c r="K1118" s="2" t="s">
        <v>157</v>
      </c>
      <c r="L1118" s="2" t="s">
        <v>0</v>
      </c>
      <c r="M1118" s="158">
        <v>44604</v>
      </c>
      <c r="N1118" s="2"/>
      <c r="O1118" s="109"/>
      <c r="P1118" s="109"/>
      <c r="Q1118" s="109"/>
    </row>
    <row r="1119" spans="2:17" x14ac:dyDescent="0.25">
      <c r="B1119" s="114">
        <v>13</v>
      </c>
      <c r="C1119" s="114">
        <v>33</v>
      </c>
      <c r="D1119" s="114">
        <v>83</v>
      </c>
      <c r="E1119" s="154" cm="1">
        <f t="array" ref="E1119">IF(ISBLANK(MainData[[#This Row],[EventID]]),0,IFERROR(INDEX(MainData[],MATCH(MainData[[#This Row],[EventID]],IF(MainData[Product]="Date",MainData[EventID],0),0),12),0))</f>
        <v>44604</v>
      </c>
      <c r="F1119" s="155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9" s="155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9" s="2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9" s="157" t="s">
        <v>84</v>
      </c>
      <c r="J1119" t="s">
        <v>187</v>
      </c>
      <c r="K1119" s="2" t="s">
        <v>157</v>
      </c>
      <c r="L1119" s="2" t="s">
        <v>82</v>
      </c>
      <c r="M1119" s="2">
        <v>730486</v>
      </c>
      <c r="N1119" s="2"/>
      <c r="O1119" s="109"/>
      <c r="P1119" s="109"/>
      <c r="Q1119" s="109"/>
    </row>
    <row r="1120" spans="2:17" x14ac:dyDescent="0.25">
      <c r="B1120" s="114">
        <v>13</v>
      </c>
      <c r="C1120" s="114">
        <v>33</v>
      </c>
      <c r="D1120" s="114">
        <v>83</v>
      </c>
      <c r="E1120" s="154" cm="1">
        <f t="array" ref="E1120">IF(ISBLANK(MainData[[#This Row],[EventID]]),0,IFERROR(INDEX(MainData[],MATCH(MainData[[#This Row],[EventID]],IF(MainData[Product]="Date",MainData[EventID],0),0),12),0))</f>
        <v>44604</v>
      </c>
      <c r="F1120" s="155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0" s="155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0" s="2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0" s="157" t="s">
        <v>84</v>
      </c>
      <c r="J1120" t="s">
        <v>187</v>
      </c>
      <c r="K1120" s="2" t="s">
        <v>157</v>
      </c>
      <c r="L1120" s="2" t="s">
        <v>175</v>
      </c>
      <c r="M1120" s="2" t="s">
        <v>455</v>
      </c>
      <c r="N1120" s="2"/>
      <c r="O1120" s="109"/>
      <c r="P1120" s="109"/>
      <c r="Q1120" s="109"/>
    </row>
    <row r="1121" spans="2:17" x14ac:dyDescent="0.25">
      <c r="B1121" s="114">
        <v>13</v>
      </c>
      <c r="C1121" s="114">
        <v>33</v>
      </c>
      <c r="D1121" s="114">
        <v>83</v>
      </c>
      <c r="E1121" s="154" cm="1">
        <f t="array" ref="E1121">IF(ISBLANK(MainData[[#This Row],[EventID]]),0,IFERROR(INDEX(MainData[],MATCH(MainData[[#This Row],[EventID]],IF(MainData[Product]="Date",MainData[EventID],0),0),12),0))</f>
        <v>44604</v>
      </c>
      <c r="F1121" s="155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1" s="155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2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1" s="157" t="s">
        <v>84</v>
      </c>
      <c r="J1121" t="s">
        <v>187</v>
      </c>
      <c r="K1121" s="2" t="s">
        <v>157</v>
      </c>
      <c r="L1121" s="2" t="s">
        <v>138</v>
      </c>
      <c r="M1121" s="2">
        <v>90</v>
      </c>
      <c r="N1121" s="2"/>
      <c r="O1121" s="109"/>
      <c r="P1121" s="109"/>
      <c r="Q1121" s="109"/>
    </row>
    <row r="1122" spans="2:17" x14ac:dyDescent="0.25">
      <c r="B1122" s="114">
        <v>13</v>
      </c>
      <c r="C1122" s="114">
        <v>33</v>
      </c>
      <c r="D1122" s="114">
        <v>83</v>
      </c>
      <c r="E1122" s="154" cm="1">
        <f t="array" ref="E1122">IF(ISBLANK(MainData[[#This Row],[EventID]]),0,IFERROR(INDEX(MainData[],MATCH(MainData[[#This Row],[EventID]],IF(MainData[Product]="Date",MainData[EventID],0),0),12),0))</f>
        <v>44604</v>
      </c>
      <c r="F1122" s="155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2" s="155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2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2" s="157" t="s">
        <v>84</v>
      </c>
      <c r="J1122" t="s">
        <v>187</v>
      </c>
      <c r="K1122" s="2" t="s">
        <v>157</v>
      </c>
      <c r="L1122" s="2" t="s">
        <v>86</v>
      </c>
      <c r="M1122" s="2">
        <v>3</v>
      </c>
      <c r="N1122" s="2"/>
      <c r="O1122" s="109"/>
      <c r="P1122" s="109"/>
      <c r="Q1122" s="109"/>
    </row>
    <row r="1123" spans="2:17" x14ac:dyDescent="0.25">
      <c r="B1123" s="114">
        <v>13</v>
      </c>
      <c r="C1123" s="114">
        <v>33</v>
      </c>
      <c r="D1123" s="114">
        <v>83</v>
      </c>
      <c r="E1123" s="154" cm="1">
        <f t="array" ref="E1123">IF(ISBLANK(MainData[[#This Row],[EventID]]),0,IFERROR(INDEX(MainData[],MATCH(MainData[[#This Row],[EventID]],IF(MainData[Product]="Date",MainData[EventID],0),0),12),0))</f>
        <v>44604</v>
      </c>
      <c r="F1123" s="155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3" s="155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2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3" s="157" t="s">
        <v>84</v>
      </c>
      <c r="J1123" t="s">
        <v>187</v>
      </c>
      <c r="K1123" s="2" t="s">
        <v>157</v>
      </c>
      <c r="L1123" s="2" t="s">
        <v>118</v>
      </c>
      <c r="M1123" s="2" t="s">
        <v>488</v>
      </c>
      <c r="N1123" s="2"/>
      <c r="O1123" s="109"/>
      <c r="P1123" s="109"/>
      <c r="Q1123" s="109"/>
    </row>
    <row r="1124" spans="2:17" x14ac:dyDescent="0.25">
      <c r="B1124" s="114">
        <v>13</v>
      </c>
      <c r="C1124" s="114">
        <v>33</v>
      </c>
      <c r="D1124" s="114">
        <v>83</v>
      </c>
      <c r="E1124" s="154" cm="1">
        <f t="array" ref="E1124">IF(ISBLANK(MainData[[#This Row],[EventID]]),0,IFERROR(INDEX(MainData[],MATCH(MainData[[#This Row],[EventID]],IF(MainData[Product]="Date",MainData[EventID],0),0),12),0))</f>
        <v>44604</v>
      </c>
      <c r="F1124" s="155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4" s="155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2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4" s="20" t="s">
        <v>85</v>
      </c>
      <c r="J1124" t="s">
        <v>20</v>
      </c>
      <c r="K1124" s="2" t="s">
        <v>116</v>
      </c>
      <c r="L1124" s="2" t="s">
        <v>88</v>
      </c>
      <c r="M1124" s="2" t="s">
        <v>189</v>
      </c>
      <c r="N1124" s="2" t="s">
        <v>233</v>
      </c>
      <c r="O1124" s="109">
        <v>1</v>
      </c>
      <c r="P1124" s="109"/>
      <c r="Q1124" s="109"/>
    </row>
    <row r="1125" spans="2:17" x14ac:dyDescent="0.25">
      <c r="B1125" s="114">
        <v>13</v>
      </c>
      <c r="C1125" s="114">
        <v>33</v>
      </c>
      <c r="D1125" s="114">
        <v>83</v>
      </c>
      <c r="E1125" s="154" cm="1">
        <f t="array" ref="E1125">IF(ISBLANK(MainData[[#This Row],[EventID]]),0,IFERROR(INDEX(MainData[],MATCH(MainData[[#This Row],[EventID]],IF(MainData[Product]="Date",MainData[EventID],0),0),12),0))</f>
        <v>44604</v>
      </c>
      <c r="F1125" s="155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5" s="155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5" s="2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5" s="20" t="s">
        <v>85</v>
      </c>
      <c r="J1125" t="s">
        <v>20</v>
      </c>
      <c r="K1125" s="2" t="s">
        <v>116</v>
      </c>
      <c r="L1125" s="2" t="s">
        <v>87</v>
      </c>
      <c r="M1125" s="2" t="s">
        <v>188</v>
      </c>
      <c r="N1125" s="2" t="s">
        <v>233</v>
      </c>
      <c r="O1125" s="109">
        <v>1</v>
      </c>
      <c r="P1125" s="109"/>
      <c r="Q1125" s="109">
        <v>100</v>
      </c>
    </row>
    <row r="1126" spans="2:17" x14ac:dyDescent="0.25">
      <c r="B1126" s="114">
        <v>13</v>
      </c>
      <c r="C1126" s="114">
        <v>33</v>
      </c>
      <c r="D1126" s="114">
        <v>83</v>
      </c>
      <c r="E1126" s="154" cm="1">
        <f t="array" ref="E1126">IF(ISBLANK(MainData[[#This Row],[EventID]]),0,IFERROR(INDEX(MainData[],MATCH(MainData[[#This Row],[EventID]],IF(MainData[Product]="Date",MainData[EventID],0),0),12),0))</f>
        <v>44604</v>
      </c>
      <c r="F1126" s="155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6" s="155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2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6" s="157" t="s">
        <v>85</v>
      </c>
      <c r="J1126" t="s">
        <v>20</v>
      </c>
      <c r="K1126" s="2" t="s">
        <v>29</v>
      </c>
      <c r="L1126" s="2" t="s">
        <v>35</v>
      </c>
      <c r="M1126" s="2" t="s">
        <v>382</v>
      </c>
      <c r="N1126" s="2" t="s">
        <v>234</v>
      </c>
      <c r="O1126" s="109">
        <v>1</v>
      </c>
      <c r="P1126" s="109">
        <v>190</v>
      </c>
      <c r="Q1126" s="109">
        <v>1865</v>
      </c>
    </row>
    <row r="1127" spans="2:17" x14ac:dyDescent="0.25">
      <c r="B1127" s="114">
        <v>13</v>
      </c>
      <c r="C1127" s="114">
        <v>33</v>
      </c>
      <c r="D1127" s="114">
        <v>83</v>
      </c>
      <c r="E1127" s="154" cm="1">
        <f t="array" ref="E1127">IF(ISBLANK(MainData[[#This Row],[EventID]]),0,IFERROR(INDEX(MainData[],MATCH(MainData[[#This Row],[EventID]],IF(MainData[Product]="Date",MainData[EventID],0),0),12),0))</f>
        <v>44604</v>
      </c>
      <c r="F1127" s="155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7" s="155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2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7" s="20" t="s">
        <v>85</v>
      </c>
      <c r="J1127" t="s">
        <v>20</v>
      </c>
      <c r="K1127" s="2" t="s">
        <v>29</v>
      </c>
      <c r="L1127" s="2" t="s">
        <v>36</v>
      </c>
      <c r="M1127" s="2" t="s">
        <v>390</v>
      </c>
      <c r="N1127" s="2" t="s">
        <v>234</v>
      </c>
      <c r="O1127" s="109">
        <v>1</v>
      </c>
      <c r="P1127" s="109">
        <v>223.6</v>
      </c>
      <c r="Q1127" s="109">
        <v>3070</v>
      </c>
    </row>
    <row r="1128" spans="2:17" x14ac:dyDescent="0.25">
      <c r="B1128" s="114">
        <v>13</v>
      </c>
      <c r="C1128" s="114">
        <v>33</v>
      </c>
      <c r="D1128" s="114">
        <v>83</v>
      </c>
      <c r="E1128" s="154" cm="1">
        <f t="array" ref="E1128">IF(ISBLANK(MainData[[#This Row],[EventID]]),0,IFERROR(INDEX(MainData[],MATCH(MainData[[#This Row],[EventID]],IF(MainData[Product]="Date",MainData[EventID],0),0),12),0))</f>
        <v>44604</v>
      </c>
      <c r="F1128" s="155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8" s="155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2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8" s="157" t="s">
        <v>85</v>
      </c>
      <c r="J1128" t="s">
        <v>20</v>
      </c>
      <c r="K1128" s="2" t="s">
        <v>29</v>
      </c>
      <c r="L1128" s="2" t="s">
        <v>65</v>
      </c>
      <c r="M1128" s="2" t="s">
        <v>383</v>
      </c>
      <c r="N1128" s="2" t="s">
        <v>234</v>
      </c>
      <c r="O1128" s="109">
        <v>1</v>
      </c>
      <c r="P1128" s="109">
        <v>13</v>
      </c>
      <c r="Q1128" s="109">
        <v>249</v>
      </c>
    </row>
    <row r="1129" spans="2:17" x14ac:dyDescent="0.25">
      <c r="B1129" s="114">
        <v>13</v>
      </c>
      <c r="C1129" s="114">
        <v>33</v>
      </c>
      <c r="D1129" s="114">
        <v>83</v>
      </c>
      <c r="E1129" s="154" cm="1">
        <f t="array" ref="E1129">IF(ISBLANK(MainData[[#This Row],[EventID]]),0,IFERROR(INDEX(MainData[],MATCH(MainData[[#This Row],[EventID]],IF(MainData[Product]="Date",MainData[EventID],0),0),12),0))</f>
        <v>44604</v>
      </c>
      <c r="F1129" s="155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9" s="155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2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9" s="157" t="s">
        <v>85</v>
      </c>
      <c r="J1129" t="s">
        <v>20</v>
      </c>
      <c r="K1129" s="2" t="s">
        <v>29</v>
      </c>
      <c r="L1129" s="2" t="s">
        <v>25</v>
      </c>
      <c r="M1129" s="2" t="s">
        <v>399</v>
      </c>
      <c r="N1129" s="2" t="s">
        <v>234</v>
      </c>
      <c r="O1129" s="109">
        <v>1</v>
      </c>
      <c r="P1129" s="109">
        <v>216</v>
      </c>
      <c r="Q1129" s="109">
        <v>2160</v>
      </c>
    </row>
    <row r="1130" spans="2:17" x14ac:dyDescent="0.25">
      <c r="B1130" s="114">
        <v>9</v>
      </c>
      <c r="C1130" s="114">
        <v>14</v>
      </c>
      <c r="D1130" s="114">
        <v>84</v>
      </c>
      <c r="E1130" s="154" cm="1">
        <f t="array" ref="E1130">IF(ISBLANK(MainData[[#This Row],[EventID]]),0,IFERROR(INDEX(MainData[],MATCH(MainData[[#This Row],[EventID]],IF(MainData[Product]="Date",MainData[EventID],0),0),12),0))</f>
        <v>44605</v>
      </c>
      <c r="F1130" s="155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0" s="155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0" s="2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0" s="157" t="s">
        <v>84</v>
      </c>
      <c r="J1130" t="s">
        <v>187</v>
      </c>
      <c r="K1130" s="2" t="s">
        <v>157</v>
      </c>
      <c r="L1130" s="2" t="s">
        <v>81</v>
      </c>
      <c r="M1130" s="2">
        <v>1</v>
      </c>
      <c r="N1130" s="2"/>
      <c r="O1130" s="109"/>
      <c r="P1130" s="109"/>
      <c r="Q1130" s="109"/>
    </row>
    <row r="1131" spans="2:17" x14ac:dyDescent="0.25">
      <c r="B1131" s="114">
        <v>9</v>
      </c>
      <c r="C1131" s="114">
        <v>14</v>
      </c>
      <c r="D1131" s="114">
        <v>84</v>
      </c>
      <c r="E1131" s="154" cm="1">
        <f t="array" ref="E1131">IF(ISBLANK(MainData[[#This Row],[EventID]]),0,IFERROR(INDEX(MainData[],MATCH(MainData[[#This Row],[EventID]],IF(MainData[Product]="Date",MainData[EventID],0),0),12),0))</f>
        <v>44605</v>
      </c>
      <c r="F1131" s="155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1" s="155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1" s="2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1" s="157" t="s">
        <v>84</v>
      </c>
      <c r="J1131" t="s">
        <v>187</v>
      </c>
      <c r="K1131" s="2" t="s">
        <v>157</v>
      </c>
      <c r="L1131" s="2" t="s">
        <v>164</v>
      </c>
      <c r="M1131" s="2" t="s">
        <v>416</v>
      </c>
      <c r="N1131" s="2"/>
      <c r="O1131" s="109"/>
      <c r="P1131" s="109"/>
      <c r="Q1131" s="109"/>
    </row>
    <row r="1132" spans="2:17" x14ac:dyDescent="0.25">
      <c r="B1132" s="114">
        <v>9</v>
      </c>
      <c r="C1132" s="114">
        <v>14</v>
      </c>
      <c r="D1132" s="114">
        <v>84</v>
      </c>
      <c r="E1132" s="154" cm="1">
        <f t="array" ref="E1132">IF(ISBLANK(MainData[[#This Row],[EventID]]),0,IFERROR(INDEX(MainData[],MATCH(MainData[[#This Row],[EventID]],IF(MainData[Product]="Date",MainData[EventID],0),0),12),0))</f>
        <v>44605</v>
      </c>
      <c r="F1132" s="155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2" s="155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2" s="2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2" s="157" t="s">
        <v>84</v>
      </c>
      <c r="J1132" t="s">
        <v>187</v>
      </c>
      <c r="K1132" s="2" t="s">
        <v>157</v>
      </c>
      <c r="L1132" s="2" t="s">
        <v>0</v>
      </c>
      <c r="M1132" s="158">
        <v>44605</v>
      </c>
      <c r="N1132" s="2"/>
      <c r="O1132" s="109"/>
      <c r="P1132" s="109"/>
      <c r="Q1132" s="109"/>
    </row>
    <row r="1133" spans="2:17" x14ac:dyDescent="0.25">
      <c r="B1133" s="114">
        <v>9</v>
      </c>
      <c r="C1133" s="114">
        <v>14</v>
      </c>
      <c r="D1133" s="114">
        <v>84</v>
      </c>
      <c r="E1133" s="154" cm="1">
        <f t="array" ref="E1133">IF(ISBLANK(MainData[[#This Row],[EventID]]),0,IFERROR(INDEX(MainData[],MATCH(MainData[[#This Row],[EventID]],IF(MainData[Product]="Date",MainData[EventID],0),0),12),0))</f>
        <v>44605</v>
      </c>
      <c r="F1133" s="155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3" s="155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3" s="2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3" s="157" t="s">
        <v>84</v>
      </c>
      <c r="J1133" t="s">
        <v>187</v>
      </c>
      <c r="K1133" s="2" t="s">
        <v>157</v>
      </c>
      <c r="L1133" s="2" t="s">
        <v>82</v>
      </c>
      <c r="M1133" s="2">
        <v>662636</v>
      </c>
      <c r="N1133" s="2"/>
      <c r="O1133" s="109"/>
      <c r="P1133" s="109"/>
      <c r="Q1133" s="109"/>
    </row>
    <row r="1134" spans="2:17" x14ac:dyDescent="0.25">
      <c r="B1134" s="114">
        <v>9</v>
      </c>
      <c r="C1134" s="114">
        <v>14</v>
      </c>
      <c r="D1134" s="114">
        <v>84</v>
      </c>
      <c r="E1134" s="154" cm="1">
        <f t="array" ref="E1134">IF(ISBLANK(MainData[[#This Row],[EventID]]),0,IFERROR(INDEX(MainData[],MATCH(MainData[[#This Row],[EventID]],IF(MainData[Product]="Date",MainData[EventID],0),0),12),0))</f>
        <v>44605</v>
      </c>
      <c r="F1134" s="155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4" s="155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2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4" s="157" t="s">
        <v>84</v>
      </c>
      <c r="J1134" t="s">
        <v>187</v>
      </c>
      <c r="K1134" s="2" t="s">
        <v>157</v>
      </c>
      <c r="L1134" s="2" t="s">
        <v>175</v>
      </c>
      <c r="M1134" s="2" t="s">
        <v>455</v>
      </c>
      <c r="N1134" s="2"/>
      <c r="O1134" s="109"/>
      <c r="P1134" s="109"/>
      <c r="Q1134" s="109"/>
    </row>
    <row r="1135" spans="2:17" x14ac:dyDescent="0.25">
      <c r="B1135" s="114">
        <v>9</v>
      </c>
      <c r="C1135" s="114">
        <v>14</v>
      </c>
      <c r="D1135" s="114">
        <v>84</v>
      </c>
      <c r="E1135" s="154" cm="1">
        <f t="array" ref="E1135">IF(ISBLANK(MainData[[#This Row],[EventID]]),0,IFERROR(INDEX(MainData[],MATCH(MainData[[#This Row],[EventID]],IF(MainData[Product]="Date",MainData[EventID],0),0),12),0))</f>
        <v>44605</v>
      </c>
      <c r="F1135" s="155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5" s="155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2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5" s="157" t="s">
        <v>84</v>
      </c>
      <c r="J1135" t="s">
        <v>187</v>
      </c>
      <c r="K1135" s="2" t="s">
        <v>157</v>
      </c>
      <c r="L1135" s="2" t="s">
        <v>20</v>
      </c>
      <c r="M1135" s="2" t="s">
        <v>352</v>
      </c>
      <c r="N1135" s="2"/>
      <c r="O1135" s="109"/>
      <c r="P1135" s="109"/>
      <c r="Q1135" s="109"/>
    </row>
    <row r="1136" spans="2:17" x14ac:dyDescent="0.25">
      <c r="B1136" s="114">
        <v>9</v>
      </c>
      <c r="C1136" s="114">
        <v>14</v>
      </c>
      <c r="D1136" s="114">
        <v>84</v>
      </c>
      <c r="E1136" s="154" cm="1">
        <f t="array" ref="E1136">IF(ISBLANK(MainData[[#This Row],[EventID]]),0,IFERROR(INDEX(MainData[],MATCH(MainData[[#This Row],[EventID]],IF(MainData[Product]="Date",MainData[EventID],0),0),12),0))</f>
        <v>44605</v>
      </c>
      <c r="F1136" s="155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6" s="155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2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6" s="157" t="s">
        <v>84</v>
      </c>
      <c r="J1136" t="s">
        <v>187</v>
      </c>
      <c r="K1136" s="2" t="s">
        <v>157</v>
      </c>
      <c r="L1136" s="2" t="s">
        <v>138</v>
      </c>
      <c r="M1136" s="2">
        <v>60</v>
      </c>
      <c r="N1136" s="2"/>
      <c r="O1136" s="109"/>
      <c r="P1136" s="109"/>
      <c r="Q1136" s="109"/>
    </row>
    <row r="1137" spans="2:17" x14ac:dyDescent="0.25">
      <c r="B1137" s="114">
        <v>9</v>
      </c>
      <c r="C1137" s="114">
        <v>14</v>
      </c>
      <c r="D1137" s="114">
        <v>84</v>
      </c>
      <c r="E1137" s="154" cm="1">
        <f t="array" ref="E1137">IF(ISBLANK(MainData[[#This Row],[EventID]]),0,IFERROR(INDEX(MainData[],MATCH(MainData[[#This Row],[EventID]],IF(MainData[Product]="Date",MainData[EventID],0),0),12),0))</f>
        <v>44605</v>
      </c>
      <c r="F1137" s="155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7" s="155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2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7" s="157" t="s">
        <v>84</v>
      </c>
      <c r="J1137" t="s">
        <v>187</v>
      </c>
      <c r="K1137" s="2" t="s">
        <v>157</v>
      </c>
      <c r="L1137" s="2" t="s">
        <v>86</v>
      </c>
      <c r="M1137" s="2">
        <v>2.5</v>
      </c>
      <c r="N1137" s="2"/>
      <c r="O1137" s="109"/>
      <c r="P1137" s="109"/>
      <c r="Q1137" s="109"/>
    </row>
    <row r="1138" spans="2:17" x14ac:dyDescent="0.25">
      <c r="B1138" s="114">
        <v>9</v>
      </c>
      <c r="C1138" s="114">
        <v>14</v>
      </c>
      <c r="D1138" s="114">
        <v>84</v>
      </c>
      <c r="E1138" s="154" cm="1">
        <f t="array" ref="E1138">IF(ISBLANK(MainData[[#This Row],[EventID]]),0,IFERROR(INDEX(MainData[],MATCH(MainData[[#This Row],[EventID]],IF(MainData[Product]="Date",MainData[EventID],0),0),12),0))</f>
        <v>44605</v>
      </c>
      <c r="F1138" s="155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8" s="155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2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8" s="157" t="s">
        <v>84</v>
      </c>
      <c r="J1138" t="s">
        <v>187</v>
      </c>
      <c r="K1138" s="2" t="s">
        <v>157</v>
      </c>
      <c r="L1138" s="2" t="s">
        <v>118</v>
      </c>
      <c r="M1138" s="2" t="s">
        <v>505</v>
      </c>
      <c r="N1138" s="2"/>
      <c r="O1138" s="109"/>
      <c r="P1138" s="109"/>
      <c r="Q1138" s="109"/>
    </row>
    <row r="1139" spans="2:17" x14ac:dyDescent="0.25">
      <c r="B1139" s="114">
        <v>9</v>
      </c>
      <c r="C1139" s="114">
        <v>14</v>
      </c>
      <c r="D1139" s="114">
        <v>84</v>
      </c>
      <c r="E1139" s="154" cm="1">
        <f t="array" ref="E1139">IF(ISBLANK(MainData[[#This Row],[EventID]]),0,IFERROR(INDEX(MainData[],MATCH(MainData[[#This Row],[EventID]],IF(MainData[Product]="Date",MainData[EventID],0),0),12),0))</f>
        <v>44605</v>
      </c>
      <c r="F1139" s="155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9" s="155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2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9" s="157" t="s">
        <v>84</v>
      </c>
      <c r="J1139" t="s">
        <v>187</v>
      </c>
      <c r="K1139" s="2" t="s">
        <v>157</v>
      </c>
      <c r="L1139" s="2" t="s">
        <v>165</v>
      </c>
      <c r="M1139" s="2" t="s">
        <v>401</v>
      </c>
      <c r="N1139" s="2"/>
      <c r="O1139" s="109"/>
      <c r="P1139" s="109"/>
      <c r="Q1139" s="109"/>
    </row>
    <row r="1140" spans="2:17" x14ac:dyDescent="0.25">
      <c r="B1140" s="114">
        <v>9</v>
      </c>
      <c r="C1140" s="114">
        <v>14</v>
      </c>
      <c r="D1140" s="114">
        <v>84</v>
      </c>
      <c r="E1140" s="154" cm="1">
        <f t="array" ref="E1140">IF(ISBLANK(MainData[[#This Row],[EventID]]),0,IFERROR(INDEX(MainData[],MATCH(MainData[[#This Row],[EventID]],IF(MainData[Product]="Date",MainData[EventID],0),0),12),0))</f>
        <v>44605</v>
      </c>
      <c r="F1140" s="155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0" s="155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2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0" s="20" t="s">
        <v>85</v>
      </c>
      <c r="J1140" t="s">
        <v>20</v>
      </c>
      <c r="K1140" s="2" t="s">
        <v>116</v>
      </c>
      <c r="L1140" s="2" t="s">
        <v>88</v>
      </c>
      <c r="M1140" s="2" t="s">
        <v>189</v>
      </c>
      <c r="N1140" s="2" t="s">
        <v>233</v>
      </c>
      <c r="O1140" s="109">
        <v>1</v>
      </c>
      <c r="P1140" s="109"/>
      <c r="Q1140" s="109"/>
    </row>
    <row r="1141" spans="2:17" x14ac:dyDescent="0.25">
      <c r="B1141" s="114">
        <v>9</v>
      </c>
      <c r="C1141" s="114">
        <v>14</v>
      </c>
      <c r="D1141" s="114">
        <v>84</v>
      </c>
      <c r="E1141" s="154" cm="1">
        <f t="array" ref="E1141">IF(ISBLANK(MainData[[#This Row],[EventID]]),0,IFERROR(INDEX(MainData[],MATCH(MainData[[#This Row],[EventID]],IF(MainData[Product]="Date",MainData[EventID],0),0),12),0))</f>
        <v>44605</v>
      </c>
      <c r="F1141" s="155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1" s="155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2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1" s="20" t="s">
        <v>85</v>
      </c>
      <c r="J1141" t="s">
        <v>20</v>
      </c>
      <c r="K1141" s="2" t="s">
        <v>116</v>
      </c>
      <c r="L1141" s="2" t="s">
        <v>87</v>
      </c>
      <c r="M1141" s="2" t="s">
        <v>188</v>
      </c>
      <c r="N1141" s="2" t="s">
        <v>233</v>
      </c>
      <c r="O1141" s="109">
        <v>1</v>
      </c>
      <c r="P1141" s="109"/>
      <c r="Q1141" s="109">
        <v>100</v>
      </c>
    </row>
    <row r="1142" spans="2:17" x14ac:dyDescent="0.25">
      <c r="B1142" s="114">
        <v>9</v>
      </c>
      <c r="C1142" s="114">
        <v>14</v>
      </c>
      <c r="D1142" s="114">
        <v>84</v>
      </c>
      <c r="E1142" s="154" cm="1">
        <f t="array" ref="E1142">IF(ISBLANK(MainData[[#This Row],[EventID]]),0,IFERROR(INDEX(MainData[],MATCH(MainData[[#This Row],[EventID]],IF(MainData[Product]="Date",MainData[EventID],0),0),12),0))</f>
        <v>44605</v>
      </c>
      <c r="F1142" s="155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2" s="155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2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2" s="157" t="s">
        <v>85</v>
      </c>
      <c r="J1142" t="s">
        <v>20</v>
      </c>
      <c r="K1142" s="2" t="s">
        <v>29</v>
      </c>
      <c r="L1142" s="2" t="s">
        <v>35</v>
      </c>
      <c r="M1142" s="2" t="s">
        <v>382</v>
      </c>
      <c r="N1142" s="2" t="s">
        <v>234</v>
      </c>
      <c r="O1142" s="109">
        <v>1</v>
      </c>
      <c r="P1142" s="109">
        <v>32</v>
      </c>
      <c r="Q1142" s="109">
        <v>312</v>
      </c>
    </row>
    <row r="1143" spans="2:17" x14ac:dyDescent="0.25">
      <c r="B1143" s="114">
        <v>9</v>
      </c>
      <c r="C1143" s="114">
        <v>14</v>
      </c>
      <c r="D1143" s="114">
        <v>84</v>
      </c>
      <c r="E1143" s="154" cm="1">
        <f t="array" ref="E1143">IF(ISBLANK(MainData[[#This Row],[EventID]]),0,IFERROR(INDEX(MainData[],MATCH(MainData[[#This Row],[EventID]],IF(MainData[Product]="Date",MainData[EventID],0),0),12),0))</f>
        <v>44605</v>
      </c>
      <c r="F1143" s="155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3" s="155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2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3" s="20" t="s">
        <v>85</v>
      </c>
      <c r="J1143" t="s">
        <v>20</v>
      </c>
      <c r="K1143" s="2" t="s">
        <v>29</v>
      </c>
      <c r="L1143" s="2" t="s">
        <v>36</v>
      </c>
      <c r="M1143" s="2" t="s">
        <v>387</v>
      </c>
      <c r="N1143" s="2" t="s">
        <v>234</v>
      </c>
      <c r="O1143" s="109">
        <v>1</v>
      </c>
      <c r="P1143" s="109">
        <v>43.64</v>
      </c>
      <c r="Q1143" s="109">
        <v>782</v>
      </c>
    </row>
    <row r="1144" spans="2:17" x14ac:dyDescent="0.25">
      <c r="B1144" s="114">
        <v>9</v>
      </c>
      <c r="C1144" s="114">
        <v>14</v>
      </c>
      <c r="D1144" s="114">
        <v>84</v>
      </c>
      <c r="E1144" s="154" cm="1">
        <f t="array" ref="E1144">IF(ISBLANK(MainData[[#This Row],[EventID]]),0,IFERROR(INDEX(MainData[],MATCH(MainData[[#This Row],[EventID]],IF(MainData[Product]="Date",MainData[EventID],0),0),12),0))</f>
        <v>44605</v>
      </c>
      <c r="F1144" s="155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4" s="155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2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4" s="157" t="s">
        <v>85</v>
      </c>
      <c r="J1144" t="s">
        <v>20</v>
      </c>
      <c r="K1144" s="2" t="s">
        <v>29</v>
      </c>
      <c r="L1144" s="2" t="s">
        <v>65</v>
      </c>
      <c r="M1144" s="2" t="s">
        <v>383</v>
      </c>
      <c r="N1144" s="2" t="s">
        <v>234</v>
      </c>
      <c r="O1144" s="109">
        <v>1</v>
      </c>
      <c r="P1144" s="109">
        <v>4.5</v>
      </c>
      <c r="Q1144" s="109">
        <v>89</v>
      </c>
    </row>
    <row r="1145" spans="2:17" x14ac:dyDescent="0.25">
      <c r="B1145" s="114">
        <v>9</v>
      </c>
      <c r="C1145" s="114">
        <v>14</v>
      </c>
      <c r="D1145" s="114">
        <v>84</v>
      </c>
      <c r="E1145" s="154" cm="1">
        <f t="array" ref="E1145">IF(ISBLANK(MainData[[#This Row],[EventID]]),0,IFERROR(INDEX(MainData[],MATCH(MainData[[#This Row],[EventID]],IF(MainData[Product]="Date",MainData[EventID],0),0),12),0))</f>
        <v>44605</v>
      </c>
      <c r="F1145" s="155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5" s="155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2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5" s="157" t="s">
        <v>85</v>
      </c>
      <c r="J1145" t="s">
        <v>20</v>
      </c>
      <c r="K1145" s="2" t="s">
        <v>29</v>
      </c>
      <c r="L1145" s="2" t="s">
        <v>25</v>
      </c>
      <c r="M1145" s="2" t="s">
        <v>388</v>
      </c>
      <c r="N1145" s="2" t="s">
        <v>234</v>
      </c>
      <c r="O1145" s="109">
        <v>1</v>
      </c>
      <c r="P1145" s="109">
        <v>33</v>
      </c>
      <c r="Q1145" s="109">
        <v>365</v>
      </c>
    </row>
    <row r="1146" spans="2:17" x14ac:dyDescent="0.25">
      <c r="B1146" s="114">
        <v>35</v>
      </c>
      <c r="C1146" s="114">
        <v>91</v>
      </c>
      <c r="D1146" s="114">
        <v>85</v>
      </c>
      <c r="E1146" s="154" cm="1">
        <f t="array" ref="E1146">IF(ISBLANK(MainData[[#This Row],[EventID]]),0,IFERROR(INDEX(MainData[],MATCH(MainData[[#This Row],[EventID]],IF(MainData[Product]="Date",MainData[EventID],0),0),12),0))</f>
        <v>44606</v>
      </c>
      <c r="F1146" s="155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6" s="155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2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6" s="157" t="s">
        <v>84</v>
      </c>
      <c r="J1146" t="s">
        <v>187</v>
      </c>
      <c r="K1146" s="2" t="s">
        <v>157</v>
      </c>
      <c r="L1146" s="2" t="s">
        <v>81</v>
      </c>
      <c r="M1146" s="2">
        <v>1</v>
      </c>
      <c r="N1146" s="2"/>
      <c r="O1146" s="109"/>
      <c r="P1146" s="109"/>
      <c r="Q1146" s="109"/>
    </row>
    <row r="1147" spans="2:17" x14ac:dyDescent="0.25">
      <c r="B1147" s="114">
        <v>35</v>
      </c>
      <c r="C1147" s="114">
        <v>91</v>
      </c>
      <c r="D1147" s="114">
        <v>85</v>
      </c>
      <c r="E1147" s="154" cm="1">
        <f t="array" ref="E1147">IF(ISBLANK(MainData[[#This Row],[EventID]]),0,IFERROR(INDEX(MainData[],MATCH(MainData[[#This Row],[EventID]],IF(MainData[Product]="Date",MainData[EventID],0),0),12),0))</f>
        <v>44606</v>
      </c>
      <c r="F1147" s="155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7" s="155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2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7" s="157" t="s">
        <v>84</v>
      </c>
      <c r="J1147" t="s">
        <v>187</v>
      </c>
      <c r="K1147" s="2" t="s">
        <v>157</v>
      </c>
      <c r="L1147" s="2" t="s">
        <v>164</v>
      </c>
      <c r="M1147" s="2" t="s">
        <v>436</v>
      </c>
      <c r="N1147" s="2"/>
      <c r="O1147" s="109"/>
      <c r="P1147" s="109"/>
      <c r="Q1147" s="109"/>
    </row>
    <row r="1148" spans="2:17" x14ac:dyDescent="0.25">
      <c r="B1148" s="114">
        <v>35</v>
      </c>
      <c r="C1148" s="114">
        <v>91</v>
      </c>
      <c r="D1148" s="114">
        <v>85</v>
      </c>
      <c r="E1148" s="154" cm="1">
        <f t="array" ref="E1148">IF(ISBLANK(MainData[[#This Row],[EventID]]),0,IFERROR(INDEX(MainData[],MATCH(MainData[[#This Row],[EventID]],IF(MainData[Product]="Date",MainData[EventID],0),0),12),0))</f>
        <v>44606</v>
      </c>
      <c r="F1148" s="155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8" s="155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2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8" s="157" t="s">
        <v>84</v>
      </c>
      <c r="J1148" t="s">
        <v>187</v>
      </c>
      <c r="K1148" s="2" t="s">
        <v>157</v>
      </c>
      <c r="L1148" s="2" t="s">
        <v>0</v>
      </c>
      <c r="M1148" s="158">
        <v>44606</v>
      </c>
      <c r="N1148" s="2"/>
      <c r="O1148" s="109"/>
      <c r="P1148" s="109"/>
      <c r="Q1148" s="109"/>
    </row>
    <row r="1149" spans="2:17" x14ac:dyDescent="0.25">
      <c r="B1149" s="114">
        <v>35</v>
      </c>
      <c r="C1149" s="114">
        <v>91</v>
      </c>
      <c r="D1149" s="114">
        <v>85</v>
      </c>
      <c r="E1149" s="154" cm="1">
        <f t="array" ref="E1149">IF(ISBLANK(MainData[[#This Row],[EventID]]),0,IFERROR(INDEX(MainData[],MATCH(MainData[[#This Row],[EventID]],IF(MainData[Product]="Date",MainData[EventID],0),0),12),0))</f>
        <v>44606</v>
      </c>
      <c r="F1149" s="155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9" s="155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2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9" s="157" t="s">
        <v>84</v>
      </c>
      <c r="J1149" t="s">
        <v>187</v>
      </c>
      <c r="K1149" s="2" t="s">
        <v>157</v>
      </c>
      <c r="L1149" s="2" t="s">
        <v>82</v>
      </c>
      <c r="M1149" s="2">
        <v>848053</v>
      </c>
      <c r="N1149" s="2"/>
      <c r="O1149" s="109"/>
      <c r="P1149" s="109"/>
      <c r="Q1149" s="109"/>
    </row>
    <row r="1150" spans="2:17" x14ac:dyDescent="0.25">
      <c r="B1150" s="114">
        <v>35</v>
      </c>
      <c r="C1150" s="114">
        <v>91</v>
      </c>
      <c r="D1150" s="114">
        <v>85</v>
      </c>
      <c r="E1150" s="154" cm="1">
        <f t="array" ref="E1150">IF(ISBLANK(MainData[[#This Row],[EventID]]),0,IFERROR(INDEX(MainData[],MATCH(MainData[[#This Row],[EventID]],IF(MainData[Product]="Date",MainData[EventID],0),0),12),0))</f>
        <v>44606</v>
      </c>
      <c r="F1150" s="155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0" s="155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2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0" s="157" t="s">
        <v>84</v>
      </c>
      <c r="J1150" t="s">
        <v>187</v>
      </c>
      <c r="K1150" s="2" t="s">
        <v>157</v>
      </c>
      <c r="L1150" s="2" t="s">
        <v>175</v>
      </c>
      <c r="M1150" s="2" t="s">
        <v>477</v>
      </c>
      <c r="N1150" s="2"/>
      <c r="O1150" s="109"/>
      <c r="P1150" s="109"/>
      <c r="Q1150" s="109"/>
    </row>
    <row r="1151" spans="2:17" x14ac:dyDescent="0.25">
      <c r="B1151" s="114">
        <v>35</v>
      </c>
      <c r="C1151" s="114">
        <v>91</v>
      </c>
      <c r="D1151" s="114">
        <v>85</v>
      </c>
      <c r="E1151" s="154" cm="1">
        <f t="array" ref="E1151">IF(ISBLANK(MainData[[#This Row],[EventID]]),0,IFERROR(INDEX(MainData[],MATCH(MainData[[#This Row],[EventID]],IF(MainData[Product]="Date",MainData[EventID],0),0),12),0))</f>
        <v>44606</v>
      </c>
      <c r="F1151" s="155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1" s="155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2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1" s="157" t="s">
        <v>84</v>
      </c>
      <c r="J1151" t="s">
        <v>187</v>
      </c>
      <c r="K1151" s="2" t="s">
        <v>157</v>
      </c>
      <c r="L1151" s="2" t="s">
        <v>20</v>
      </c>
      <c r="M1151" s="2" t="s">
        <v>351</v>
      </c>
      <c r="N1151" s="2"/>
      <c r="O1151" s="109"/>
      <c r="P1151" s="109"/>
      <c r="Q1151" s="109"/>
    </row>
    <row r="1152" spans="2:17" x14ac:dyDescent="0.25">
      <c r="B1152" s="114">
        <v>35</v>
      </c>
      <c r="C1152" s="114">
        <v>91</v>
      </c>
      <c r="D1152" s="114">
        <v>85</v>
      </c>
      <c r="E1152" s="154" cm="1">
        <f t="array" ref="E1152">IF(ISBLANK(MainData[[#This Row],[EventID]]),0,IFERROR(INDEX(MainData[],MATCH(MainData[[#This Row],[EventID]],IF(MainData[Product]="Date",MainData[EventID],0),0),12),0))</f>
        <v>44606</v>
      </c>
      <c r="F1152" s="155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2" s="155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2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2" s="157" t="s">
        <v>84</v>
      </c>
      <c r="J1152" t="s">
        <v>187</v>
      </c>
      <c r="K1152" s="2" t="s">
        <v>157</v>
      </c>
      <c r="L1152" s="2" t="s">
        <v>138</v>
      </c>
      <c r="M1152" s="2">
        <v>21</v>
      </c>
      <c r="N1152" s="2"/>
      <c r="O1152" s="109"/>
      <c r="P1152" s="109"/>
      <c r="Q1152" s="109"/>
    </row>
    <row r="1153" spans="2:17" x14ac:dyDescent="0.25">
      <c r="B1153" s="114">
        <v>35</v>
      </c>
      <c r="C1153" s="114">
        <v>91</v>
      </c>
      <c r="D1153" s="114">
        <v>85</v>
      </c>
      <c r="E1153" s="154" cm="1">
        <f t="array" ref="E1153">IF(ISBLANK(MainData[[#This Row],[EventID]]),0,IFERROR(INDEX(MainData[],MATCH(MainData[[#This Row],[EventID]],IF(MainData[Product]="Date",MainData[EventID],0),0),12),0))</f>
        <v>44606</v>
      </c>
      <c r="F1153" s="155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3" s="155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2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3" s="157" t="s">
        <v>84</v>
      </c>
      <c r="J1153" t="s">
        <v>187</v>
      </c>
      <c r="K1153" s="2" t="s">
        <v>157</v>
      </c>
      <c r="L1153" s="2" t="s">
        <v>86</v>
      </c>
      <c r="M1153" s="2">
        <v>1</v>
      </c>
      <c r="N1153" s="2"/>
      <c r="O1153" s="109"/>
      <c r="P1153" s="109"/>
      <c r="Q1153" s="109"/>
    </row>
    <row r="1154" spans="2:17" x14ac:dyDescent="0.25">
      <c r="B1154" s="114">
        <v>35</v>
      </c>
      <c r="C1154" s="114">
        <v>91</v>
      </c>
      <c r="D1154" s="114">
        <v>85</v>
      </c>
      <c r="E1154" s="154" cm="1">
        <f t="array" ref="E1154">IF(ISBLANK(MainData[[#This Row],[EventID]]),0,IFERROR(INDEX(MainData[],MATCH(MainData[[#This Row],[EventID]],IF(MainData[Product]="Date",MainData[EventID],0),0),12),0))</f>
        <v>44606</v>
      </c>
      <c r="F1154" s="155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4" s="155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2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4" s="157" t="s">
        <v>84</v>
      </c>
      <c r="J1154" t="s">
        <v>187</v>
      </c>
      <c r="K1154" s="2" t="s">
        <v>157</v>
      </c>
      <c r="L1154" s="2" t="s">
        <v>118</v>
      </c>
      <c r="M1154" s="2" t="s">
        <v>469</v>
      </c>
      <c r="N1154" s="2"/>
      <c r="O1154" s="109"/>
      <c r="P1154" s="109"/>
      <c r="Q1154" s="109"/>
    </row>
    <row r="1155" spans="2:17" x14ac:dyDescent="0.25">
      <c r="B1155" s="114">
        <v>35</v>
      </c>
      <c r="C1155" s="114">
        <v>91</v>
      </c>
      <c r="D1155" s="114">
        <v>85</v>
      </c>
      <c r="E1155" s="154" cm="1">
        <f t="array" ref="E1155">IF(ISBLANK(MainData[[#This Row],[EventID]]),0,IFERROR(INDEX(MainData[],MATCH(MainData[[#This Row],[EventID]],IF(MainData[Product]="Date",MainData[EventID],0),0),12),0))</f>
        <v>44606</v>
      </c>
      <c r="F1155" s="155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5" s="155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2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5" s="157" t="s">
        <v>84</v>
      </c>
      <c r="J1155" t="s">
        <v>187</v>
      </c>
      <c r="K1155" s="2" t="s">
        <v>157</v>
      </c>
      <c r="L1155" s="2" t="s">
        <v>165</v>
      </c>
      <c r="M1155" s="2" t="s">
        <v>406</v>
      </c>
      <c r="N1155" s="2"/>
      <c r="O1155" s="109"/>
      <c r="P1155" s="109"/>
      <c r="Q1155" s="109"/>
    </row>
    <row r="1156" spans="2:17" x14ac:dyDescent="0.25">
      <c r="B1156" s="114">
        <v>35</v>
      </c>
      <c r="C1156" s="114">
        <v>91</v>
      </c>
      <c r="D1156" s="114">
        <v>85</v>
      </c>
      <c r="E1156" s="154" cm="1">
        <f t="array" ref="E1156">IF(ISBLANK(MainData[[#This Row],[EventID]]),0,IFERROR(INDEX(MainData[],MATCH(MainData[[#This Row],[EventID]],IF(MainData[Product]="Date",MainData[EventID],0),0),12),0))</f>
        <v>44606</v>
      </c>
      <c r="F1156" s="155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6" s="155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2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6" s="20" t="s">
        <v>85</v>
      </c>
      <c r="J1156" t="s">
        <v>21</v>
      </c>
      <c r="K1156" s="2" t="s">
        <v>116</v>
      </c>
      <c r="L1156" s="2" t="s">
        <v>88</v>
      </c>
      <c r="M1156" s="2" t="s">
        <v>189</v>
      </c>
      <c r="N1156" s="2" t="s">
        <v>233</v>
      </c>
      <c r="O1156" s="109">
        <v>1</v>
      </c>
      <c r="P1156" s="109"/>
      <c r="Q1156" s="109"/>
    </row>
    <row r="1157" spans="2:17" x14ac:dyDescent="0.25">
      <c r="B1157" s="114">
        <v>35</v>
      </c>
      <c r="C1157" s="114">
        <v>91</v>
      </c>
      <c r="D1157" s="114">
        <v>85</v>
      </c>
      <c r="E1157" s="154" cm="1">
        <f t="array" ref="E1157">IF(ISBLANK(MainData[[#This Row],[EventID]]),0,IFERROR(INDEX(MainData[],MATCH(MainData[[#This Row],[EventID]],IF(MainData[Product]="Date",MainData[EventID],0),0),12),0))</f>
        <v>44606</v>
      </c>
      <c r="F1157" s="155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7" s="155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2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7" s="20" t="s">
        <v>85</v>
      </c>
      <c r="J1157" t="s">
        <v>21</v>
      </c>
      <c r="K1157" s="2" t="s">
        <v>116</v>
      </c>
      <c r="L1157" s="2" t="s">
        <v>87</v>
      </c>
      <c r="M1157" s="2" t="s">
        <v>188</v>
      </c>
      <c r="N1157" s="2" t="s">
        <v>233</v>
      </c>
      <c r="O1157" s="109">
        <v>1</v>
      </c>
      <c r="P1157" s="109"/>
      <c r="Q1157" s="109"/>
    </row>
    <row r="1158" spans="2:17" x14ac:dyDescent="0.25">
      <c r="B1158" s="114">
        <v>35</v>
      </c>
      <c r="C1158" s="114">
        <v>91</v>
      </c>
      <c r="D1158" s="114">
        <v>85</v>
      </c>
      <c r="E1158" s="154" cm="1">
        <f t="array" ref="E1158">IF(ISBLANK(MainData[[#This Row],[EventID]]),0,IFERROR(INDEX(MainData[],MATCH(MainData[[#This Row],[EventID]],IF(MainData[Product]="Date",MainData[EventID],0),0),12),0))</f>
        <v>44606</v>
      </c>
      <c r="F1158" s="155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8" s="155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2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8" s="20" t="s">
        <v>85</v>
      </c>
      <c r="J1158" t="s">
        <v>21</v>
      </c>
      <c r="K1158" s="2" t="s">
        <v>29</v>
      </c>
      <c r="L1158" s="2" t="s">
        <v>25</v>
      </c>
      <c r="M1158" s="2" t="s">
        <v>12</v>
      </c>
      <c r="N1158" s="2" t="s">
        <v>234</v>
      </c>
      <c r="O1158" s="109">
        <v>1</v>
      </c>
      <c r="P1158" s="109">
        <v>27</v>
      </c>
      <c r="Q1158" s="109">
        <v>100</v>
      </c>
    </row>
    <row r="1159" spans="2:17" x14ac:dyDescent="0.25">
      <c r="B1159" s="114">
        <v>40</v>
      </c>
      <c r="C1159" s="114">
        <v>100</v>
      </c>
      <c r="D1159" s="114">
        <v>86</v>
      </c>
      <c r="E1159" s="154" cm="1">
        <f t="array" ref="E1159">IF(ISBLANK(MainData[[#This Row],[EventID]]),0,IFERROR(INDEX(MainData[],MATCH(MainData[[#This Row],[EventID]],IF(MainData[Product]="Date",MainData[EventID],0),0),12),0))</f>
        <v>44607</v>
      </c>
      <c r="F1159" s="155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9" s="155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2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9" s="157" t="s">
        <v>84</v>
      </c>
      <c r="J1159" t="s">
        <v>187</v>
      </c>
      <c r="K1159" s="2" t="s">
        <v>157</v>
      </c>
      <c r="L1159" s="2" t="s">
        <v>81</v>
      </c>
      <c r="M1159" s="2">
        <v>1</v>
      </c>
      <c r="N1159" s="2"/>
      <c r="O1159" s="109"/>
      <c r="P1159" s="109"/>
      <c r="Q1159" s="109"/>
    </row>
    <row r="1160" spans="2:17" x14ac:dyDescent="0.25">
      <c r="B1160" s="114">
        <v>40</v>
      </c>
      <c r="C1160" s="114">
        <v>100</v>
      </c>
      <c r="D1160" s="114">
        <v>86</v>
      </c>
      <c r="E1160" s="154" cm="1">
        <f t="array" ref="E1160">IF(ISBLANK(MainData[[#This Row],[EventID]]),0,IFERROR(INDEX(MainData[],MATCH(MainData[[#This Row],[EventID]],IF(MainData[Product]="Date",MainData[EventID],0),0),12),0))</f>
        <v>44607</v>
      </c>
      <c r="F1160" s="155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0" s="155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2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0" s="157" t="s">
        <v>84</v>
      </c>
      <c r="J1160" t="s">
        <v>187</v>
      </c>
      <c r="K1160" s="2" t="s">
        <v>157</v>
      </c>
      <c r="L1160" s="2" t="s">
        <v>164</v>
      </c>
      <c r="M1160" s="2" t="s">
        <v>440</v>
      </c>
      <c r="N1160" s="2"/>
      <c r="O1160" s="109"/>
      <c r="P1160" s="109"/>
      <c r="Q1160" s="109"/>
    </row>
    <row r="1161" spans="2:17" x14ac:dyDescent="0.25">
      <c r="B1161" s="114">
        <v>40</v>
      </c>
      <c r="C1161" s="114">
        <v>100</v>
      </c>
      <c r="D1161" s="114">
        <v>86</v>
      </c>
      <c r="E1161" s="154" cm="1">
        <f t="array" ref="E1161">IF(ISBLANK(MainData[[#This Row],[EventID]]),0,IFERROR(INDEX(MainData[],MATCH(MainData[[#This Row],[EventID]],IF(MainData[Product]="Date",MainData[EventID],0),0),12),0))</f>
        <v>44607</v>
      </c>
      <c r="F1161" s="155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1" s="155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1" s="2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1" s="157" t="s">
        <v>84</v>
      </c>
      <c r="J1161" t="s">
        <v>187</v>
      </c>
      <c r="K1161" s="2" t="s">
        <v>157</v>
      </c>
      <c r="L1161" s="2" t="s">
        <v>0</v>
      </c>
      <c r="M1161" s="158">
        <v>44607</v>
      </c>
      <c r="N1161" s="2"/>
      <c r="O1161" s="109"/>
      <c r="P1161" s="109"/>
      <c r="Q1161" s="109"/>
    </row>
    <row r="1162" spans="2:17" x14ac:dyDescent="0.25">
      <c r="B1162" s="114">
        <v>40</v>
      </c>
      <c r="C1162" s="114">
        <v>100</v>
      </c>
      <c r="D1162" s="114">
        <v>86</v>
      </c>
      <c r="E1162" s="154" cm="1">
        <f t="array" ref="E1162">IF(ISBLANK(MainData[[#This Row],[EventID]]),0,IFERROR(INDEX(MainData[],MATCH(MainData[[#This Row],[EventID]],IF(MainData[Product]="Date",MainData[EventID],0),0),12),0))</f>
        <v>44607</v>
      </c>
      <c r="F1162" s="155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2" s="155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2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2" s="157" t="s">
        <v>84</v>
      </c>
      <c r="J1162" t="s">
        <v>187</v>
      </c>
      <c r="K1162" s="2" t="s">
        <v>157</v>
      </c>
      <c r="L1162" s="2" t="s">
        <v>82</v>
      </c>
      <c r="M1162" s="2">
        <v>771840</v>
      </c>
      <c r="N1162" s="2"/>
      <c r="O1162" s="109"/>
      <c r="P1162" s="109"/>
      <c r="Q1162" s="109"/>
    </row>
    <row r="1163" spans="2:17" x14ac:dyDescent="0.25">
      <c r="B1163" s="114">
        <v>40</v>
      </c>
      <c r="C1163" s="114">
        <v>100</v>
      </c>
      <c r="D1163" s="114">
        <v>86</v>
      </c>
      <c r="E1163" s="154" cm="1">
        <f t="array" ref="E1163">IF(ISBLANK(MainData[[#This Row],[EventID]]),0,IFERROR(INDEX(MainData[],MATCH(MainData[[#This Row],[EventID]],IF(MainData[Product]="Date",MainData[EventID],0),0),12),0))</f>
        <v>44607</v>
      </c>
      <c r="F1163" s="155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3" s="155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2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3" s="157" t="s">
        <v>84</v>
      </c>
      <c r="J1163" t="s">
        <v>187</v>
      </c>
      <c r="K1163" s="2" t="s">
        <v>157</v>
      </c>
      <c r="L1163" s="2" t="s">
        <v>175</v>
      </c>
      <c r="M1163" s="2" t="s">
        <v>457</v>
      </c>
      <c r="N1163" s="2"/>
      <c r="O1163" s="109"/>
      <c r="P1163" s="109"/>
      <c r="Q1163" s="109"/>
    </row>
    <row r="1164" spans="2:17" x14ac:dyDescent="0.25">
      <c r="B1164" s="114">
        <v>40</v>
      </c>
      <c r="C1164" s="114">
        <v>100</v>
      </c>
      <c r="D1164" s="114">
        <v>86</v>
      </c>
      <c r="E1164" s="154" cm="1">
        <f t="array" ref="E1164">IF(ISBLANK(MainData[[#This Row],[EventID]]),0,IFERROR(INDEX(MainData[],MATCH(MainData[[#This Row],[EventID]],IF(MainData[Product]="Date",MainData[EventID],0),0),12),0))</f>
        <v>44607</v>
      </c>
      <c r="F1164" s="155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4" s="155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2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4" s="157" t="s">
        <v>84</v>
      </c>
      <c r="J1164" t="s">
        <v>187</v>
      </c>
      <c r="K1164" s="2" t="s">
        <v>157</v>
      </c>
      <c r="L1164" s="2" t="s">
        <v>20</v>
      </c>
      <c r="M1164" s="2" t="s">
        <v>366</v>
      </c>
      <c r="N1164" s="2"/>
      <c r="O1164" s="109"/>
      <c r="P1164" s="109"/>
      <c r="Q1164" s="109"/>
    </row>
    <row r="1165" spans="2:17" x14ac:dyDescent="0.25">
      <c r="B1165" s="114">
        <v>40</v>
      </c>
      <c r="C1165" s="114">
        <v>100</v>
      </c>
      <c r="D1165" s="114">
        <v>86</v>
      </c>
      <c r="E1165" s="154" cm="1">
        <f t="array" ref="E1165">IF(ISBLANK(MainData[[#This Row],[EventID]]),0,IFERROR(INDEX(MainData[],MATCH(MainData[[#This Row],[EventID]],IF(MainData[Product]="Date",MainData[EventID],0),0),12),0))</f>
        <v>44607</v>
      </c>
      <c r="F1165" s="155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5" s="155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2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5" s="157" t="s">
        <v>84</v>
      </c>
      <c r="J1165" t="s">
        <v>187</v>
      </c>
      <c r="K1165" s="2" t="s">
        <v>157</v>
      </c>
      <c r="L1165" s="2" t="s">
        <v>138</v>
      </c>
      <c r="M1165" s="2">
        <v>45</v>
      </c>
      <c r="N1165" s="2"/>
      <c r="O1165" s="109"/>
      <c r="P1165" s="109"/>
      <c r="Q1165" s="109"/>
    </row>
    <row r="1166" spans="2:17" x14ac:dyDescent="0.25">
      <c r="B1166" s="114">
        <v>40</v>
      </c>
      <c r="C1166" s="114">
        <v>100</v>
      </c>
      <c r="D1166" s="114">
        <v>86</v>
      </c>
      <c r="E1166" s="154" cm="1">
        <f t="array" ref="E1166">IF(ISBLANK(MainData[[#This Row],[EventID]]),0,IFERROR(INDEX(MainData[],MATCH(MainData[[#This Row],[EventID]],IF(MainData[Product]="Date",MainData[EventID],0),0),12),0))</f>
        <v>44607</v>
      </c>
      <c r="F1166" s="155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6" s="155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6" s="2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6" s="157" t="s">
        <v>84</v>
      </c>
      <c r="J1166" t="s">
        <v>187</v>
      </c>
      <c r="K1166" s="2" t="s">
        <v>157</v>
      </c>
      <c r="L1166" s="2" t="s">
        <v>86</v>
      </c>
      <c r="M1166" s="2">
        <v>3.5</v>
      </c>
      <c r="N1166" s="2"/>
      <c r="O1166" s="109"/>
      <c r="P1166" s="109"/>
      <c r="Q1166" s="109"/>
    </row>
    <row r="1167" spans="2:17" x14ac:dyDescent="0.25">
      <c r="B1167" s="114">
        <v>40</v>
      </c>
      <c r="C1167" s="114">
        <v>100</v>
      </c>
      <c r="D1167" s="114">
        <v>86</v>
      </c>
      <c r="E1167" s="154" cm="1">
        <f t="array" ref="E1167">IF(ISBLANK(MainData[[#This Row],[EventID]]),0,IFERROR(INDEX(MainData[],MATCH(MainData[[#This Row],[EventID]],IF(MainData[Product]="Date",MainData[EventID],0),0),12),0))</f>
        <v>44607</v>
      </c>
      <c r="F1167" s="155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7" s="155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7" s="2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7" s="157" t="s">
        <v>84</v>
      </c>
      <c r="J1167" t="s">
        <v>187</v>
      </c>
      <c r="K1167" s="2" t="s">
        <v>157</v>
      </c>
      <c r="L1167" s="2" t="s">
        <v>118</v>
      </c>
      <c r="M1167" s="2" t="s">
        <v>458</v>
      </c>
      <c r="N1167" s="2"/>
      <c r="O1167" s="109"/>
      <c r="P1167" s="109"/>
      <c r="Q1167" s="109"/>
    </row>
    <row r="1168" spans="2:17" x14ac:dyDescent="0.25">
      <c r="B1168" s="114">
        <v>40</v>
      </c>
      <c r="C1168" s="114">
        <v>100</v>
      </c>
      <c r="D1168" s="114">
        <v>86</v>
      </c>
      <c r="E1168" s="154" cm="1">
        <f t="array" ref="E1168">IF(ISBLANK(MainData[[#This Row],[EventID]]),0,IFERROR(INDEX(MainData[],MATCH(MainData[[#This Row],[EventID]],IF(MainData[Product]="Date",MainData[EventID],0),0),12),0))</f>
        <v>44607</v>
      </c>
      <c r="F1168" s="155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8" s="155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8" s="2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8" s="157" t="s">
        <v>84</v>
      </c>
      <c r="J1168" t="s">
        <v>187</v>
      </c>
      <c r="K1168" s="2" t="s">
        <v>157</v>
      </c>
      <c r="L1168" s="2" t="s">
        <v>165</v>
      </c>
      <c r="M1168" s="2" t="s">
        <v>414</v>
      </c>
      <c r="N1168" s="2"/>
      <c r="O1168" s="109"/>
      <c r="P1168" s="109"/>
      <c r="Q1168" s="109"/>
    </row>
    <row r="1169" spans="2:17" x14ac:dyDescent="0.25">
      <c r="B1169" s="114">
        <v>40</v>
      </c>
      <c r="C1169" s="114">
        <v>100</v>
      </c>
      <c r="D1169" s="114">
        <v>86</v>
      </c>
      <c r="E1169" s="154" cm="1">
        <f t="array" ref="E1169">IF(ISBLANK(MainData[[#This Row],[EventID]]),0,IFERROR(INDEX(MainData[],MATCH(MainData[[#This Row],[EventID]],IF(MainData[Product]="Date",MainData[EventID],0),0),12),0))</f>
        <v>44607</v>
      </c>
      <c r="F1169" s="155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9" s="155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9" s="2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9" s="157" t="s">
        <v>84</v>
      </c>
      <c r="J1169" t="s">
        <v>187</v>
      </c>
      <c r="K1169" s="2" t="s">
        <v>157</v>
      </c>
      <c r="L1169" s="2" t="s">
        <v>232</v>
      </c>
      <c r="M1169" s="2" t="s">
        <v>85</v>
      </c>
      <c r="N1169" s="2"/>
      <c r="O1169" s="109"/>
      <c r="P1169" s="109"/>
      <c r="Q1169" s="109"/>
    </row>
    <row r="1170" spans="2:17" x14ac:dyDescent="0.25">
      <c r="B1170" s="114">
        <v>40</v>
      </c>
      <c r="C1170" s="114">
        <v>100</v>
      </c>
      <c r="D1170" s="114">
        <v>86</v>
      </c>
      <c r="E1170" s="154" cm="1">
        <f t="array" ref="E1170">IF(ISBLANK(MainData[[#This Row],[EventID]]),0,IFERROR(INDEX(MainData[],MATCH(MainData[[#This Row],[EventID]],IF(MainData[Product]="Date",MainData[EventID],0),0),12),0))</f>
        <v>44607</v>
      </c>
      <c r="F1170" s="155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0" s="155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2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0" s="20" t="s">
        <v>85</v>
      </c>
      <c r="J1170" t="s">
        <v>20</v>
      </c>
      <c r="K1170" s="2" t="s">
        <v>116</v>
      </c>
      <c r="L1170" s="2" t="s">
        <v>88</v>
      </c>
      <c r="M1170" s="2" t="s">
        <v>189</v>
      </c>
      <c r="N1170" s="2" t="s">
        <v>233</v>
      </c>
      <c r="O1170" s="109">
        <v>1</v>
      </c>
      <c r="P1170" s="109"/>
      <c r="Q1170" s="109"/>
    </row>
    <row r="1171" spans="2:17" x14ac:dyDescent="0.25">
      <c r="B1171" s="114">
        <v>40</v>
      </c>
      <c r="C1171" s="114">
        <v>100</v>
      </c>
      <c r="D1171" s="114">
        <v>86</v>
      </c>
      <c r="E1171" s="154" cm="1">
        <f t="array" ref="E1171">IF(ISBLANK(MainData[[#This Row],[EventID]]),0,IFERROR(INDEX(MainData[],MATCH(MainData[[#This Row],[EventID]],IF(MainData[Product]="Date",MainData[EventID],0),0),12),0))</f>
        <v>44607</v>
      </c>
      <c r="F1171" s="155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1" s="155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2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1" s="20" t="s">
        <v>85</v>
      </c>
      <c r="J1171" t="s">
        <v>20</v>
      </c>
      <c r="K1171" s="2" t="s">
        <v>116</v>
      </c>
      <c r="L1171" s="2" t="s">
        <v>87</v>
      </c>
      <c r="M1171" s="2" t="s">
        <v>188</v>
      </c>
      <c r="N1171" s="2" t="s">
        <v>233</v>
      </c>
      <c r="O1171" s="109">
        <v>1</v>
      </c>
      <c r="P1171" s="109"/>
      <c r="Q1171" s="109">
        <v>100</v>
      </c>
    </row>
    <row r="1172" spans="2:17" x14ac:dyDescent="0.25">
      <c r="B1172" s="114">
        <v>40</v>
      </c>
      <c r="C1172" s="114">
        <v>100</v>
      </c>
      <c r="D1172" s="114">
        <v>86</v>
      </c>
      <c r="E1172" s="154" cm="1">
        <f t="array" ref="E1172">IF(ISBLANK(MainData[[#This Row],[EventID]]),0,IFERROR(INDEX(MainData[],MATCH(MainData[[#This Row],[EventID]],IF(MainData[Product]="Date",MainData[EventID],0),0),12),0))</f>
        <v>44607</v>
      </c>
      <c r="F1172" s="155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2" s="155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2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2" s="157" t="s">
        <v>85</v>
      </c>
      <c r="J1172" t="s">
        <v>20</v>
      </c>
      <c r="K1172" s="2" t="s">
        <v>29</v>
      </c>
      <c r="L1172" s="2" t="s">
        <v>35</v>
      </c>
      <c r="M1172" s="2" t="s">
        <v>382</v>
      </c>
      <c r="N1172" s="2" t="s">
        <v>236</v>
      </c>
      <c r="O1172" s="109">
        <v>1</v>
      </c>
      <c r="P1172" s="109">
        <v>60</v>
      </c>
      <c r="Q1172" s="109">
        <v>1100</v>
      </c>
    </row>
    <row r="1173" spans="2:17" x14ac:dyDescent="0.25">
      <c r="B1173" s="114">
        <v>40</v>
      </c>
      <c r="C1173" s="114">
        <v>100</v>
      </c>
      <c r="D1173" s="114">
        <v>86</v>
      </c>
      <c r="E1173" s="154" cm="1">
        <f t="array" ref="E1173">IF(ISBLANK(MainData[[#This Row],[EventID]]),0,IFERROR(INDEX(MainData[],MATCH(MainData[[#This Row],[EventID]],IF(MainData[Product]="Date",MainData[EventID],0),0),12),0))</f>
        <v>44607</v>
      </c>
      <c r="F1173" s="155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3" s="155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3" s="2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3" s="157" t="s">
        <v>85</v>
      </c>
      <c r="J1173" t="s">
        <v>20</v>
      </c>
      <c r="K1173" s="2" t="s">
        <v>29</v>
      </c>
      <c r="L1173" s="2" t="s">
        <v>65</v>
      </c>
      <c r="M1173" s="2" t="s">
        <v>383</v>
      </c>
      <c r="N1173" s="2" t="s">
        <v>236</v>
      </c>
      <c r="O1173" s="109">
        <v>1</v>
      </c>
      <c r="P1173" s="109">
        <v>23</v>
      </c>
      <c r="Q1173" s="109">
        <v>460</v>
      </c>
    </row>
    <row r="1174" spans="2:17" x14ac:dyDescent="0.25">
      <c r="B1174" s="114">
        <v>40</v>
      </c>
      <c r="C1174" s="114">
        <v>100</v>
      </c>
      <c r="D1174" s="114">
        <v>86</v>
      </c>
      <c r="E1174" s="154" cm="1">
        <f t="array" ref="E1174">IF(ISBLANK(MainData[[#This Row],[EventID]]),0,IFERROR(INDEX(MainData[],MATCH(MainData[[#This Row],[EventID]],IF(MainData[Product]="Date",MainData[EventID],0),0),12),0))</f>
        <v>44607</v>
      </c>
      <c r="F1174" s="155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4" s="155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2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4" s="20" t="s">
        <v>85</v>
      </c>
      <c r="J1174" t="s">
        <v>20</v>
      </c>
      <c r="K1174" s="2" t="s">
        <v>29</v>
      </c>
      <c r="L1174" s="2" t="s">
        <v>25</v>
      </c>
      <c r="M1174" s="2" t="s">
        <v>385</v>
      </c>
      <c r="N1174" s="2" t="s">
        <v>236</v>
      </c>
      <c r="O1174" s="109">
        <v>1</v>
      </c>
      <c r="P1174" s="109">
        <v>57.54</v>
      </c>
      <c r="Q1174" s="109">
        <v>1100</v>
      </c>
    </row>
    <row r="1175" spans="2:17" x14ac:dyDescent="0.25">
      <c r="B1175" s="114">
        <v>12</v>
      </c>
      <c r="C1175" s="114">
        <v>27</v>
      </c>
      <c r="D1175" s="114">
        <v>87</v>
      </c>
      <c r="E1175" s="154" cm="1">
        <f t="array" ref="E1175">IF(ISBLANK(MainData[[#This Row],[EventID]]),0,IFERROR(INDEX(MainData[],MATCH(MainData[[#This Row],[EventID]],IF(MainData[Product]="Date",MainData[EventID],0),0),12),0))</f>
        <v>44610</v>
      </c>
      <c r="F1175" s="155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5" s="155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2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5" s="157" t="s">
        <v>84</v>
      </c>
      <c r="J1175" t="s">
        <v>187</v>
      </c>
      <c r="K1175" s="2" t="s">
        <v>157</v>
      </c>
      <c r="L1175" s="2" t="s">
        <v>81</v>
      </c>
      <c r="M1175" s="2">
        <v>1</v>
      </c>
      <c r="N1175" s="2"/>
      <c r="O1175" s="109"/>
      <c r="P1175" s="109"/>
      <c r="Q1175" s="109"/>
    </row>
    <row r="1176" spans="2:17" x14ac:dyDescent="0.25">
      <c r="B1176" s="114">
        <v>12</v>
      </c>
      <c r="C1176" s="114">
        <v>27</v>
      </c>
      <c r="D1176" s="114">
        <v>87</v>
      </c>
      <c r="E1176" s="154" cm="1">
        <f t="array" ref="E1176">IF(ISBLANK(MainData[[#This Row],[EventID]]),0,IFERROR(INDEX(MainData[],MATCH(MainData[[#This Row],[EventID]],IF(MainData[Product]="Date",MainData[EventID],0),0),12),0))</f>
        <v>44610</v>
      </c>
      <c r="F1176" s="155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6" s="155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2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6" s="157" t="s">
        <v>84</v>
      </c>
      <c r="J1176" t="s">
        <v>187</v>
      </c>
      <c r="K1176" s="2" t="s">
        <v>157</v>
      </c>
      <c r="L1176" s="2" t="s">
        <v>0</v>
      </c>
      <c r="M1176" s="158">
        <v>44610</v>
      </c>
      <c r="N1176" s="2"/>
      <c r="O1176" s="109"/>
      <c r="P1176" s="109"/>
      <c r="Q1176" s="109"/>
    </row>
    <row r="1177" spans="2:17" x14ac:dyDescent="0.25">
      <c r="B1177" s="114">
        <v>12</v>
      </c>
      <c r="C1177" s="114">
        <v>27</v>
      </c>
      <c r="D1177" s="114">
        <v>87</v>
      </c>
      <c r="E1177" s="154" cm="1">
        <f t="array" ref="E1177">IF(ISBLANK(MainData[[#This Row],[EventID]]),0,IFERROR(INDEX(MainData[],MATCH(MainData[[#This Row],[EventID]],IF(MainData[Product]="Date",MainData[EventID],0),0),12),0))</f>
        <v>44610</v>
      </c>
      <c r="F1177" s="155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7" s="155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2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7" s="157" t="s">
        <v>84</v>
      </c>
      <c r="J1177" t="s">
        <v>187</v>
      </c>
      <c r="K1177" s="2" t="s">
        <v>157</v>
      </c>
      <c r="L1177" s="2" t="s">
        <v>82</v>
      </c>
      <c r="M1177" s="2">
        <v>877026</v>
      </c>
      <c r="N1177" s="2"/>
      <c r="O1177" s="109"/>
      <c r="P1177" s="109"/>
      <c r="Q1177" s="109"/>
    </row>
    <row r="1178" spans="2:17" x14ac:dyDescent="0.25">
      <c r="B1178" s="114">
        <v>12</v>
      </c>
      <c r="C1178" s="114">
        <v>27</v>
      </c>
      <c r="D1178" s="114">
        <v>87</v>
      </c>
      <c r="E1178" s="154" cm="1">
        <f t="array" ref="E1178">IF(ISBLANK(MainData[[#This Row],[EventID]]),0,IFERROR(INDEX(MainData[],MATCH(MainData[[#This Row],[EventID]],IF(MainData[Product]="Date",MainData[EventID],0),0),12),0))</f>
        <v>44610</v>
      </c>
      <c r="F1178" s="155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8" s="155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8" s="2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8" s="157" t="s">
        <v>84</v>
      </c>
      <c r="J1178" t="s">
        <v>187</v>
      </c>
      <c r="K1178" s="2" t="s">
        <v>157</v>
      </c>
      <c r="L1178" s="2" t="s">
        <v>175</v>
      </c>
      <c r="M1178" s="2" t="s">
        <v>457</v>
      </c>
      <c r="N1178" s="2"/>
      <c r="O1178" s="109"/>
      <c r="P1178" s="109"/>
      <c r="Q1178" s="109"/>
    </row>
    <row r="1179" spans="2:17" x14ac:dyDescent="0.25">
      <c r="B1179" s="114">
        <v>12</v>
      </c>
      <c r="C1179" s="114">
        <v>27</v>
      </c>
      <c r="D1179" s="114">
        <v>87</v>
      </c>
      <c r="E1179" s="154" cm="1">
        <f t="array" ref="E1179">IF(ISBLANK(MainData[[#This Row],[EventID]]),0,IFERROR(INDEX(MainData[],MATCH(MainData[[#This Row],[EventID]],IF(MainData[Product]="Date",MainData[EventID],0),0),12),0))</f>
        <v>44610</v>
      </c>
      <c r="F1179" s="155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9" s="155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9" s="2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9" s="157" t="s">
        <v>84</v>
      </c>
      <c r="J1179" t="s">
        <v>187</v>
      </c>
      <c r="K1179" s="2" t="s">
        <v>157</v>
      </c>
      <c r="L1179" s="2" t="s">
        <v>138</v>
      </c>
      <c r="M1179" s="2">
        <v>1105</v>
      </c>
      <c r="N1179" s="2"/>
      <c r="O1179" s="109"/>
      <c r="P1179" s="109"/>
      <c r="Q1179" s="109"/>
    </row>
    <row r="1180" spans="2:17" x14ac:dyDescent="0.25">
      <c r="B1180" s="114">
        <v>12</v>
      </c>
      <c r="C1180" s="114">
        <v>27</v>
      </c>
      <c r="D1180" s="114">
        <v>87</v>
      </c>
      <c r="E1180" s="154" cm="1">
        <f t="array" ref="E1180">IF(ISBLANK(MainData[[#This Row],[EventID]]),0,IFERROR(INDEX(MainData[],MATCH(MainData[[#This Row],[EventID]],IF(MainData[Product]="Date",MainData[EventID],0),0),12),0))</f>
        <v>44610</v>
      </c>
      <c r="F1180" s="155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0" s="155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0" s="2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0" s="157" t="s">
        <v>84</v>
      </c>
      <c r="J1180" t="s">
        <v>187</v>
      </c>
      <c r="K1180" s="2" t="s">
        <v>157</v>
      </c>
      <c r="L1180" s="2" t="s">
        <v>86</v>
      </c>
      <c r="M1180" s="2">
        <v>2.5</v>
      </c>
      <c r="N1180" s="2"/>
      <c r="O1180" s="109"/>
      <c r="P1180" s="109"/>
      <c r="Q1180" s="109"/>
    </row>
    <row r="1181" spans="2:17" x14ac:dyDescent="0.25">
      <c r="B1181" s="114">
        <v>12</v>
      </c>
      <c r="C1181" s="114">
        <v>27</v>
      </c>
      <c r="D1181" s="114">
        <v>87</v>
      </c>
      <c r="E1181" s="154" cm="1">
        <f t="array" ref="E1181">IF(ISBLANK(MainData[[#This Row],[EventID]]),0,IFERROR(INDEX(MainData[],MATCH(MainData[[#This Row],[EventID]],IF(MainData[Product]="Date",MainData[EventID],0),0),12),0))</f>
        <v>44610</v>
      </c>
      <c r="F1181" s="155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1" s="155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1" s="2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1" s="157" t="s">
        <v>84</v>
      </c>
      <c r="J1181" t="s">
        <v>187</v>
      </c>
      <c r="K1181" s="2" t="s">
        <v>157</v>
      </c>
      <c r="L1181" s="2" t="s">
        <v>118</v>
      </c>
      <c r="M1181" s="2" t="s">
        <v>474</v>
      </c>
      <c r="N1181" s="2"/>
      <c r="O1181" s="109"/>
      <c r="P1181" s="109"/>
      <c r="Q1181" s="109"/>
    </row>
    <row r="1182" spans="2:17" x14ac:dyDescent="0.25">
      <c r="B1182" s="114">
        <v>12</v>
      </c>
      <c r="C1182" s="114">
        <v>27</v>
      </c>
      <c r="D1182" s="114">
        <v>87</v>
      </c>
      <c r="E1182" s="154" cm="1">
        <f t="array" ref="E1182">IF(ISBLANK(MainData[[#This Row],[EventID]]),0,IFERROR(INDEX(MainData[],MATCH(MainData[[#This Row],[EventID]],IF(MainData[Product]="Date",MainData[EventID],0),0),12),0))</f>
        <v>44610</v>
      </c>
      <c r="F1182" s="155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2" s="155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2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2" s="20" t="s">
        <v>85</v>
      </c>
      <c r="J1182" t="s">
        <v>20</v>
      </c>
      <c r="K1182" s="2" t="s">
        <v>116</v>
      </c>
      <c r="L1182" s="2" t="s">
        <v>88</v>
      </c>
      <c r="M1182" s="2" t="s">
        <v>189</v>
      </c>
      <c r="N1182" s="2" t="s">
        <v>233</v>
      </c>
      <c r="O1182" s="109">
        <v>5</v>
      </c>
      <c r="P1182" s="109"/>
      <c r="Q1182" s="109"/>
    </row>
    <row r="1183" spans="2:17" x14ac:dyDescent="0.25">
      <c r="B1183" s="114">
        <v>12</v>
      </c>
      <c r="C1183" s="114">
        <v>27</v>
      </c>
      <c r="D1183" s="114">
        <v>87</v>
      </c>
      <c r="E1183" s="154" cm="1">
        <f t="array" ref="E1183">IF(ISBLANK(MainData[[#This Row],[EventID]]),0,IFERROR(INDEX(MainData[],MATCH(MainData[[#This Row],[EventID]],IF(MainData[Product]="Date",MainData[EventID],0),0),12),0))</f>
        <v>44610</v>
      </c>
      <c r="F1183" s="155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3" s="155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2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3" s="20" t="s">
        <v>85</v>
      </c>
      <c r="J1183" t="s">
        <v>20</v>
      </c>
      <c r="K1183" s="2" t="s">
        <v>116</v>
      </c>
      <c r="L1183" s="2" t="s">
        <v>87</v>
      </c>
      <c r="M1183" s="2" t="s">
        <v>188</v>
      </c>
      <c r="N1183" s="2" t="s">
        <v>233</v>
      </c>
      <c r="O1183" s="109">
        <v>12</v>
      </c>
      <c r="P1183" s="109"/>
      <c r="Q1183" s="109">
        <v>1200</v>
      </c>
    </row>
    <row r="1184" spans="2:17" x14ac:dyDescent="0.25">
      <c r="B1184" s="114">
        <v>12</v>
      </c>
      <c r="C1184" s="114">
        <v>27</v>
      </c>
      <c r="D1184" s="114">
        <v>87</v>
      </c>
      <c r="E1184" s="154" cm="1">
        <f t="array" ref="E1184">IF(ISBLANK(MainData[[#This Row],[EventID]]),0,IFERROR(INDEX(MainData[],MATCH(MainData[[#This Row],[EventID]],IF(MainData[Product]="Date",MainData[EventID],0),0),12),0))</f>
        <v>44610</v>
      </c>
      <c r="F1184" s="155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4" s="155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2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4" s="157" t="s">
        <v>85</v>
      </c>
      <c r="J1184" t="s">
        <v>20</v>
      </c>
      <c r="K1184" s="2" t="s">
        <v>29</v>
      </c>
      <c r="L1184" s="2" t="s">
        <v>35</v>
      </c>
      <c r="M1184" s="2" t="s">
        <v>382</v>
      </c>
      <c r="N1184" s="2" t="s">
        <v>234</v>
      </c>
      <c r="O1184" s="109">
        <v>12</v>
      </c>
      <c r="P1184" s="109">
        <v>1200</v>
      </c>
      <c r="Q1184" s="109">
        <v>12251.74</v>
      </c>
    </row>
    <row r="1185" spans="2:17" x14ac:dyDescent="0.25">
      <c r="B1185" s="114">
        <v>12</v>
      </c>
      <c r="C1185" s="114">
        <v>27</v>
      </c>
      <c r="D1185" s="114">
        <v>87</v>
      </c>
      <c r="E1185" s="154" cm="1">
        <f t="array" ref="E1185">IF(ISBLANK(MainData[[#This Row],[EventID]]),0,IFERROR(INDEX(MainData[],MATCH(MainData[[#This Row],[EventID]],IF(MainData[Product]="Date",MainData[EventID],0),0),12),0))</f>
        <v>44610</v>
      </c>
      <c r="F1185" s="155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5" s="155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2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5" s="157" t="s">
        <v>85</v>
      </c>
      <c r="J1185" t="s">
        <v>20</v>
      </c>
      <c r="K1185" s="2" t="s">
        <v>29</v>
      </c>
      <c r="L1185" s="2" t="s">
        <v>65</v>
      </c>
      <c r="M1185" s="2" t="s">
        <v>383</v>
      </c>
      <c r="N1185" s="2" t="s">
        <v>234</v>
      </c>
      <c r="O1185" s="109">
        <v>12</v>
      </c>
      <c r="P1185" s="109">
        <v>150</v>
      </c>
      <c r="Q1185" s="109">
        <v>2987.34</v>
      </c>
    </row>
    <row r="1186" spans="2:17" x14ac:dyDescent="0.25">
      <c r="B1186" s="114">
        <v>12</v>
      </c>
      <c r="C1186" s="114">
        <v>27</v>
      </c>
      <c r="D1186" s="114">
        <v>87</v>
      </c>
      <c r="E1186" s="154" cm="1">
        <f t="array" ref="E1186">IF(ISBLANK(MainData[[#This Row],[EventID]]),0,IFERROR(INDEX(MainData[],MATCH(MainData[[#This Row],[EventID]],IF(MainData[Product]="Date",MainData[EventID],0),0),12),0))</f>
        <v>44610</v>
      </c>
      <c r="F1186" s="155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6" s="155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2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6" s="20" t="s">
        <v>85</v>
      </c>
      <c r="J1186" t="s">
        <v>20</v>
      </c>
      <c r="K1186" s="2" t="s">
        <v>29</v>
      </c>
      <c r="L1186" s="2" t="s">
        <v>25</v>
      </c>
      <c r="M1186" s="2" t="s">
        <v>385</v>
      </c>
      <c r="N1186" s="2" t="s">
        <v>234</v>
      </c>
      <c r="O1186" s="109">
        <v>12</v>
      </c>
      <c r="P1186" s="109">
        <v>1030.95</v>
      </c>
      <c r="Q1186" s="109">
        <v>12225.12</v>
      </c>
    </row>
    <row r="1187" spans="2:17" x14ac:dyDescent="0.25">
      <c r="B1187" s="114">
        <v>12</v>
      </c>
      <c r="C1187" s="114">
        <v>28</v>
      </c>
      <c r="D1187" s="114">
        <v>88</v>
      </c>
      <c r="E1187" s="154" cm="1">
        <f t="array" ref="E1187">IF(ISBLANK(MainData[[#This Row],[EventID]]),0,IFERROR(INDEX(MainData[],MATCH(MainData[[#This Row],[EventID]],IF(MainData[Product]="Date",MainData[EventID],0),0),12),0))</f>
        <v>44610</v>
      </c>
      <c r="F1187" s="155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7" s="155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2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7" s="157" t="s">
        <v>84</v>
      </c>
      <c r="J1187" t="s">
        <v>187</v>
      </c>
      <c r="K1187" s="2" t="s">
        <v>157</v>
      </c>
      <c r="L1187" s="2" t="s">
        <v>81</v>
      </c>
      <c r="M1187" s="2">
        <v>1</v>
      </c>
      <c r="N1187" s="2"/>
      <c r="O1187" s="109"/>
      <c r="P1187" s="109"/>
      <c r="Q1187" s="109"/>
    </row>
    <row r="1188" spans="2:17" x14ac:dyDescent="0.25">
      <c r="B1188" s="114">
        <v>12</v>
      </c>
      <c r="C1188" s="114">
        <v>28</v>
      </c>
      <c r="D1188" s="114">
        <v>88</v>
      </c>
      <c r="E1188" s="154" cm="1">
        <f t="array" ref="E1188">IF(ISBLANK(MainData[[#This Row],[EventID]]),0,IFERROR(INDEX(MainData[],MATCH(MainData[[#This Row],[EventID]],IF(MainData[Product]="Date",MainData[EventID],0),0),12),0))</f>
        <v>44610</v>
      </c>
      <c r="F1188" s="155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8" s="155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2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8" s="157" t="s">
        <v>84</v>
      </c>
      <c r="J1188" t="s">
        <v>187</v>
      </c>
      <c r="K1188" s="2" t="s">
        <v>157</v>
      </c>
      <c r="L1188" s="2" t="s">
        <v>0</v>
      </c>
      <c r="M1188" s="158">
        <v>44610</v>
      </c>
      <c r="N1188" s="2"/>
      <c r="O1188" s="109"/>
      <c r="P1188" s="109"/>
      <c r="Q1188" s="109"/>
    </row>
    <row r="1189" spans="2:17" x14ac:dyDescent="0.25">
      <c r="B1189" s="114">
        <v>12</v>
      </c>
      <c r="C1189" s="114">
        <v>28</v>
      </c>
      <c r="D1189" s="114">
        <v>88</v>
      </c>
      <c r="E1189" s="154" cm="1">
        <f t="array" ref="E1189">IF(ISBLANK(MainData[[#This Row],[EventID]]),0,IFERROR(INDEX(MainData[],MATCH(MainData[[#This Row],[EventID]],IF(MainData[Product]="Date",MainData[EventID],0),0),12),0))</f>
        <v>44610</v>
      </c>
      <c r="F1189" s="155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9" s="155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2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9" s="157" t="s">
        <v>84</v>
      </c>
      <c r="J1189" t="s">
        <v>187</v>
      </c>
      <c r="K1189" s="2" t="s">
        <v>157</v>
      </c>
      <c r="L1189" s="2" t="s">
        <v>82</v>
      </c>
      <c r="M1189" s="2">
        <v>941111</v>
      </c>
      <c r="N1189" s="2"/>
      <c r="O1189" s="109"/>
      <c r="P1189" s="109"/>
      <c r="Q1189" s="109"/>
    </row>
    <row r="1190" spans="2:17" x14ac:dyDescent="0.25">
      <c r="B1190" s="114">
        <v>12</v>
      </c>
      <c r="C1190" s="114">
        <v>28</v>
      </c>
      <c r="D1190" s="114">
        <v>88</v>
      </c>
      <c r="E1190" s="154" cm="1">
        <f t="array" ref="E1190">IF(ISBLANK(MainData[[#This Row],[EventID]]),0,IFERROR(INDEX(MainData[],MATCH(MainData[[#This Row],[EventID]],IF(MainData[Product]="Date",MainData[EventID],0),0),12),0))</f>
        <v>44610</v>
      </c>
      <c r="F1190" s="155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0" s="155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2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0" s="157" t="s">
        <v>84</v>
      </c>
      <c r="J1190" t="s">
        <v>187</v>
      </c>
      <c r="K1190" s="2" t="s">
        <v>157</v>
      </c>
      <c r="L1190" s="2" t="s">
        <v>175</v>
      </c>
      <c r="M1190" s="2" t="s">
        <v>455</v>
      </c>
      <c r="N1190" s="2"/>
      <c r="O1190" s="109"/>
      <c r="P1190" s="109"/>
      <c r="Q1190" s="109"/>
    </row>
    <row r="1191" spans="2:17" x14ac:dyDescent="0.25">
      <c r="B1191" s="114">
        <v>12</v>
      </c>
      <c r="C1191" s="114">
        <v>28</v>
      </c>
      <c r="D1191" s="114">
        <v>88</v>
      </c>
      <c r="E1191" s="154" cm="1">
        <f t="array" ref="E1191">IF(ISBLANK(MainData[[#This Row],[EventID]]),0,IFERROR(INDEX(MainData[],MATCH(MainData[[#This Row],[EventID]],IF(MainData[Product]="Date",MainData[EventID],0),0),12),0))</f>
        <v>44610</v>
      </c>
      <c r="F1191" s="155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1" s="155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2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1" s="157" t="s">
        <v>84</v>
      </c>
      <c r="J1191" t="s">
        <v>187</v>
      </c>
      <c r="K1191" s="2" t="s">
        <v>157</v>
      </c>
      <c r="L1191" s="2" t="s">
        <v>138</v>
      </c>
      <c r="M1191" s="2">
        <v>500</v>
      </c>
      <c r="N1191" s="2"/>
      <c r="O1191" s="109"/>
      <c r="P1191" s="109"/>
      <c r="Q1191" s="109"/>
    </row>
    <row r="1192" spans="2:17" x14ac:dyDescent="0.25">
      <c r="B1192" s="114">
        <v>12</v>
      </c>
      <c r="C1192" s="114">
        <v>28</v>
      </c>
      <c r="D1192" s="114">
        <v>88</v>
      </c>
      <c r="E1192" s="154" cm="1">
        <f t="array" ref="E1192">IF(ISBLANK(MainData[[#This Row],[EventID]]),0,IFERROR(INDEX(MainData[],MATCH(MainData[[#This Row],[EventID]],IF(MainData[Product]="Date",MainData[EventID],0),0),12),0))</f>
        <v>44610</v>
      </c>
      <c r="F1192" s="155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2" s="155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2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2" s="157" t="s">
        <v>84</v>
      </c>
      <c r="J1192" t="s">
        <v>187</v>
      </c>
      <c r="K1192" s="2" t="s">
        <v>157</v>
      </c>
      <c r="L1192" s="2" t="s">
        <v>86</v>
      </c>
      <c r="M1192" s="2">
        <v>1</v>
      </c>
      <c r="N1192" s="2"/>
      <c r="O1192" s="109"/>
      <c r="P1192" s="109"/>
      <c r="Q1192" s="109"/>
    </row>
    <row r="1193" spans="2:17" x14ac:dyDescent="0.25">
      <c r="B1193" s="114">
        <v>12</v>
      </c>
      <c r="C1193" s="114">
        <v>28</v>
      </c>
      <c r="D1193" s="114">
        <v>88</v>
      </c>
      <c r="E1193" s="154" cm="1">
        <f t="array" ref="E1193">IF(ISBLANK(MainData[[#This Row],[EventID]]),0,IFERROR(INDEX(MainData[],MATCH(MainData[[#This Row],[EventID]],IF(MainData[Product]="Date",MainData[EventID],0),0),12),0))</f>
        <v>44610</v>
      </c>
      <c r="F1193" s="155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3" s="155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2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3" s="157" t="s">
        <v>84</v>
      </c>
      <c r="J1193" t="s">
        <v>187</v>
      </c>
      <c r="K1193" s="2" t="s">
        <v>157</v>
      </c>
      <c r="L1193" s="2" t="s">
        <v>118</v>
      </c>
      <c r="M1193" s="2" t="s">
        <v>473</v>
      </c>
      <c r="N1193" s="2"/>
      <c r="O1193" s="109"/>
      <c r="P1193" s="109"/>
      <c r="Q1193" s="109"/>
    </row>
    <row r="1194" spans="2:17" x14ac:dyDescent="0.25">
      <c r="B1194" s="114">
        <v>12</v>
      </c>
      <c r="C1194" s="114">
        <v>28</v>
      </c>
      <c r="D1194" s="114">
        <v>88</v>
      </c>
      <c r="E1194" s="154" cm="1">
        <f t="array" ref="E1194">IF(ISBLANK(MainData[[#This Row],[EventID]]),0,IFERROR(INDEX(MainData[],MATCH(MainData[[#This Row],[EventID]],IF(MainData[Product]="Date",MainData[EventID],0),0),12),0))</f>
        <v>44610</v>
      </c>
      <c r="F1194" s="155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4" s="155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2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4" s="20" t="s">
        <v>85</v>
      </c>
      <c r="J1194" t="s">
        <v>20</v>
      </c>
      <c r="K1194" s="2" t="s">
        <v>116</v>
      </c>
      <c r="L1194" s="2" t="s">
        <v>88</v>
      </c>
      <c r="M1194" s="2" t="s">
        <v>189</v>
      </c>
      <c r="N1194" s="2" t="s">
        <v>233</v>
      </c>
      <c r="O1194" s="109">
        <v>3</v>
      </c>
      <c r="P1194" s="109"/>
      <c r="Q1194" s="109"/>
    </row>
    <row r="1195" spans="2:17" x14ac:dyDescent="0.25">
      <c r="B1195" s="114">
        <v>12</v>
      </c>
      <c r="C1195" s="114">
        <v>28</v>
      </c>
      <c r="D1195" s="114">
        <v>88</v>
      </c>
      <c r="E1195" s="154" cm="1">
        <f t="array" ref="E1195">IF(ISBLANK(MainData[[#This Row],[EventID]]),0,IFERROR(INDEX(MainData[],MATCH(MainData[[#This Row],[EventID]],IF(MainData[Product]="Date",MainData[EventID],0),0),12),0))</f>
        <v>44610</v>
      </c>
      <c r="F1195" s="155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5" s="155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2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5" s="20" t="s">
        <v>85</v>
      </c>
      <c r="J1195" t="s">
        <v>20</v>
      </c>
      <c r="K1195" s="2" t="s">
        <v>116</v>
      </c>
      <c r="L1195" s="2" t="s">
        <v>87</v>
      </c>
      <c r="M1195" s="2" t="s">
        <v>188</v>
      </c>
      <c r="N1195" s="2" t="s">
        <v>233</v>
      </c>
      <c r="O1195" s="109">
        <v>6</v>
      </c>
      <c r="P1195" s="109"/>
      <c r="Q1195" s="109">
        <v>600</v>
      </c>
    </row>
    <row r="1196" spans="2:17" x14ac:dyDescent="0.25">
      <c r="B1196" s="114">
        <v>12</v>
      </c>
      <c r="C1196" s="114">
        <v>28</v>
      </c>
      <c r="D1196" s="114">
        <v>88</v>
      </c>
      <c r="E1196" s="154" cm="1">
        <f t="array" ref="E1196">IF(ISBLANK(MainData[[#This Row],[EventID]]),0,IFERROR(INDEX(MainData[],MATCH(MainData[[#This Row],[EventID]],IF(MainData[Product]="Date",MainData[EventID],0),0),12),0))</f>
        <v>44610</v>
      </c>
      <c r="F1196" s="155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6" s="155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2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6" s="157" t="s">
        <v>85</v>
      </c>
      <c r="J1196" t="s">
        <v>20</v>
      </c>
      <c r="K1196" s="2" t="s">
        <v>29</v>
      </c>
      <c r="L1196" s="2" t="s">
        <v>35</v>
      </c>
      <c r="M1196" s="2" t="s">
        <v>382</v>
      </c>
      <c r="N1196" s="2" t="s">
        <v>234</v>
      </c>
      <c r="O1196" s="109">
        <v>6</v>
      </c>
      <c r="P1196" s="109">
        <v>350</v>
      </c>
      <c r="Q1196" s="109">
        <v>3826.5</v>
      </c>
    </row>
    <row r="1197" spans="2:17" x14ac:dyDescent="0.25">
      <c r="B1197" s="114">
        <v>12</v>
      </c>
      <c r="C1197" s="114">
        <v>28</v>
      </c>
      <c r="D1197" s="114">
        <v>88</v>
      </c>
      <c r="E1197" s="154" cm="1">
        <f t="array" ref="E1197">IF(ISBLANK(MainData[[#This Row],[EventID]]),0,IFERROR(INDEX(MainData[],MATCH(MainData[[#This Row],[EventID]],IF(MainData[Product]="Date",MainData[EventID],0),0),12),0))</f>
        <v>44610</v>
      </c>
      <c r="F1197" s="155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7" s="155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2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7" s="157" t="s">
        <v>85</v>
      </c>
      <c r="J1197" t="s">
        <v>20</v>
      </c>
      <c r="K1197" s="2" t="s">
        <v>29</v>
      </c>
      <c r="L1197" s="2" t="s">
        <v>65</v>
      </c>
      <c r="M1197" s="2" t="s">
        <v>383</v>
      </c>
      <c r="N1197" s="2" t="s">
        <v>234</v>
      </c>
      <c r="O1197" s="109">
        <v>6</v>
      </c>
      <c r="P1197" s="109">
        <v>9</v>
      </c>
      <c r="Q1197" s="109">
        <v>190.15</v>
      </c>
    </row>
    <row r="1198" spans="2:17" x14ac:dyDescent="0.25">
      <c r="B1198" s="114">
        <v>12</v>
      </c>
      <c r="C1198" s="114">
        <v>28</v>
      </c>
      <c r="D1198" s="114">
        <v>88</v>
      </c>
      <c r="E1198" s="154" cm="1">
        <f t="array" ref="E1198">IF(ISBLANK(MainData[[#This Row],[EventID]]),0,IFERROR(INDEX(MainData[],MATCH(MainData[[#This Row],[EventID]],IF(MainData[Product]="Date",MainData[EventID],0),0),12),0))</f>
        <v>44610</v>
      </c>
      <c r="F1198" s="155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8" s="155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2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8" s="20" t="s">
        <v>85</v>
      </c>
      <c r="J1198" t="s">
        <v>20</v>
      </c>
      <c r="K1198" s="2" t="s">
        <v>29</v>
      </c>
      <c r="L1198" s="2" t="s">
        <v>25</v>
      </c>
      <c r="M1198" s="2" t="s">
        <v>385</v>
      </c>
      <c r="N1198" s="2" t="s">
        <v>234</v>
      </c>
      <c r="O1198" s="109">
        <v>6</v>
      </c>
      <c r="P1198" s="109">
        <v>353.7</v>
      </c>
      <c r="Q1198" s="109">
        <v>4165.6499999999996</v>
      </c>
    </row>
    <row r="1199" spans="2:17" x14ac:dyDescent="0.25">
      <c r="B1199" s="114">
        <v>22</v>
      </c>
      <c r="C1199" s="114">
        <v>55</v>
      </c>
      <c r="D1199" s="114">
        <v>89</v>
      </c>
      <c r="E1199" s="154" cm="1">
        <f t="array" ref="E1199">IF(ISBLANK(MainData[[#This Row],[EventID]]),0,IFERROR(INDEX(MainData[],MATCH(MainData[[#This Row],[EventID]],IF(MainData[Product]="Date",MainData[EventID],0),0),12),0))</f>
        <v>44610</v>
      </c>
      <c r="F1199" s="155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9" s="155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220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9" s="157" t="s">
        <v>84</v>
      </c>
      <c r="J1199" t="s">
        <v>187</v>
      </c>
      <c r="K1199" s="2" t="s">
        <v>157</v>
      </c>
      <c r="L1199" s="2" t="s">
        <v>150</v>
      </c>
      <c r="M1199" s="2">
        <v>1</v>
      </c>
      <c r="N1199" s="2"/>
      <c r="O1199" s="109"/>
      <c r="P1199" s="109"/>
      <c r="Q1199" s="109"/>
    </row>
    <row r="1200" spans="2:17" x14ac:dyDescent="0.25">
      <c r="B1200" s="114">
        <v>22</v>
      </c>
      <c r="C1200" s="114">
        <v>55</v>
      </c>
      <c r="D1200" s="114">
        <v>89</v>
      </c>
      <c r="E1200" s="154" cm="1">
        <f t="array" ref="E1200">IF(ISBLANK(MainData[[#This Row],[EventID]]),0,IFERROR(INDEX(MainData[],MATCH(MainData[[#This Row],[EventID]],IF(MainData[Product]="Date",MainData[EventID],0),0),12),0))</f>
        <v>44610</v>
      </c>
      <c r="F1200" s="155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0" s="155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2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0" s="157" t="s">
        <v>84</v>
      </c>
      <c r="J1200" t="s">
        <v>187</v>
      </c>
      <c r="K1200" s="2" t="s">
        <v>157</v>
      </c>
      <c r="L1200" s="2" t="s">
        <v>81</v>
      </c>
      <c r="M1200" s="2">
        <v>1</v>
      </c>
      <c r="N1200" s="2"/>
      <c r="O1200" s="109"/>
      <c r="P1200" s="109"/>
      <c r="Q1200" s="109"/>
    </row>
    <row r="1201" spans="2:17" x14ac:dyDescent="0.25">
      <c r="B1201" s="114">
        <v>22</v>
      </c>
      <c r="C1201" s="114">
        <v>55</v>
      </c>
      <c r="D1201" s="114">
        <v>89</v>
      </c>
      <c r="E1201" s="154" cm="1">
        <f t="array" ref="E1201">IF(ISBLANK(MainData[[#This Row],[EventID]]),0,IFERROR(INDEX(MainData[],MATCH(MainData[[#This Row],[EventID]],IF(MainData[Product]="Date",MainData[EventID],0),0),12),0))</f>
        <v>44610</v>
      </c>
      <c r="F1201" s="155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1" s="155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2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1" s="157" t="s">
        <v>84</v>
      </c>
      <c r="J1201" t="s">
        <v>187</v>
      </c>
      <c r="K1201" s="2" t="s">
        <v>157</v>
      </c>
      <c r="L1201" s="2" t="s">
        <v>0</v>
      </c>
      <c r="M1201" s="158">
        <v>44610</v>
      </c>
      <c r="N1201" s="2"/>
      <c r="O1201" s="109"/>
      <c r="P1201" s="109"/>
      <c r="Q1201" s="109"/>
    </row>
    <row r="1202" spans="2:17" x14ac:dyDescent="0.25">
      <c r="B1202" s="114">
        <v>22</v>
      </c>
      <c r="C1202" s="114">
        <v>55</v>
      </c>
      <c r="D1202" s="114">
        <v>89</v>
      </c>
      <c r="E1202" s="154" cm="1">
        <f t="array" ref="E1202">IF(ISBLANK(MainData[[#This Row],[EventID]]),0,IFERROR(INDEX(MainData[],MATCH(MainData[[#This Row],[EventID]],IF(MainData[Product]="Date",MainData[EventID],0),0),12),0))</f>
        <v>44610</v>
      </c>
      <c r="F1202" s="155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2" s="155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2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2" s="157" t="s">
        <v>84</v>
      </c>
      <c r="J1202" t="s">
        <v>187</v>
      </c>
      <c r="K1202" s="2" t="s">
        <v>157</v>
      </c>
      <c r="L1202" s="2" t="s">
        <v>82</v>
      </c>
      <c r="M1202" s="2">
        <v>379921</v>
      </c>
      <c r="N1202" s="2"/>
      <c r="O1202" s="109"/>
      <c r="P1202" s="109"/>
      <c r="Q1202" s="109"/>
    </row>
    <row r="1203" spans="2:17" x14ac:dyDescent="0.25">
      <c r="B1203" s="114">
        <v>22</v>
      </c>
      <c r="C1203" s="114">
        <v>55</v>
      </c>
      <c r="D1203" s="114">
        <v>89</v>
      </c>
      <c r="E1203" s="154" cm="1">
        <f t="array" ref="E1203">IF(ISBLANK(MainData[[#This Row],[EventID]]),0,IFERROR(INDEX(MainData[],MATCH(MainData[[#This Row],[EventID]],IF(MainData[Product]="Date",MainData[EventID],0),0),12),0))</f>
        <v>44610</v>
      </c>
      <c r="F1203" s="155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3" s="155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2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3" s="157" t="s">
        <v>84</v>
      </c>
      <c r="J1203" t="s">
        <v>187</v>
      </c>
      <c r="K1203" s="2" t="s">
        <v>157</v>
      </c>
      <c r="L1203" s="2" t="s">
        <v>175</v>
      </c>
      <c r="M1203" s="2" t="s">
        <v>475</v>
      </c>
      <c r="N1203" s="2"/>
      <c r="O1203" s="109"/>
      <c r="P1203" s="109"/>
      <c r="Q1203" s="109"/>
    </row>
    <row r="1204" spans="2:17" x14ac:dyDescent="0.25">
      <c r="B1204" s="114">
        <v>22</v>
      </c>
      <c r="C1204" s="114">
        <v>55</v>
      </c>
      <c r="D1204" s="114">
        <v>89</v>
      </c>
      <c r="E1204" s="154" cm="1">
        <f t="array" ref="E1204">IF(ISBLANK(MainData[[#This Row],[EventID]]),0,IFERROR(INDEX(MainData[],MATCH(MainData[[#This Row],[EventID]],IF(MainData[Product]="Date",MainData[EventID],0),0),12),0))</f>
        <v>44610</v>
      </c>
      <c r="F1204" s="155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4" s="155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2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4" s="157" t="s">
        <v>84</v>
      </c>
      <c r="J1204" t="s">
        <v>187</v>
      </c>
      <c r="K1204" s="2" t="s">
        <v>157</v>
      </c>
      <c r="L1204" s="2" t="s">
        <v>138</v>
      </c>
      <c r="M1204" s="2">
        <v>18</v>
      </c>
      <c r="N1204" s="2"/>
      <c r="O1204" s="109"/>
      <c r="P1204" s="109"/>
      <c r="Q1204" s="109"/>
    </row>
    <row r="1205" spans="2:17" x14ac:dyDescent="0.25">
      <c r="B1205" s="114">
        <v>22</v>
      </c>
      <c r="C1205" s="114">
        <v>55</v>
      </c>
      <c r="D1205" s="114">
        <v>89</v>
      </c>
      <c r="E1205" s="154" cm="1">
        <f t="array" ref="E1205">IF(ISBLANK(MainData[[#This Row],[EventID]]),0,IFERROR(INDEX(MainData[],MATCH(MainData[[#This Row],[EventID]],IF(MainData[Product]="Date",MainData[EventID],0),0),12),0))</f>
        <v>44610</v>
      </c>
      <c r="F1205" s="155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5" s="155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2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5" s="157" t="s">
        <v>84</v>
      </c>
      <c r="J1205" t="s">
        <v>187</v>
      </c>
      <c r="K1205" s="2" t="s">
        <v>157</v>
      </c>
      <c r="L1205" s="2" t="s">
        <v>86</v>
      </c>
      <c r="M1205" s="2">
        <v>1</v>
      </c>
      <c r="N1205" s="2"/>
      <c r="O1205" s="109"/>
      <c r="P1205" s="109"/>
      <c r="Q1205" s="109"/>
    </row>
    <row r="1206" spans="2:17" x14ac:dyDescent="0.25">
      <c r="B1206" s="114">
        <v>22</v>
      </c>
      <c r="C1206" s="114">
        <v>55</v>
      </c>
      <c r="D1206" s="114">
        <v>89</v>
      </c>
      <c r="E1206" s="154" cm="1">
        <f t="array" ref="E1206">IF(ISBLANK(MainData[[#This Row],[EventID]]),0,IFERROR(INDEX(MainData[],MATCH(MainData[[#This Row],[EventID]],IF(MainData[Product]="Date",MainData[EventID],0),0),12),0))</f>
        <v>44610</v>
      </c>
      <c r="F1206" s="155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6" s="155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2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6" s="157" t="s">
        <v>84</v>
      </c>
      <c r="J1206" t="s">
        <v>187</v>
      </c>
      <c r="K1206" s="2" t="s">
        <v>157</v>
      </c>
      <c r="L1206" s="2" t="s">
        <v>118</v>
      </c>
      <c r="M1206" s="2" t="s">
        <v>470</v>
      </c>
      <c r="N1206" s="2"/>
      <c r="O1206" s="109"/>
      <c r="P1206" s="109"/>
      <c r="Q1206" s="109"/>
    </row>
    <row r="1207" spans="2:17" x14ac:dyDescent="0.25">
      <c r="B1207" s="114">
        <v>22</v>
      </c>
      <c r="C1207" s="114">
        <v>55</v>
      </c>
      <c r="D1207" s="114">
        <v>89</v>
      </c>
      <c r="E1207" s="154" cm="1">
        <f t="array" ref="E1207">IF(ISBLANK(MainData[[#This Row],[EventID]]),0,IFERROR(INDEX(MainData[],MATCH(MainData[[#This Row],[EventID]],IF(MainData[Product]="Date",MainData[EventID],0),0),12),0))</f>
        <v>44610</v>
      </c>
      <c r="F1207" s="155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7" s="155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2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7" s="20" t="s">
        <v>85</v>
      </c>
      <c r="J1207" t="s">
        <v>21</v>
      </c>
      <c r="K1207" s="2" t="s">
        <v>116</v>
      </c>
      <c r="L1207" s="2" t="s">
        <v>107</v>
      </c>
      <c r="M1207" s="2" t="s">
        <v>190</v>
      </c>
      <c r="N1207" s="2" t="s">
        <v>233</v>
      </c>
      <c r="O1207" s="109">
        <v>1</v>
      </c>
      <c r="P1207" s="109"/>
      <c r="Q1207" s="109"/>
    </row>
    <row r="1208" spans="2:17" x14ac:dyDescent="0.25">
      <c r="B1208" s="114">
        <v>22</v>
      </c>
      <c r="C1208" s="114">
        <v>55</v>
      </c>
      <c r="D1208" s="114">
        <v>89</v>
      </c>
      <c r="E1208" s="154" cm="1">
        <f t="array" ref="E1208">IF(ISBLANK(MainData[[#This Row],[EventID]]),0,IFERROR(INDEX(MainData[],MATCH(MainData[[#This Row],[EventID]],IF(MainData[Product]="Date",MainData[EventID],0),0),12),0))</f>
        <v>44610</v>
      </c>
      <c r="F1208" s="155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8" s="155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2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8" s="20" t="s">
        <v>85</v>
      </c>
      <c r="J1208" t="s">
        <v>21</v>
      </c>
      <c r="K1208" s="2" t="s">
        <v>29</v>
      </c>
      <c r="L1208" s="2" t="s">
        <v>25</v>
      </c>
      <c r="M1208" s="2" t="s">
        <v>6</v>
      </c>
      <c r="N1208" s="2" t="s">
        <v>235</v>
      </c>
      <c r="O1208" s="109">
        <v>1</v>
      </c>
      <c r="P1208" s="109">
        <v>11.5</v>
      </c>
      <c r="Q1208" s="109">
        <v>41</v>
      </c>
    </row>
    <row r="1209" spans="2:17" x14ac:dyDescent="0.25">
      <c r="B1209" s="114">
        <v>19</v>
      </c>
      <c r="C1209" s="114">
        <v>47</v>
      </c>
      <c r="D1209" s="114">
        <v>91</v>
      </c>
      <c r="E1209" s="154" cm="1">
        <f t="array" ref="E1209">IF(ISBLANK(MainData[[#This Row],[EventID]]),0,IFERROR(INDEX(MainData[],MATCH(MainData[[#This Row],[EventID]],IF(MainData[Product]="Date",MainData[EventID],0),0),12),0))</f>
        <v>44611</v>
      </c>
      <c r="F1209" s="155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9" s="155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2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9" s="157" t="s">
        <v>84</v>
      </c>
      <c r="J1209" t="s">
        <v>187</v>
      </c>
      <c r="K1209" s="2" t="s">
        <v>157</v>
      </c>
      <c r="L1209" s="2" t="s">
        <v>81</v>
      </c>
      <c r="M1209" s="2">
        <v>1</v>
      </c>
      <c r="N1209" s="2"/>
      <c r="O1209" s="109"/>
      <c r="P1209" s="109"/>
      <c r="Q1209" s="109"/>
    </row>
    <row r="1210" spans="2:17" x14ac:dyDescent="0.25">
      <c r="B1210" s="114">
        <v>19</v>
      </c>
      <c r="C1210" s="114">
        <v>47</v>
      </c>
      <c r="D1210" s="114">
        <v>91</v>
      </c>
      <c r="E1210" s="154" cm="1">
        <f t="array" ref="E1210">IF(ISBLANK(MainData[[#This Row],[EventID]]),0,IFERROR(INDEX(MainData[],MATCH(MainData[[#This Row],[EventID]],IF(MainData[Product]="Date",MainData[EventID],0),0),12),0))</f>
        <v>44611</v>
      </c>
      <c r="F1210" s="155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0" s="155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2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0" s="157" t="s">
        <v>84</v>
      </c>
      <c r="J1210" t="s">
        <v>187</v>
      </c>
      <c r="K1210" s="2" t="s">
        <v>157</v>
      </c>
      <c r="L1210" s="2" t="s">
        <v>164</v>
      </c>
      <c r="M1210" s="2" t="s">
        <v>424</v>
      </c>
      <c r="N1210" s="2"/>
      <c r="O1210" s="109"/>
      <c r="P1210" s="109"/>
      <c r="Q1210" s="109"/>
    </row>
    <row r="1211" spans="2:17" x14ac:dyDescent="0.25">
      <c r="B1211" s="114">
        <v>19</v>
      </c>
      <c r="C1211" s="114">
        <v>47</v>
      </c>
      <c r="D1211" s="114">
        <v>91</v>
      </c>
      <c r="E1211" s="154" cm="1">
        <f t="array" ref="E1211">IF(ISBLANK(MainData[[#This Row],[EventID]]),0,IFERROR(INDEX(MainData[],MATCH(MainData[[#This Row],[EventID]],IF(MainData[Product]="Date",MainData[EventID],0),0),12),0))</f>
        <v>44611</v>
      </c>
      <c r="F1211" s="155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1" s="155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2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1" s="157" t="s">
        <v>84</v>
      </c>
      <c r="J1211" t="s">
        <v>187</v>
      </c>
      <c r="K1211" s="2" t="s">
        <v>157</v>
      </c>
      <c r="L1211" s="2" t="s">
        <v>0</v>
      </c>
      <c r="M1211" s="158">
        <v>44611</v>
      </c>
      <c r="N1211" s="2"/>
      <c r="O1211" s="109"/>
      <c r="P1211" s="109"/>
      <c r="Q1211" s="109"/>
    </row>
    <row r="1212" spans="2:17" x14ac:dyDescent="0.25">
      <c r="B1212" s="114">
        <v>19</v>
      </c>
      <c r="C1212" s="114">
        <v>47</v>
      </c>
      <c r="D1212" s="114">
        <v>91</v>
      </c>
      <c r="E1212" s="154" cm="1">
        <f t="array" ref="E1212">IF(ISBLANK(MainData[[#This Row],[EventID]]),0,IFERROR(INDEX(MainData[],MATCH(MainData[[#This Row],[EventID]],IF(MainData[Product]="Date",MainData[EventID],0),0),12),0))</f>
        <v>44611</v>
      </c>
      <c r="F1212" s="155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2" s="155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2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2" s="157" t="s">
        <v>84</v>
      </c>
      <c r="J1212" t="s">
        <v>187</v>
      </c>
      <c r="K1212" s="2" t="s">
        <v>157</v>
      </c>
      <c r="L1212" s="2" t="s">
        <v>82</v>
      </c>
      <c r="M1212" s="2">
        <v>543888</v>
      </c>
      <c r="N1212" s="2"/>
      <c r="O1212" s="109"/>
      <c r="P1212" s="109"/>
      <c r="Q1212" s="109"/>
    </row>
    <row r="1213" spans="2:17" x14ac:dyDescent="0.25">
      <c r="B1213" s="114">
        <v>19</v>
      </c>
      <c r="C1213" s="114">
        <v>47</v>
      </c>
      <c r="D1213" s="114">
        <v>91</v>
      </c>
      <c r="E1213" s="154" cm="1">
        <f t="array" ref="E1213">IF(ISBLANK(MainData[[#This Row],[EventID]]),0,IFERROR(INDEX(MainData[],MATCH(MainData[[#This Row],[EventID]],IF(MainData[Product]="Date",MainData[EventID],0),0),12),0))</f>
        <v>44611</v>
      </c>
      <c r="F1213" s="155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3" s="155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2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3" s="157" t="s">
        <v>84</v>
      </c>
      <c r="J1213" t="s">
        <v>187</v>
      </c>
      <c r="K1213" s="2" t="s">
        <v>157</v>
      </c>
      <c r="L1213" s="2" t="s">
        <v>175</v>
      </c>
      <c r="M1213" s="2" t="s">
        <v>455</v>
      </c>
      <c r="N1213" s="2"/>
      <c r="O1213" s="109"/>
      <c r="P1213" s="109"/>
      <c r="Q1213" s="109"/>
    </row>
    <row r="1214" spans="2:17" x14ac:dyDescent="0.25">
      <c r="B1214" s="114">
        <v>19</v>
      </c>
      <c r="C1214" s="114">
        <v>47</v>
      </c>
      <c r="D1214" s="114">
        <v>91</v>
      </c>
      <c r="E1214" s="154" cm="1">
        <f t="array" ref="E1214">IF(ISBLANK(MainData[[#This Row],[EventID]]),0,IFERROR(INDEX(MainData[],MATCH(MainData[[#This Row],[EventID]],IF(MainData[Product]="Date",MainData[EventID],0),0),12),0))</f>
        <v>44611</v>
      </c>
      <c r="F1214" s="155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4" s="155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2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4" s="157" t="s">
        <v>84</v>
      </c>
      <c r="J1214" t="s">
        <v>187</v>
      </c>
      <c r="K1214" s="2" t="s">
        <v>157</v>
      </c>
      <c r="L1214" s="2" t="s">
        <v>20</v>
      </c>
      <c r="M1214" s="2" t="s">
        <v>367</v>
      </c>
      <c r="N1214" s="2"/>
      <c r="O1214" s="109"/>
      <c r="P1214" s="109"/>
      <c r="Q1214" s="109"/>
    </row>
    <row r="1215" spans="2:17" x14ac:dyDescent="0.25">
      <c r="B1215" s="114">
        <v>19</v>
      </c>
      <c r="C1215" s="114">
        <v>47</v>
      </c>
      <c r="D1215" s="114">
        <v>91</v>
      </c>
      <c r="E1215" s="154" cm="1">
        <f t="array" ref="E1215">IF(ISBLANK(MainData[[#This Row],[EventID]]),0,IFERROR(INDEX(MainData[],MATCH(MainData[[#This Row],[EventID]],IF(MainData[Product]="Date",MainData[EventID],0),0),12),0))</f>
        <v>44611</v>
      </c>
      <c r="F1215" s="155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5" s="155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2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5" s="157" t="s">
        <v>84</v>
      </c>
      <c r="J1215" t="s">
        <v>187</v>
      </c>
      <c r="K1215" s="2" t="s">
        <v>157</v>
      </c>
      <c r="L1215" s="2" t="s">
        <v>138</v>
      </c>
      <c r="M1215" s="2">
        <v>45</v>
      </c>
      <c r="N1215" s="2"/>
      <c r="O1215" s="109"/>
      <c r="P1215" s="109"/>
      <c r="Q1215" s="109"/>
    </row>
    <row r="1216" spans="2:17" x14ac:dyDescent="0.25">
      <c r="B1216" s="114">
        <v>19</v>
      </c>
      <c r="C1216" s="114">
        <v>47</v>
      </c>
      <c r="D1216" s="114">
        <v>91</v>
      </c>
      <c r="E1216" s="154" cm="1">
        <f t="array" ref="E1216">IF(ISBLANK(MainData[[#This Row],[EventID]]),0,IFERROR(INDEX(MainData[],MATCH(MainData[[#This Row],[EventID]],IF(MainData[Product]="Date",MainData[EventID],0),0),12),0))</f>
        <v>44611</v>
      </c>
      <c r="F1216" s="155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6" s="155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2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6" s="157" t="s">
        <v>84</v>
      </c>
      <c r="J1216" t="s">
        <v>187</v>
      </c>
      <c r="K1216" s="2" t="s">
        <v>157</v>
      </c>
      <c r="L1216" s="2" t="s">
        <v>86</v>
      </c>
      <c r="M1216" s="2">
        <v>2</v>
      </c>
      <c r="N1216" s="2"/>
      <c r="O1216" s="109"/>
      <c r="P1216" s="109"/>
      <c r="Q1216" s="109"/>
    </row>
    <row r="1217" spans="2:17" x14ac:dyDescent="0.25">
      <c r="B1217" s="114">
        <v>19</v>
      </c>
      <c r="C1217" s="114">
        <v>47</v>
      </c>
      <c r="D1217" s="114">
        <v>91</v>
      </c>
      <c r="E1217" s="154" cm="1">
        <f t="array" ref="E1217">IF(ISBLANK(MainData[[#This Row],[EventID]]),0,IFERROR(INDEX(MainData[],MATCH(MainData[[#This Row],[EventID]],IF(MainData[Product]="Date",MainData[EventID],0),0),12),0))</f>
        <v>44611</v>
      </c>
      <c r="F1217" s="155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7" s="155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2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7" s="157" t="s">
        <v>84</v>
      </c>
      <c r="J1217" t="s">
        <v>187</v>
      </c>
      <c r="K1217" s="2" t="s">
        <v>157</v>
      </c>
      <c r="L1217" s="2" t="s">
        <v>118</v>
      </c>
      <c r="M1217" s="2" t="s">
        <v>470</v>
      </c>
      <c r="N1217" s="2"/>
      <c r="O1217" s="109"/>
      <c r="P1217" s="109"/>
      <c r="Q1217" s="109"/>
    </row>
    <row r="1218" spans="2:17" x14ac:dyDescent="0.25">
      <c r="B1218" s="114">
        <v>19</v>
      </c>
      <c r="C1218" s="114">
        <v>47</v>
      </c>
      <c r="D1218" s="114">
        <v>91</v>
      </c>
      <c r="E1218" s="154" cm="1">
        <f t="array" ref="E1218">IF(ISBLANK(MainData[[#This Row],[EventID]]),0,IFERROR(INDEX(MainData[],MATCH(MainData[[#This Row],[EventID]],IF(MainData[Product]="Date",MainData[EventID],0),0),12),0))</f>
        <v>44611</v>
      </c>
      <c r="F1218" s="155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8" s="155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2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8" s="157" t="s">
        <v>84</v>
      </c>
      <c r="J1218" t="s">
        <v>187</v>
      </c>
      <c r="K1218" s="2" t="s">
        <v>157</v>
      </c>
      <c r="L1218" s="2" t="s">
        <v>165</v>
      </c>
      <c r="M1218" s="2" t="s">
        <v>406</v>
      </c>
      <c r="N1218" s="2"/>
      <c r="O1218" s="109"/>
      <c r="P1218" s="109"/>
      <c r="Q1218" s="109"/>
    </row>
    <row r="1219" spans="2:17" x14ac:dyDescent="0.25">
      <c r="B1219" s="114">
        <v>19</v>
      </c>
      <c r="C1219" s="114">
        <v>47</v>
      </c>
      <c r="D1219" s="114">
        <v>91</v>
      </c>
      <c r="E1219" s="154" cm="1">
        <f t="array" ref="E1219">IF(ISBLANK(MainData[[#This Row],[EventID]]),0,IFERROR(INDEX(MainData[],MATCH(MainData[[#This Row],[EventID]],IF(MainData[Product]="Date",MainData[EventID],0),0),12),0))</f>
        <v>44611</v>
      </c>
      <c r="F1219" s="155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9" s="155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2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9" s="20" t="s">
        <v>85</v>
      </c>
      <c r="J1219" t="s">
        <v>21</v>
      </c>
      <c r="K1219" s="2" t="s">
        <v>116</v>
      </c>
      <c r="L1219" s="2" t="s">
        <v>88</v>
      </c>
      <c r="M1219" s="2" t="s">
        <v>189</v>
      </c>
      <c r="N1219" s="2" t="s">
        <v>233</v>
      </c>
      <c r="O1219" s="109">
        <v>1</v>
      </c>
      <c r="P1219" s="109"/>
      <c r="Q1219" s="109"/>
    </row>
    <row r="1220" spans="2:17" x14ac:dyDescent="0.25">
      <c r="B1220" s="114">
        <v>19</v>
      </c>
      <c r="C1220" s="114">
        <v>47</v>
      </c>
      <c r="D1220" s="114">
        <v>91</v>
      </c>
      <c r="E1220" s="154" cm="1">
        <f t="array" ref="E1220">IF(ISBLANK(MainData[[#This Row],[EventID]]),0,IFERROR(INDEX(MainData[],MATCH(MainData[[#This Row],[EventID]],IF(MainData[Product]="Date",MainData[EventID],0),0),12),0))</f>
        <v>44611</v>
      </c>
      <c r="F1220" s="155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0" s="155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2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0" s="20" t="s">
        <v>85</v>
      </c>
      <c r="J1220" t="s">
        <v>21</v>
      </c>
      <c r="K1220" s="2" t="s">
        <v>116</v>
      </c>
      <c r="L1220" s="2" t="s">
        <v>87</v>
      </c>
      <c r="M1220" s="2" t="s">
        <v>188</v>
      </c>
      <c r="N1220" s="2" t="s">
        <v>233</v>
      </c>
      <c r="O1220" s="109">
        <v>1</v>
      </c>
      <c r="P1220" s="109"/>
      <c r="Q1220" s="109"/>
    </row>
    <row r="1221" spans="2:17" x14ac:dyDescent="0.25">
      <c r="B1221" s="114">
        <v>19</v>
      </c>
      <c r="C1221" s="114">
        <v>47</v>
      </c>
      <c r="D1221" s="114">
        <v>91</v>
      </c>
      <c r="E1221" s="154" cm="1">
        <f t="array" ref="E1221">IF(ISBLANK(MainData[[#This Row],[EventID]]),0,IFERROR(INDEX(MainData[],MATCH(MainData[[#This Row],[EventID]],IF(MainData[Product]="Date",MainData[EventID],0),0),12),0))</f>
        <v>44611</v>
      </c>
      <c r="F1221" s="155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1" s="155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2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1" s="157" t="s">
        <v>85</v>
      </c>
      <c r="J1221" t="s">
        <v>21</v>
      </c>
      <c r="K1221" s="2" t="s">
        <v>29</v>
      </c>
      <c r="L1221" s="2" t="s">
        <v>35</v>
      </c>
      <c r="M1221" s="2" t="s">
        <v>382</v>
      </c>
      <c r="N1221" s="2" t="s">
        <v>234</v>
      </c>
      <c r="O1221" s="109">
        <v>1</v>
      </c>
      <c r="P1221" s="109">
        <v>39</v>
      </c>
      <c r="Q1221" s="109">
        <v>390</v>
      </c>
    </row>
    <row r="1222" spans="2:17" x14ac:dyDescent="0.25">
      <c r="B1222" s="114">
        <v>19</v>
      </c>
      <c r="C1222" s="114">
        <v>47</v>
      </c>
      <c r="D1222" s="114">
        <v>91</v>
      </c>
      <c r="E1222" s="154" cm="1">
        <f t="array" ref="E1222">IF(ISBLANK(MainData[[#This Row],[EventID]]),0,IFERROR(INDEX(MainData[],MATCH(MainData[[#This Row],[EventID]],IF(MainData[Product]="Date",MainData[EventID],0),0),12),0))</f>
        <v>44611</v>
      </c>
      <c r="F1222" s="155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2" s="155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2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2" s="157" t="s">
        <v>85</v>
      </c>
      <c r="J1222" t="s">
        <v>21</v>
      </c>
      <c r="K1222" s="2" t="s">
        <v>29</v>
      </c>
      <c r="L1222" s="2" t="s">
        <v>65</v>
      </c>
      <c r="M1222" s="2" t="s">
        <v>383</v>
      </c>
      <c r="N1222" s="2" t="s">
        <v>234</v>
      </c>
      <c r="O1222" s="109">
        <v>1</v>
      </c>
      <c r="P1222" s="109">
        <v>9</v>
      </c>
      <c r="Q1222" s="109">
        <v>180</v>
      </c>
    </row>
    <row r="1223" spans="2:17" x14ac:dyDescent="0.25">
      <c r="B1223" s="114">
        <v>19</v>
      </c>
      <c r="C1223" s="114">
        <v>47</v>
      </c>
      <c r="D1223" s="114">
        <v>91</v>
      </c>
      <c r="E1223" s="154" cm="1">
        <f t="array" ref="E1223">IF(ISBLANK(MainData[[#This Row],[EventID]]),0,IFERROR(INDEX(MainData[],MATCH(MainData[[#This Row],[EventID]],IF(MainData[Product]="Date",MainData[EventID],0),0),12),0))</f>
        <v>44611</v>
      </c>
      <c r="F1223" s="155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3" s="155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2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3" s="20" t="s">
        <v>85</v>
      </c>
      <c r="J1223" t="s">
        <v>21</v>
      </c>
      <c r="K1223" s="2" t="s">
        <v>29</v>
      </c>
      <c r="L1223" s="2" t="s">
        <v>25</v>
      </c>
      <c r="M1223" s="2" t="s">
        <v>12</v>
      </c>
      <c r="N1223" s="2" t="s">
        <v>234</v>
      </c>
      <c r="O1223" s="109">
        <v>1</v>
      </c>
      <c r="P1223" s="109">
        <v>162.21</v>
      </c>
      <c r="Q1223" s="109">
        <v>555</v>
      </c>
    </row>
    <row r="1224" spans="2:17" x14ac:dyDescent="0.25">
      <c r="B1224" s="114">
        <v>12</v>
      </c>
      <c r="C1224" s="114">
        <v>26</v>
      </c>
      <c r="D1224" s="114">
        <v>90</v>
      </c>
      <c r="E1224" s="154" cm="1">
        <f t="array" ref="E1224">IF(ISBLANK(MainData[[#This Row],[EventID]]),0,IFERROR(INDEX(MainData[],MATCH(MainData[[#This Row],[EventID]],IF(MainData[Product]="Date",MainData[EventID],0),0),12),0))</f>
        <v>44611</v>
      </c>
      <c r="F1224" s="155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4" s="155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2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4" s="157" t="s">
        <v>84</v>
      </c>
      <c r="J1224" t="s">
        <v>187</v>
      </c>
      <c r="K1224" s="2" t="s">
        <v>157</v>
      </c>
      <c r="L1224" s="2" t="s">
        <v>81</v>
      </c>
      <c r="M1224" s="2">
        <v>1</v>
      </c>
      <c r="N1224" s="2"/>
      <c r="O1224" s="109"/>
      <c r="P1224" s="109"/>
      <c r="Q1224" s="109"/>
    </row>
    <row r="1225" spans="2:17" x14ac:dyDescent="0.25">
      <c r="B1225" s="114">
        <v>12</v>
      </c>
      <c r="C1225" s="114">
        <v>26</v>
      </c>
      <c r="D1225" s="114">
        <v>90</v>
      </c>
      <c r="E1225" s="154" cm="1">
        <f t="array" ref="E1225">IF(ISBLANK(MainData[[#This Row],[EventID]]),0,IFERROR(INDEX(MainData[],MATCH(MainData[[#This Row],[EventID]],IF(MainData[Product]="Date",MainData[EventID],0),0),12),0))</f>
        <v>44611</v>
      </c>
      <c r="F1225" s="155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5" s="155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2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5" s="157" t="s">
        <v>84</v>
      </c>
      <c r="J1225" t="s">
        <v>187</v>
      </c>
      <c r="K1225" s="2" t="s">
        <v>157</v>
      </c>
      <c r="L1225" s="2" t="s">
        <v>164</v>
      </c>
      <c r="M1225" s="2" t="s">
        <v>418</v>
      </c>
      <c r="N1225" s="2"/>
      <c r="O1225" s="109"/>
      <c r="P1225" s="109"/>
      <c r="Q1225" s="109"/>
    </row>
    <row r="1226" spans="2:17" x14ac:dyDescent="0.25">
      <c r="B1226" s="114">
        <v>12</v>
      </c>
      <c r="C1226" s="114">
        <v>26</v>
      </c>
      <c r="D1226" s="114">
        <v>90</v>
      </c>
      <c r="E1226" s="154" cm="1">
        <f t="array" ref="E1226">IF(ISBLANK(MainData[[#This Row],[EventID]]),0,IFERROR(INDEX(MainData[],MATCH(MainData[[#This Row],[EventID]],IF(MainData[Product]="Date",MainData[EventID],0),0),12),0))</f>
        <v>44611</v>
      </c>
      <c r="F1226" s="155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6" s="155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2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6" s="157" t="s">
        <v>84</v>
      </c>
      <c r="J1226" t="s">
        <v>187</v>
      </c>
      <c r="K1226" s="2" t="s">
        <v>157</v>
      </c>
      <c r="L1226" s="2" t="s">
        <v>0</v>
      </c>
      <c r="M1226" s="158">
        <v>44611</v>
      </c>
      <c r="N1226" s="2"/>
      <c r="O1226" s="109"/>
      <c r="P1226" s="109"/>
      <c r="Q1226" s="109"/>
    </row>
    <row r="1227" spans="2:17" x14ac:dyDescent="0.25">
      <c r="B1227" s="114">
        <v>12</v>
      </c>
      <c r="C1227" s="114">
        <v>26</v>
      </c>
      <c r="D1227" s="114">
        <v>90</v>
      </c>
      <c r="E1227" s="154" cm="1">
        <f t="array" ref="E1227">IF(ISBLANK(MainData[[#This Row],[EventID]]),0,IFERROR(INDEX(MainData[],MATCH(MainData[[#This Row],[EventID]],IF(MainData[Product]="Date",MainData[EventID],0),0),12),0))</f>
        <v>44611</v>
      </c>
      <c r="F1227" s="155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7" s="155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2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7" s="157" t="s">
        <v>84</v>
      </c>
      <c r="J1227" t="s">
        <v>187</v>
      </c>
      <c r="K1227" s="2" t="s">
        <v>157</v>
      </c>
      <c r="L1227" s="2" t="s">
        <v>82</v>
      </c>
      <c r="M1227" s="2">
        <v>803358</v>
      </c>
      <c r="N1227" s="2"/>
      <c r="O1227" s="109"/>
      <c r="P1227" s="109"/>
      <c r="Q1227" s="109"/>
    </row>
    <row r="1228" spans="2:17" x14ac:dyDescent="0.25">
      <c r="B1228" s="114">
        <v>12</v>
      </c>
      <c r="C1228" s="114">
        <v>26</v>
      </c>
      <c r="D1228" s="114">
        <v>90</v>
      </c>
      <c r="E1228" s="154" cm="1">
        <f t="array" ref="E1228">IF(ISBLANK(MainData[[#This Row],[EventID]]),0,IFERROR(INDEX(MainData[],MATCH(MainData[[#This Row],[EventID]],IF(MainData[Product]="Date",MainData[EventID],0),0),12),0))</f>
        <v>44611</v>
      </c>
      <c r="F1228" s="155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8" s="155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2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8" s="157" t="s">
        <v>84</v>
      </c>
      <c r="J1228" t="s">
        <v>187</v>
      </c>
      <c r="K1228" s="2" t="s">
        <v>157</v>
      </c>
      <c r="L1228" s="2" t="s">
        <v>175</v>
      </c>
      <c r="M1228" s="2" t="s">
        <v>457</v>
      </c>
      <c r="N1228" s="2"/>
      <c r="O1228" s="109"/>
      <c r="P1228" s="109"/>
      <c r="Q1228" s="109"/>
    </row>
    <row r="1229" spans="2:17" x14ac:dyDescent="0.25">
      <c r="B1229" s="114">
        <v>12</v>
      </c>
      <c r="C1229" s="114">
        <v>26</v>
      </c>
      <c r="D1229" s="114">
        <v>90</v>
      </c>
      <c r="E1229" s="154" cm="1">
        <f t="array" ref="E1229">IF(ISBLANK(MainData[[#This Row],[EventID]]),0,IFERROR(INDEX(MainData[],MATCH(MainData[[#This Row],[EventID]],IF(MainData[Product]="Date",MainData[EventID],0),0),12),0))</f>
        <v>44611</v>
      </c>
      <c r="F1229" s="155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9" s="155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2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9" s="157" t="s">
        <v>84</v>
      </c>
      <c r="J1229" t="s">
        <v>187</v>
      </c>
      <c r="K1229" s="2" t="s">
        <v>157</v>
      </c>
      <c r="L1229" s="2" t="s">
        <v>20</v>
      </c>
      <c r="M1229" s="2" t="s">
        <v>365</v>
      </c>
      <c r="N1229" s="2"/>
      <c r="O1229" s="109"/>
      <c r="P1229" s="109"/>
      <c r="Q1229" s="109"/>
    </row>
    <row r="1230" spans="2:17" x14ac:dyDescent="0.25">
      <c r="B1230" s="114">
        <v>12</v>
      </c>
      <c r="C1230" s="114">
        <v>26</v>
      </c>
      <c r="D1230" s="114">
        <v>90</v>
      </c>
      <c r="E1230" s="154" cm="1">
        <f t="array" ref="E1230">IF(ISBLANK(MainData[[#This Row],[EventID]]),0,IFERROR(INDEX(MainData[],MATCH(MainData[[#This Row],[EventID]],IF(MainData[Product]="Date",MainData[EventID],0),0),12),0))</f>
        <v>44611</v>
      </c>
      <c r="F1230" s="155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0" s="155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2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0" s="157" t="s">
        <v>84</v>
      </c>
      <c r="J1230" t="s">
        <v>187</v>
      </c>
      <c r="K1230" s="2" t="s">
        <v>157</v>
      </c>
      <c r="L1230" s="2" t="s">
        <v>138</v>
      </c>
      <c r="M1230" s="2">
        <v>47</v>
      </c>
      <c r="N1230" s="2"/>
      <c r="O1230" s="109"/>
      <c r="P1230" s="109"/>
      <c r="Q1230" s="109"/>
    </row>
    <row r="1231" spans="2:17" x14ac:dyDescent="0.25">
      <c r="B1231" s="114">
        <v>12</v>
      </c>
      <c r="C1231" s="114">
        <v>26</v>
      </c>
      <c r="D1231" s="114">
        <v>90</v>
      </c>
      <c r="E1231" s="154" cm="1">
        <f t="array" ref="E1231">IF(ISBLANK(MainData[[#This Row],[EventID]]),0,IFERROR(INDEX(MainData[],MATCH(MainData[[#This Row],[EventID]],IF(MainData[Product]="Date",MainData[EventID],0),0),12),0))</f>
        <v>44611</v>
      </c>
      <c r="F1231" s="155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1" s="155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2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1" s="157" t="s">
        <v>84</v>
      </c>
      <c r="J1231" t="s">
        <v>187</v>
      </c>
      <c r="K1231" s="2" t="s">
        <v>157</v>
      </c>
      <c r="L1231" s="2" t="s">
        <v>86</v>
      </c>
      <c r="M1231" s="2">
        <v>2</v>
      </c>
      <c r="N1231" s="2"/>
      <c r="O1231" s="109"/>
      <c r="P1231" s="109"/>
      <c r="Q1231" s="109"/>
    </row>
    <row r="1232" spans="2:17" x14ac:dyDescent="0.25">
      <c r="B1232" s="114">
        <v>12</v>
      </c>
      <c r="C1232" s="114">
        <v>26</v>
      </c>
      <c r="D1232" s="114">
        <v>90</v>
      </c>
      <c r="E1232" s="154" cm="1">
        <f t="array" ref="E1232">IF(ISBLANK(MainData[[#This Row],[EventID]]),0,IFERROR(INDEX(MainData[],MATCH(MainData[[#This Row],[EventID]],IF(MainData[Product]="Date",MainData[EventID],0),0),12),0))</f>
        <v>44611</v>
      </c>
      <c r="F1232" s="155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2" s="155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2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2" s="157" t="s">
        <v>84</v>
      </c>
      <c r="J1232" t="s">
        <v>187</v>
      </c>
      <c r="K1232" s="2" t="s">
        <v>157</v>
      </c>
      <c r="L1232" s="2" t="s">
        <v>118</v>
      </c>
      <c r="M1232" s="2" t="s">
        <v>462</v>
      </c>
      <c r="N1232" s="2"/>
      <c r="O1232" s="109"/>
      <c r="P1232" s="109"/>
      <c r="Q1232" s="109"/>
    </row>
    <row r="1233" spans="2:17" x14ac:dyDescent="0.25">
      <c r="B1233" s="114">
        <v>12</v>
      </c>
      <c r="C1233" s="114">
        <v>26</v>
      </c>
      <c r="D1233" s="114">
        <v>90</v>
      </c>
      <c r="E1233" s="154" cm="1">
        <f t="array" ref="E1233">IF(ISBLANK(MainData[[#This Row],[EventID]]),0,IFERROR(INDEX(MainData[],MATCH(MainData[[#This Row],[EventID]],IF(MainData[Product]="Date",MainData[EventID],0),0),12),0))</f>
        <v>44611</v>
      </c>
      <c r="F1233" s="155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3" s="155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3" s="2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3" s="157" t="s">
        <v>84</v>
      </c>
      <c r="J1233" t="s">
        <v>187</v>
      </c>
      <c r="K1233" s="2" t="s">
        <v>157</v>
      </c>
      <c r="L1233" s="2" t="s">
        <v>165</v>
      </c>
      <c r="M1233" s="2" t="s">
        <v>405</v>
      </c>
      <c r="N1233" s="2"/>
      <c r="O1233" s="109"/>
      <c r="P1233" s="109"/>
      <c r="Q1233" s="109"/>
    </row>
    <row r="1234" spans="2:17" x14ac:dyDescent="0.25">
      <c r="B1234" s="114">
        <v>12</v>
      </c>
      <c r="C1234" s="114">
        <v>26</v>
      </c>
      <c r="D1234" s="114">
        <v>90</v>
      </c>
      <c r="E1234" s="154" cm="1">
        <f t="array" ref="E1234">IF(ISBLANK(MainData[[#This Row],[EventID]]),0,IFERROR(INDEX(MainData[],MATCH(MainData[[#This Row],[EventID]],IF(MainData[Product]="Date",MainData[EventID],0),0),12),0))</f>
        <v>44611</v>
      </c>
      <c r="F1234" s="155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4" s="155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2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4" s="20" t="s">
        <v>85</v>
      </c>
      <c r="J1234" t="s">
        <v>20</v>
      </c>
      <c r="K1234" s="2" t="s">
        <v>116</v>
      </c>
      <c r="L1234" s="2" t="s">
        <v>88</v>
      </c>
      <c r="M1234" s="2" t="s">
        <v>189</v>
      </c>
      <c r="N1234" s="2" t="s">
        <v>233</v>
      </c>
      <c r="O1234" s="109">
        <v>1</v>
      </c>
      <c r="P1234" s="109"/>
      <c r="Q1234" s="109"/>
    </row>
    <row r="1235" spans="2:17" x14ac:dyDescent="0.25">
      <c r="B1235" s="114">
        <v>12</v>
      </c>
      <c r="C1235" s="114">
        <v>26</v>
      </c>
      <c r="D1235" s="114">
        <v>90</v>
      </c>
      <c r="E1235" s="154" cm="1">
        <f t="array" ref="E1235">IF(ISBLANK(MainData[[#This Row],[EventID]]),0,IFERROR(INDEX(MainData[],MATCH(MainData[[#This Row],[EventID]],IF(MainData[Product]="Date",MainData[EventID],0),0),12),0))</f>
        <v>44611</v>
      </c>
      <c r="F1235" s="155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5" s="155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2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5" s="20" t="s">
        <v>85</v>
      </c>
      <c r="J1235" t="s">
        <v>20</v>
      </c>
      <c r="K1235" s="2" t="s">
        <v>116</v>
      </c>
      <c r="L1235" s="2" t="s">
        <v>87</v>
      </c>
      <c r="M1235" s="2" t="s">
        <v>188</v>
      </c>
      <c r="N1235" s="2" t="s">
        <v>233</v>
      </c>
      <c r="O1235" s="109">
        <v>1</v>
      </c>
      <c r="P1235" s="109"/>
      <c r="Q1235" s="109">
        <v>100</v>
      </c>
    </row>
    <row r="1236" spans="2:17" x14ac:dyDescent="0.25">
      <c r="B1236" s="114">
        <v>12</v>
      </c>
      <c r="C1236" s="114">
        <v>26</v>
      </c>
      <c r="D1236" s="114">
        <v>90</v>
      </c>
      <c r="E1236" s="154" cm="1">
        <f t="array" ref="E1236">IF(ISBLANK(MainData[[#This Row],[EventID]]),0,IFERROR(INDEX(MainData[],MATCH(MainData[[#This Row],[EventID]],IF(MainData[Product]="Date",MainData[EventID],0),0),12),0))</f>
        <v>44611</v>
      </c>
      <c r="F1236" s="155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6" s="155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2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6" s="157" t="s">
        <v>85</v>
      </c>
      <c r="J1236" t="s">
        <v>20</v>
      </c>
      <c r="K1236" s="2" t="s">
        <v>29</v>
      </c>
      <c r="L1236" s="2" t="s">
        <v>35</v>
      </c>
      <c r="M1236" s="2" t="s">
        <v>382</v>
      </c>
      <c r="N1236" s="2" t="s">
        <v>234</v>
      </c>
      <c r="O1236" s="109">
        <v>1</v>
      </c>
      <c r="P1236" s="109">
        <v>38</v>
      </c>
      <c r="Q1236" s="109">
        <v>410.5</v>
      </c>
    </row>
    <row r="1237" spans="2:17" x14ac:dyDescent="0.25">
      <c r="B1237" s="114">
        <v>12</v>
      </c>
      <c r="C1237" s="114">
        <v>26</v>
      </c>
      <c r="D1237" s="114">
        <v>90</v>
      </c>
      <c r="E1237" s="154" cm="1">
        <f t="array" ref="E1237">IF(ISBLANK(MainData[[#This Row],[EventID]]),0,IFERROR(INDEX(MainData[],MATCH(MainData[[#This Row],[EventID]],IF(MainData[Product]="Date",MainData[EventID],0),0),12),0))</f>
        <v>44611</v>
      </c>
      <c r="F1237" s="155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7" s="155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2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7" s="157" t="s">
        <v>85</v>
      </c>
      <c r="J1237" t="s">
        <v>20</v>
      </c>
      <c r="K1237" s="2" t="s">
        <v>29</v>
      </c>
      <c r="L1237" s="2" t="s">
        <v>65</v>
      </c>
      <c r="M1237" s="2" t="s">
        <v>383</v>
      </c>
      <c r="N1237" s="2" t="s">
        <v>234</v>
      </c>
      <c r="O1237" s="109">
        <v>1</v>
      </c>
      <c r="P1237" s="109">
        <v>3.25</v>
      </c>
      <c r="Q1237" s="109">
        <v>65.099999999999994</v>
      </c>
    </row>
    <row r="1238" spans="2:17" x14ac:dyDescent="0.25">
      <c r="B1238" s="114">
        <v>12</v>
      </c>
      <c r="C1238" s="114">
        <v>26</v>
      </c>
      <c r="D1238" s="114">
        <v>90</v>
      </c>
      <c r="E1238" s="154" cm="1">
        <f t="array" ref="E1238">IF(ISBLANK(MainData[[#This Row],[EventID]]),0,IFERROR(INDEX(MainData[],MATCH(MainData[[#This Row],[EventID]],IF(MainData[Product]="Date",MainData[EventID],0),0),12),0))</f>
        <v>44611</v>
      </c>
      <c r="F1238" s="155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8" s="155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2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8" s="20" t="s">
        <v>85</v>
      </c>
      <c r="J1238" t="s">
        <v>20</v>
      </c>
      <c r="K1238" s="2" t="s">
        <v>29</v>
      </c>
      <c r="L1238" s="2" t="s">
        <v>25</v>
      </c>
      <c r="M1238" s="2" t="s">
        <v>385</v>
      </c>
      <c r="N1238" s="2" t="s">
        <v>234</v>
      </c>
      <c r="O1238" s="109">
        <v>1</v>
      </c>
      <c r="P1238" s="109">
        <v>38.950000000000003</v>
      </c>
      <c r="Q1238" s="109">
        <v>407.5</v>
      </c>
    </row>
    <row r="1239" spans="2:17" x14ac:dyDescent="0.25">
      <c r="B1239" s="114">
        <v>22</v>
      </c>
      <c r="C1239" s="114">
        <v>51</v>
      </c>
      <c r="D1239" s="114">
        <v>92</v>
      </c>
      <c r="E1239" s="154" cm="1">
        <f t="array" ref="E1239">IF(ISBLANK(MainData[[#This Row],[EventID]]),0,IFERROR(INDEX(MainData[],MATCH(MainData[[#This Row],[EventID]],IF(MainData[Product]="Date",MainData[EventID],0),0),12),0))</f>
        <v>44612</v>
      </c>
      <c r="F1239" s="155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9" s="155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2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9" s="157" t="s">
        <v>84</v>
      </c>
      <c r="J1239" t="s">
        <v>187</v>
      </c>
      <c r="K1239" s="2" t="s">
        <v>157</v>
      </c>
      <c r="L1239" s="2" t="s">
        <v>81</v>
      </c>
      <c r="M1239" s="2">
        <v>1</v>
      </c>
      <c r="N1239" s="2"/>
      <c r="O1239" s="109"/>
      <c r="P1239" s="109"/>
      <c r="Q1239" s="109"/>
    </row>
    <row r="1240" spans="2:17" x14ac:dyDescent="0.25">
      <c r="B1240" s="114">
        <v>22</v>
      </c>
      <c r="C1240" s="114">
        <v>51</v>
      </c>
      <c r="D1240" s="114">
        <v>120</v>
      </c>
      <c r="E1240" s="154" cm="1">
        <f t="array" ref="E1240">IF(ISBLANK(MainData[[#This Row],[EventID]]),0,IFERROR(INDEX(MainData[],MATCH(MainData[[#This Row],[EventID]],IF(MainData[Product]="Date",MainData[EventID],0),0),12),0))</f>
        <v>44612</v>
      </c>
      <c r="F1240" s="155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0" s="155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0" s="2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0" s="157" t="s">
        <v>84</v>
      </c>
      <c r="J1240" t="s">
        <v>187</v>
      </c>
      <c r="K1240" s="2" t="s">
        <v>157</v>
      </c>
      <c r="L1240" s="2" t="s">
        <v>81</v>
      </c>
      <c r="M1240" s="2">
        <v>2</v>
      </c>
      <c r="N1240" s="2"/>
      <c r="O1240" s="109"/>
      <c r="P1240" s="109"/>
      <c r="Q1240" s="109"/>
    </row>
    <row r="1241" spans="2:17" x14ac:dyDescent="0.25">
      <c r="B1241" s="114">
        <v>22</v>
      </c>
      <c r="C1241" s="114">
        <v>51</v>
      </c>
      <c r="D1241" s="114">
        <v>92</v>
      </c>
      <c r="E1241" s="154" cm="1">
        <f t="array" ref="E1241">IF(ISBLANK(MainData[[#This Row],[EventID]]),0,IFERROR(INDEX(MainData[],MATCH(MainData[[#This Row],[EventID]],IF(MainData[Product]="Date",MainData[EventID],0),0),12),0))</f>
        <v>44612</v>
      </c>
      <c r="F1241" s="155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1" s="155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1" s="2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1" s="157" t="s">
        <v>84</v>
      </c>
      <c r="J1241" t="s">
        <v>187</v>
      </c>
      <c r="K1241" s="2" t="s">
        <v>157</v>
      </c>
      <c r="L1241" s="2" t="s">
        <v>0</v>
      </c>
      <c r="M1241" s="158">
        <v>44612</v>
      </c>
      <c r="N1241" s="2"/>
      <c r="O1241" s="109"/>
      <c r="P1241" s="109"/>
      <c r="Q1241" s="109"/>
    </row>
    <row r="1242" spans="2:17" x14ac:dyDescent="0.25">
      <c r="B1242" s="114">
        <v>22</v>
      </c>
      <c r="C1242" s="114">
        <v>51</v>
      </c>
      <c r="D1242" s="114">
        <v>92</v>
      </c>
      <c r="E1242" s="154" cm="1">
        <f t="array" ref="E1242">IF(ISBLANK(MainData[[#This Row],[EventID]]),0,IFERROR(INDEX(MainData[],MATCH(MainData[[#This Row],[EventID]],IF(MainData[Product]="Date",MainData[EventID],0),0),12),0))</f>
        <v>44612</v>
      </c>
      <c r="F1242" s="155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2" s="155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2" s="2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2" s="157" t="s">
        <v>84</v>
      </c>
      <c r="J1242" t="s">
        <v>187</v>
      </c>
      <c r="K1242" s="2" t="s">
        <v>157</v>
      </c>
      <c r="L1242" s="2" t="s">
        <v>82</v>
      </c>
      <c r="M1242" s="2">
        <v>60486</v>
      </c>
      <c r="N1242" s="2"/>
      <c r="O1242" s="109"/>
      <c r="P1242" s="109"/>
      <c r="Q1242" s="109"/>
    </row>
    <row r="1243" spans="2:17" x14ac:dyDescent="0.25">
      <c r="B1243" s="114">
        <v>22</v>
      </c>
      <c r="C1243" s="114">
        <v>51</v>
      </c>
      <c r="D1243" s="114">
        <v>92</v>
      </c>
      <c r="E1243" s="154" cm="1">
        <f t="array" ref="E1243">IF(ISBLANK(MainData[[#This Row],[EventID]]),0,IFERROR(INDEX(MainData[],MATCH(MainData[[#This Row],[EventID]],IF(MainData[Product]="Date",MainData[EventID],0),0),12),0))</f>
        <v>44612</v>
      </c>
      <c r="F1243" s="155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3" s="155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3" s="2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3" s="157" t="s">
        <v>84</v>
      </c>
      <c r="J1243" t="s">
        <v>187</v>
      </c>
      <c r="K1243" s="2" t="s">
        <v>157</v>
      </c>
      <c r="L1243" s="2" t="s">
        <v>175</v>
      </c>
      <c r="M1243" s="2" t="s">
        <v>481</v>
      </c>
      <c r="N1243" s="2"/>
      <c r="O1243" s="109"/>
      <c r="P1243" s="109"/>
      <c r="Q1243" s="109"/>
    </row>
    <row r="1244" spans="2:17" x14ac:dyDescent="0.25">
      <c r="B1244" s="114">
        <v>22</v>
      </c>
      <c r="C1244" s="114">
        <v>51</v>
      </c>
      <c r="D1244" s="114">
        <v>92</v>
      </c>
      <c r="E1244" s="154" cm="1">
        <f t="array" ref="E1244">IF(ISBLANK(MainData[[#This Row],[EventID]]),0,IFERROR(INDEX(MainData[],MATCH(MainData[[#This Row],[EventID]],IF(MainData[Product]="Date",MainData[EventID],0),0),12),0))</f>
        <v>44612</v>
      </c>
      <c r="F1244" s="155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4" s="155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2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4" s="157" t="s">
        <v>84</v>
      </c>
      <c r="J1244" t="s">
        <v>187</v>
      </c>
      <c r="K1244" s="2" t="s">
        <v>157</v>
      </c>
      <c r="L1244" s="2" t="s">
        <v>138</v>
      </c>
      <c r="M1244" s="2">
        <v>350</v>
      </c>
      <c r="N1244" s="2"/>
      <c r="O1244" s="109"/>
      <c r="P1244" s="109"/>
      <c r="Q1244" s="109"/>
    </row>
    <row r="1245" spans="2:17" x14ac:dyDescent="0.25">
      <c r="B1245" s="114">
        <v>22</v>
      </c>
      <c r="C1245" s="114">
        <v>51</v>
      </c>
      <c r="D1245" s="114">
        <v>92</v>
      </c>
      <c r="E1245" s="154" cm="1">
        <f t="array" ref="E1245">IF(ISBLANK(MainData[[#This Row],[EventID]]),0,IFERROR(INDEX(MainData[],MATCH(MainData[[#This Row],[EventID]],IF(MainData[Product]="Date",MainData[EventID],0),0),12),0))</f>
        <v>44612</v>
      </c>
      <c r="F1245" s="155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5" s="155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2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5" s="157" t="s">
        <v>84</v>
      </c>
      <c r="J1245" t="s">
        <v>187</v>
      </c>
      <c r="K1245" s="2" t="s">
        <v>157</v>
      </c>
      <c r="L1245" s="2" t="s">
        <v>86</v>
      </c>
      <c r="M1245" s="2">
        <v>6</v>
      </c>
      <c r="N1245" s="2"/>
      <c r="O1245" s="109"/>
      <c r="P1245" s="109"/>
      <c r="Q1245" s="109"/>
    </row>
    <row r="1246" spans="2:17" x14ac:dyDescent="0.25">
      <c r="B1246" s="114">
        <v>22</v>
      </c>
      <c r="C1246" s="114">
        <v>51</v>
      </c>
      <c r="D1246" s="114">
        <v>92</v>
      </c>
      <c r="E1246" s="154" cm="1">
        <f t="array" ref="E1246">IF(ISBLANK(MainData[[#This Row],[EventID]]),0,IFERROR(INDEX(MainData[],MATCH(MainData[[#This Row],[EventID]],IF(MainData[Product]="Date",MainData[EventID],0),0),12),0))</f>
        <v>44612</v>
      </c>
      <c r="F1246" s="155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6" s="155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2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6" s="157" t="s">
        <v>84</v>
      </c>
      <c r="J1246" t="s">
        <v>187</v>
      </c>
      <c r="K1246" s="2" t="s">
        <v>157</v>
      </c>
      <c r="L1246" s="2" t="s">
        <v>118</v>
      </c>
      <c r="M1246" s="2" t="s">
        <v>462</v>
      </c>
      <c r="N1246" s="2"/>
      <c r="O1246" s="109"/>
      <c r="P1246" s="109"/>
      <c r="Q1246" s="109"/>
    </row>
    <row r="1247" spans="2:17" x14ac:dyDescent="0.25">
      <c r="B1247" s="114">
        <v>22</v>
      </c>
      <c r="C1247" s="114">
        <v>51</v>
      </c>
      <c r="D1247" s="114">
        <v>120</v>
      </c>
      <c r="E1247" s="154" cm="1">
        <f t="array" ref="E1247">IF(ISBLANK(MainData[[#This Row],[EventID]]),0,IFERROR(INDEX(MainData[],MATCH(MainData[[#This Row],[EventID]],IF(MainData[Product]="Date",MainData[EventID],0),0),12),0))</f>
        <v>44612</v>
      </c>
      <c r="F1247" s="155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7" s="155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7" s="2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7" s="157" t="s">
        <v>85</v>
      </c>
      <c r="J1247" t="s">
        <v>22</v>
      </c>
      <c r="K1247" s="2" t="s">
        <v>29</v>
      </c>
      <c r="L1247" s="2" t="s">
        <v>35</v>
      </c>
      <c r="M1247" s="2" t="s">
        <v>382</v>
      </c>
      <c r="N1247" s="2" t="s">
        <v>234</v>
      </c>
      <c r="O1247" s="109">
        <v>1</v>
      </c>
      <c r="P1247" s="109"/>
      <c r="Q1247" s="109"/>
    </row>
    <row r="1248" spans="2:17" x14ac:dyDescent="0.25">
      <c r="B1248" s="114">
        <v>22</v>
      </c>
      <c r="C1248" s="114">
        <v>51</v>
      </c>
      <c r="D1248" s="114">
        <v>120</v>
      </c>
      <c r="E1248" s="154" cm="1">
        <f t="array" ref="E1248">IF(ISBLANK(MainData[[#This Row],[EventID]]),0,IFERROR(INDEX(MainData[],MATCH(MainData[[#This Row],[EventID]],IF(MainData[Product]="Date",MainData[EventID],0),0),12),0))</f>
        <v>44612</v>
      </c>
      <c r="F1248" s="155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8" s="155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8" s="2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8" s="20" t="s">
        <v>85</v>
      </c>
      <c r="J1248" t="s">
        <v>22</v>
      </c>
      <c r="K1248" s="2" t="s">
        <v>29</v>
      </c>
      <c r="L1248" s="2" t="s">
        <v>36</v>
      </c>
      <c r="M1248" s="2" t="s">
        <v>390</v>
      </c>
      <c r="N1248" s="2" t="s">
        <v>234</v>
      </c>
      <c r="O1248" s="109">
        <v>1</v>
      </c>
      <c r="P1248" s="109">
        <v>0.61</v>
      </c>
      <c r="Q1248" s="109">
        <v>10.11</v>
      </c>
    </row>
    <row r="1249" spans="2:17" x14ac:dyDescent="0.25">
      <c r="B1249" s="114">
        <v>22</v>
      </c>
      <c r="C1249" s="114">
        <v>51</v>
      </c>
      <c r="D1249" s="114">
        <v>120</v>
      </c>
      <c r="E1249" s="154" cm="1">
        <f t="array" ref="E1249">IF(ISBLANK(MainData[[#This Row],[EventID]]),0,IFERROR(INDEX(MainData[],MATCH(MainData[[#This Row],[EventID]],IF(MainData[Product]="Date",MainData[EventID],0),0),12),0))</f>
        <v>44612</v>
      </c>
      <c r="F1249" s="155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9" s="155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9" s="2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9" s="157" t="s">
        <v>85</v>
      </c>
      <c r="J1249" t="s">
        <v>22</v>
      </c>
      <c r="K1249" s="2" t="s">
        <v>29</v>
      </c>
      <c r="L1249" s="2" t="s">
        <v>65</v>
      </c>
      <c r="M1249" s="2" t="s">
        <v>383</v>
      </c>
      <c r="N1249" s="2" t="s">
        <v>234</v>
      </c>
      <c r="O1249" s="109">
        <v>1</v>
      </c>
      <c r="P1249" s="109"/>
      <c r="Q1249" s="109"/>
    </row>
    <row r="1250" spans="2:17" x14ac:dyDescent="0.25">
      <c r="B1250" s="114">
        <v>22</v>
      </c>
      <c r="C1250" s="114">
        <v>51</v>
      </c>
      <c r="D1250" s="114">
        <v>120</v>
      </c>
      <c r="E1250" s="154" cm="1">
        <f t="array" ref="E1250">IF(ISBLANK(MainData[[#This Row],[EventID]]),0,IFERROR(INDEX(MainData[],MATCH(MainData[[#This Row],[EventID]],IF(MainData[Product]="Date",MainData[EventID],0),0),12),0))</f>
        <v>44612</v>
      </c>
      <c r="F1250" s="155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0" s="155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0" s="2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0" s="157" t="s">
        <v>85</v>
      </c>
      <c r="J1250" t="s">
        <v>22</v>
      </c>
      <c r="K1250" s="2" t="s">
        <v>29</v>
      </c>
      <c r="L1250" s="2" t="s">
        <v>25</v>
      </c>
      <c r="M1250" s="2" t="s">
        <v>385</v>
      </c>
      <c r="N1250" s="2" t="s">
        <v>234</v>
      </c>
      <c r="O1250" s="109">
        <v>1</v>
      </c>
      <c r="P1250" s="109">
        <v>0.5</v>
      </c>
      <c r="Q1250" s="109">
        <v>9.5</v>
      </c>
    </row>
    <row r="1251" spans="2:17" x14ac:dyDescent="0.25">
      <c r="B1251" s="114">
        <v>22</v>
      </c>
      <c r="C1251" s="114">
        <v>51</v>
      </c>
      <c r="D1251" s="114">
        <v>92</v>
      </c>
      <c r="E1251" s="154" cm="1">
        <f t="array" ref="E1251">IF(ISBLANK(MainData[[#This Row],[EventID]]),0,IFERROR(INDEX(MainData[],MATCH(MainData[[#This Row],[EventID]],IF(MainData[Product]="Date",MainData[EventID],0),0),12),0))</f>
        <v>44612</v>
      </c>
      <c r="F1251" s="155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1" s="155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2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1" s="20" t="s">
        <v>85</v>
      </c>
      <c r="J1251" t="s">
        <v>20</v>
      </c>
      <c r="K1251" s="2" t="s">
        <v>116</v>
      </c>
      <c r="L1251" s="2" t="s">
        <v>88</v>
      </c>
      <c r="M1251" s="2" t="s">
        <v>189</v>
      </c>
      <c r="N1251" s="2" t="s">
        <v>233</v>
      </c>
      <c r="O1251" s="109">
        <v>1</v>
      </c>
      <c r="P1251" s="109"/>
      <c r="Q1251" s="109"/>
    </row>
    <row r="1252" spans="2:17" x14ac:dyDescent="0.25">
      <c r="B1252" s="114">
        <v>22</v>
      </c>
      <c r="C1252" s="114">
        <v>51</v>
      </c>
      <c r="D1252" s="114">
        <v>92</v>
      </c>
      <c r="E1252" s="154" cm="1">
        <f t="array" ref="E1252">IF(ISBLANK(MainData[[#This Row],[EventID]]),0,IFERROR(INDEX(MainData[],MATCH(MainData[[#This Row],[EventID]],IF(MainData[Product]="Date",MainData[EventID],0),0),12),0))</f>
        <v>44612</v>
      </c>
      <c r="F1252" s="155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2" s="155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2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2" s="20" t="s">
        <v>85</v>
      </c>
      <c r="J1252" t="s">
        <v>20</v>
      </c>
      <c r="K1252" s="2" t="s">
        <v>116</v>
      </c>
      <c r="L1252" s="2" t="s">
        <v>87</v>
      </c>
      <c r="M1252" s="2" t="s">
        <v>188</v>
      </c>
      <c r="N1252" s="2" t="s">
        <v>233</v>
      </c>
      <c r="O1252" s="109">
        <v>1</v>
      </c>
      <c r="P1252" s="109"/>
      <c r="Q1252" s="109">
        <v>100</v>
      </c>
    </row>
    <row r="1253" spans="2:17" x14ac:dyDescent="0.25">
      <c r="B1253" s="114">
        <v>22</v>
      </c>
      <c r="C1253" s="114">
        <v>58</v>
      </c>
      <c r="D1253" s="114">
        <v>93</v>
      </c>
      <c r="E1253" s="154" cm="1">
        <f t="array" ref="E1253">IF(ISBLANK(MainData[[#This Row],[EventID]]),0,IFERROR(INDEX(MainData[],MATCH(MainData[[#This Row],[EventID]],IF(MainData[Product]="Date",MainData[EventID],0),0),12),0))</f>
        <v>44612</v>
      </c>
      <c r="F1253" s="155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3" s="155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2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3" s="157" t="s">
        <v>84</v>
      </c>
      <c r="J1253" t="s">
        <v>187</v>
      </c>
      <c r="K1253" s="2" t="s">
        <v>157</v>
      </c>
      <c r="L1253" s="2" t="s">
        <v>81</v>
      </c>
      <c r="M1253" s="2">
        <v>1</v>
      </c>
      <c r="N1253" s="2"/>
      <c r="O1253" s="109"/>
      <c r="P1253" s="109"/>
      <c r="Q1253" s="109"/>
    </row>
    <row r="1254" spans="2:17" x14ac:dyDescent="0.25">
      <c r="B1254" s="114">
        <v>22</v>
      </c>
      <c r="C1254" s="114">
        <v>58</v>
      </c>
      <c r="D1254" s="114">
        <v>121</v>
      </c>
      <c r="E1254" s="154" cm="1">
        <f t="array" ref="E1254">IF(ISBLANK(MainData[[#This Row],[EventID]]),0,IFERROR(INDEX(MainData[],MATCH(MainData[[#This Row],[EventID]],IF(MainData[Product]="Date",MainData[EventID],0),0),12),0))</f>
        <v>44612</v>
      </c>
      <c r="F1254" s="155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4" s="155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4" s="2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4" s="157" t="s">
        <v>84</v>
      </c>
      <c r="J1254" t="s">
        <v>187</v>
      </c>
      <c r="K1254" s="2" t="s">
        <v>157</v>
      </c>
      <c r="L1254" s="2" t="s">
        <v>81</v>
      </c>
      <c r="M1254" s="2">
        <v>2</v>
      </c>
      <c r="N1254" s="2"/>
      <c r="O1254" s="109"/>
      <c r="P1254" s="109"/>
      <c r="Q1254" s="109"/>
    </row>
    <row r="1255" spans="2:17" x14ac:dyDescent="0.25">
      <c r="B1255" s="114">
        <v>22</v>
      </c>
      <c r="C1255" s="114">
        <v>58</v>
      </c>
      <c r="D1255" s="114">
        <v>93</v>
      </c>
      <c r="E1255" s="154" cm="1">
        <f t="array" ref="E1255">IF(ISBLANK(MainData[[#This Row],[EventID]]),0,IFERROR(INDEX(MainData[],MATCH(MainData[[#This Row],[EventID]],IF(MainData[Product]="Date",MainData[EventID],0),0),12),0))</f>
        <v>44612</v>
      </c>
      <c r="F1255" s="155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5" s="155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5" s="2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5" s="157" t="s">
        <v>84</v>
      </c>
      <c r="J1255" t="s">
        <v>187</v>
      </c>
      <c r="K1255" s="2" t="s">
        <v>157</v>
      </c>
      <c r="L1255" s="2" t="s">
        <v>0</v>
      </c>
      <c r="M1255" s="158">
        <v>44612</v>
      </c>
      <c r="N1255" s="2"/>
      <c r="O1255" s="109"/>
      <c r="P1255" s="109"/>
      <c r="Q1255" s="109"/>
    </row>
    <row r="1256" spans="2:17" x14ac:dyDescent="0.25">
      <c r="B1256" s="114">
        <v>22</v>
      </c>
      <c r="C1256" s="114">
        <v>58</v>
      </c>
      <c r="D1256" s="114">
        <v>93</v>
      </c>
      <c r="E1256" s="154" cm="1">
        <f t="array" ref="E1256">IF(ISBLANK(MainData[[#This Row],[EventID]]),0,IFERROR(INDEX(MainData[],MATCH(MainData[[#This Row],[EventID]],IF(MainData[Product]="Date",MainData[EventID],0),0),12),0))</f>
        <v>44612</v>
      </c>
      <c r="F1256" s="155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6" s="155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6" s="2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6" s="157" t="s">
        <v>84</v>
      </c>
      <c r="J1256" t="s">
        <v>187</v>
      </c>
      <c r="K1256" s="2" t="s">
        <v>157</v>
      </c>
      <c r="L1256" s="2" t="s">
        <v>82</v>
      </c>
      <c r="M1256" s="2">
        <v>861609</v>
      </c>
      <c r="N1256" s="2"/>
      <c r="O1256" s="109"/>
      <c r="P1256" s="109"/>
      <c r="Q1256" s="109"/>
    </row>
    <row r="1257" spans="2:17" x14ac:dyDescent="0.25">
      <c r="B1257" s="114">
        <v>22</v>
      </c>
      <c r="C1257" s="114">
        <v>58</v>
      </c>
      <c r="D1257" s="114">
        <v>93</v>
      </c>
      <c r="E1257" s="154" cm="1">
        <f t="array" ref="E1257">IF(ISBLANK(MainData[[#This Row],[EventID]]),0,IFERROR(INDEX(MainData[],MATCH(MainData[[#This Row],[EventID]],IF(MainData[Product]="Date",MainData[EventID],0),0),12),0))</f>
        <v>44612</v>
      </c>
      <c r="F1257" s="155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7" s="155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7" s="2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7" s="157" t="s">
        <v>84</v>
      </c>
      <c r="J1257" t="s">
        <v>187</v>
      </c>
      <c r="K1257" s="2" t="s">
        <v>157</v>
      </c>
      <c r="L1257" s="2" t="s">
        <v>175</v>
      </c>
      <c r="M1257" s="2" t="s">
        <v>481</v>
      </c>
      <c r="N1257" s="2"/>
      <c r="O1257" s="109"/>
      <c r="P1257" s="109"/>
      <c r="Q1257" s="109"/>
    </row>
    <row r="1258" spans="2:17" x14ac:dyDescent="0.25">
      <c r="B1258" s="114">
        <v>22</v>
      </c>
      <c r="C1258" s="114">
        <v>58</v>
      </c>
      <c r="D1258" s="114">
        <v>93</v>
      </c>
      <c r="E1258" s="154" cm="1">
        <f t="array" ref="E1258">IF(ISBLANK(MainData[[#This Row],[EventID]]),0,IFERROR(INDEX(MainData[],MATCH(MainData[[#This Row],[EventID]],IF(MainData[Product]="Date",MainData[EventID],0),0),12),0))</f>
        <v>44612</v>
      </c>
      <c r="F1258" s="155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8" s="155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2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8" s="157" t="s">
        <v>84</v>
      </c>
      <c r="J1258" t="s">
        <v>187</v>
      </c>
      <c r="K1258" s="2" t="s">
        <v>157</v>
      </c>
      <c r="L1258" s="2" t="s">
        <v>138</v>
      </c>
      <c r="M1258" s="2">
        <v>700</v>
      </c>
      <c r="N1258" s="2"/>
      <c r="O1258" s="109"/>
      <c r="P1258" s="109"/>
      <c r="Q1258" s="109"/>
    </row>
    <row r="1259" spans="2:17" x14ac:dyDescent="0.25">
      <c r="B1259" s="114">
        <v>22</v>
      </c>
      <c r="C1259" s="114">
        <v>58</v>
      </c>
      <c r="D1259" s="114">
        <v>93</v>
      </c>
      <c r="E1259" s="154" cm="1">
        <f t="array" ref="E1259">IF(ISBLANK(MainData[[#This Row],[EventID]]),0,IFERROR(INDEX(MainData[],MATCH(MainData[[#This Row],[EventID]],IF(MainData[Product]="Date",MainData[EventID],0),0),12),0))</f>
        <v>44612</v>
      </c>
      <c r="F1259" s="155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9" s="155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2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9" s="157" t="s">
        <v>84</v>
      </c>
      <c r="J1259" t="s">
        <v>187</v>
      </c>
      <c r="K1259" s="2" t="s">
        <v>157</v>
      </c>
      <c r="L1259" s="2" t="s">
        <v>86</v>
      </c>
      <c r="M1259" s="2">
        <v>6</v>
      </c>
      <c r="N1259" s="2"/>
      <c r="O1259" s="109"/>
      <c r="P1259" s="109"/>
      <c r="Q1259" s="109"/>
    </row>
    <row r="1260" spans="2:17" x14ac:dyDescent="0.25">
      <c r="B1260" s="114">
        <v>22</v>
      </c>
      <c r="C1260" s="114">
        <v>58</v>
      </c>
      <c r="D1260" s="114">
        <v>93</v>
      </c>
      <c r="E1260" s="154" cm="1">
        <f t="array" ref="E1260">IF(ISBLANK(MainData[[#This Row],[EventID]]),0,IFERROR(INDEX(MainData[],MATCH(MainData[[#This Row],[EventID]],IF(MainData[Product]="Date",MainData[EventID],0),0),12),0))</f>
        <v>44612</v>
      </c>
      <c r="F1260" s="155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0" s="155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2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0" s="157" t="s">
        <v>84</v>
      </c>
      <c r="J1260" t="s">
        <v>187</v>
      </c>
      <c r="K1260" s="2" t="s">
        <v>157</v>
      </c>
      <c r="L1260" s="2" t="s">
        <v>118</v>
      </c>
      <c r="M1260" s="2" t="s">
        <v>463</v>
      </c>
      <c r="N1260" s="2"/>
      <c r="O1260" s="109"/>
      <c r="P1260" s="109"/>
      <c r="Q1260" s="109"/>
    </row>
    <row r="1261" spans="2:17" x14ac:dyDescent="0.25">
      <c r="B1261" s="114">
        <v>22</v>
      </c>
      <c r="C1261" s="114">
        <v>58</v>
      </c>
      <c r="D1261" s="114">
        <v>121</v>
      </c>
      <c r="E1261" s="154" cm="1">
        <f t="array" ref="E1261">IF(ISBLANK(MainData[[#This Row],[EventID]]),0,IFERROR(INDEX(MainData[],MATCH(MainData[[#This Row],[EventID]],IF(MainData[Product]="Date",MainData[EventID],0),0),12),0))</f>
        <v>44612</v>
      </c>
      <c r="F1261" s="155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1" s="155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1" s="2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1" s="157" t="s">
        <v>85</v>
      </c>
      <c r="J1261" t="s">
        <v>22</v>
      </c>
      <c r="K1261" s="2" t="s">
        <v>29</v>
      </c>
      <c r="L1261" s="2" t="s">
        <v>35</v>
      </c>
      <c r="M1261" s="2" t="s">
        <v>382</v>
      </c>
      <c r="N1261" s="2" t="s">
        <v>234</v>
      </c>
      <c r="O1261" s="109">
        <v>3</v>
      </c>
      <c r="P1261" s="109">
        <v>32</v>
      </c>
      <c r="Q1261" s="109">
        <v>315.3</v>
      </c>
    </row>
    <row r="1262" spans="2:17" x14ac:dyDescent="0.25">
      <c r="B1262" s="114">
        <v>22</v>
      </c>
      <c r="C1262" s="114">
        <v>58</v>
      </c>
      <c r="D1262" s="114">
        <v>121</v>
      </c>
      <c r="E1262" s="154" cm="1">
        <f t="array" ref="E1262">IF(ISBLANK(MainData[[#This Row],[EventID]]),0,IFERROR(INDEX(MainData[],MATCH(MainData[[#This Row],[EventID]],IF(MainData[Product]="Date",MainData[EventID],0),0),12),0))</f>
        <v>44612</v>
      </c>
      <c r="F1262" s="155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2" s="155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2" s="2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2" s="20" t="s">
        <v>85</v>
      </c>
      <c r="J1262" t="s">
        <v>22</v>
      </c>
      <c r="K1262" s="2" t="s">
        <v>29</v>
      </c>
      <c r="L1262" s="2" t="s">
        <v>36</v>
      </c>
      <c r="M1262" s="2" t="s">
        <v>390</v>
      </c>
      <c r="N1262" s="2" t="s">
        <v>234</v>
      </c>
      <c r="O1262" s="109">
        <v>3</v>
      </c>
      <c r="P1262" s="109">
        <v>100.84</v>
      </c>
      <c r="Q1262" s="109">
        <v>643.15</v>
      </c>
    </row>
    <row r="1263" spans="2:17" x14ac:dyDescent="0.25">
      <c r="B1263" s="114">
        <v>22</v>
      </c>
      <c r="C1263" s="114">
        <v>58</v>
      </c>
      <c r="D1263" s="114">
        <v>121</v>
      </c>
      <c r="E1263" s="154" cm="1">
        <f t="array" ref="E1263">IF(ISBLANK(MainData[[#This Row],[EventID]]),0,IFERROR(INDEX(MainData[],MATCH(MainData[[#This Row],[EventID]],IF(MainData[Product]="Date",MainData[EventID],0),0),12),0))</f>
        <v>44612</v>
      </c>
      <c r="F1263" s="155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3" s="155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3" s="2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3" s="157" t="s">
        <v>85</v>
      </c>
      <c r="J1263" t="s">
        <v>22</v>
      </c>
      <c r="K1263" s="2" t="s">
        <v>29</v>
      </c>
      <c r="L1263" s="2" t="s">
        <v>65</v>
      </c>
      <c r="M1263" s="2" t="s">
        <v>383</v>
      </c>
      <c r="N1263" s="2" t="s">
        <v>234</v>
      </c>
      <c r="O1263" s="109">
        <v>3</v>
      </c>
      <c r="P1263" s="109">
        <v>2.25</v>
      </c>
      <c r="Q1263" s="109">
        <v>45</v>
      </c>
    </row>
    <row r="1264" spans="2:17" x14ac:dyDescent="0.25">
      <c r="B1264" s="114">
        <v>22</v>
      </c>
      <c r="C1264" s="114">
        <v>58</v>
      </c>
      <c r="D1264" s="114">
        <v>121</v>
      </c>
      <c r="E1264" s="154" cm="1">
        <f t="array" ref="E1264">IF(ISBLANK(MainData[[#This Row],[EventID]]),0,IFERROR(INDEX(MainData[],MATCH(MainData[[#This Row],[EventID]],IF(MainData[Product]="Date",MainData[EventID],0),0),12),0))</f>
        <v>44612</v>
      </c>
      <c r="F1264" s="155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4" s="155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4" s="2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4" s="157" t="s">
        <v>85</v>
      </c>
      <c r="J1264" t="s">
        <v>22</v>
      </c>
      <c r="K1264" s="2" t="s">
        <v>29</v>
      </c>
      <c r="L1264" s="2" t="s">
        <v>25</v>
      </c>
      <c r="M1264" s="2" t="s">
        <v>385</v>
      </c>
      <c r="N1264" s="2" t="s">
        <v>234</v>
      </c>
      <c r="O1264" s="109">
        <v>3</v>
      </c>
      <c r="P1264" s="109">
        <v>31</v>
      </c>
      <c r="Q1264" s="109">
        <v>229.25</v>
      </c>
    </row>
    <row r="1265" spans="2:17" x14ac:dyDescent="0.25">
      <c r="B1265" s="114">
        <v>22</v>
      </c>
      <c r="C1265" s="114">
        <v>58</v>
      </c>
      <c r="D1265" s="114">
        <v>93</v>
      </c>
      <c r="E1265" s="154" cm="1">
        <f t="array" ref="E1265">IF(ISBLANK(MainData[[#This Row],[EventID]]),0,IFERROR(INDEX(MainData[],MATCH(MainData[[#This Row],[EventID]],IF(MainData[Product]="Date",MainData[EventID],0),0),12),0))</f>
        <v>44612</v>
      </c>
      <c r="F1265" s="155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5" s="155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2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5" s="20" t="s">
        <v>85</v>
      </c>
      <c r="J1265" t="s">
        <v>20</v>
      </c>
      <c r="K1265" s="2" t="s">
        <v>116</v>
      </c>
      <c r="L1265" s="2" t="s">
        <v>88</v>
      </c>
      <c r="M1265" s="2" t="s">
        <v>189</v>
      </c>
      <c r="N1265" s="2" t="s">
        <v>233</v>
      </c>
      <c r="O1265" s="109">
        <v>2</v>
      </c>
      <c r="P1265" s="109"/>
      <c r="Q1265" s="109"/>
    </row>
    <row r="1266" spans="2:17" x14ac:dyDescent="0.25">
      <c r="B1266" s="114">
        <v>22</v>
      </c>
      <c r="C1266" s="114">
        <v>58</v>
      </c>
      <c r="D1266" s="114">
        <v>93</v>
      </c>
      <c r="E1266" s="154" cm="1">
        <f t="array" ref="E1266">IF(ISBLANK(MainData[[#This Row],[EventID]]),0,IFERROR(INDEX(MainData[],MATCH(MainData[[#This Row],[EventID]],IF(MainData[Product]="Date",MainData[EventID],0),0),12),0))</f>
        <v>44612</v>
      </c>
      <c r="F1266" s="155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6" s="155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2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6" s="20" t="s">
        <v>85</v>
      </c>
      <c r="J1266" t="s">
        <v>20</v>
      </c>
      <c r="K1266" s="2" t="s">
        <v>116</v>
      </c>
      <c r="L1266" s="2" t="s">
        <v>87</v>
      </c>
      <c r="M1266" s="2" t="s">
        <v>188</v>
      </c>
      <c r="N1266" s="2" t="s">
        <v>233</v>
      </c>
      <c r="O1266" s="109">
        <v>3</v>
      </c>
      <c r="P1266" s="109"/>
      <c r="Q1266" s="109">
        <v>300</v>
      </c>
    </row>
    <row r="1267" spans="2:17" x14ac:dyDescent="0.25">
      <c r="B1267" s="114">
        <v>22</v>
      </c>
      <c r="C1267" s="114">
        <v>56</v>
      </c>
      <c r="D1267" s="114">
        <v>94</v>
      </c>
      <c r="E1267" s="154" cm="1">
        <f t="array" ref="E1267">IF(ISBLANK(MainData[[#This Row],[EventID]]),0,IFERROR(INDEX(MainData[],MATCH(MainData[[#This Row],[EventID]],IF(MainData[Product]="Date",MainData[EventID],0),0),12),0))</f>
        <v>44613</v>
      </c>
      <c r="F1267" s="155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7" s="155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2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7" s="157" t="s">
        <v>84</v>
      </c>
      <c r="J1267" t="s">
        <v>187</v>
      </c>
      <c r="K1267" s="2" t="s">
        <v>157</v>
      </c>
      <c r="L1267" s="2" t="s">
        <v>81</v>
      </c>
      <c r="M1267" s="2">
        <v>1</v>
      </c>
      <c r="N1267" s="2"/>
      <c r="O1267" s="109"/>
      <c r="P1267" s="109"/>
      <c r="Q1267" s="109"/>
    </row>
    <row r="1268" spans="2:17" x14ac:dyDescent="0.25">
      <c r="B1268" s="114">
        <v>22</v>
      </c>
      <c r="C1268" s="114">
        <v>56</v>
      </c>
      <c r="D1268" s="114">
        <v>122</v>
      </c>
      <c r="E1268" s="154" cm="1">
        <f t="array" ref="E1268">IF(ISBLANK(MainData[[#This Row],[EventID]]),0,IFERROR(INDEX(MainData[],MATCH(MainData[[#This Row],[EventID]],IF(MainData[Product]="Date",MainData[EventID],0),0),12),0))</f>
        <v>44613</v>
      </c>
      <c r="F1268" s="155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8" s="155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8" s="2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8" s="157" t="s">
        <v>84</v>
      </c>
      <c r="J1268" t="s">
        <v>187</v>
      </c>
      <c r="K1268" s="2" t="s">
        <v>157</v>
      </c>
      <c r="L1268" s="2" t="s">
        <v>81</v>
      </c>
      <c r="M1268" s="2">
        <v>2</v>
      </c>
      <c r="N1268" s="2"/>
      <c r="O1268" s="109"/>
      <c r="P1268" s="109"/>
      <c r="Q1268" s="109"/>
    </row>
    <row r="1269" spans="2:17" x14ac:dyDescent="0.25">
      <c r="B1269" s="114">
        <v>22</v>
      </c>
      <c r="C1269" s="114">
        <v>56</v>
      </c>
      <c r="D1269" s="114">
        <v>94</v>
      </c>
      <c r="E1269" s="154" cm="1">
        <f t="array" ref="E1269">IF(ISBLANK(MainData[[#This Row],[EventID]]),0,IFERROR(INDEX(MainData[],MATCH(MainData[[#This Row],[EventID]],IF(MainData[Product]="Date",MainData[EventID],0),0),12),0))</f>
        <v>44613</v>
      </c>
      <c r="F1269" s="155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9" s="155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9" s="2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9" s="157" t="s">
        <v>84</v>
      </c>
      <c r="J1269" t="s">
        <v>187</v>
      </c>
      <c r="K1269" s="2" t="s">
        <v>157</v>
      </c>
      <c r="L1269" s="2" t="s">
        <v>0</v>
      </c>
      <c r="M1269" s="158">
        <v>44613</v>
      </c>
      <c r="N1269" s="2"/>
      <c r="O1269" s="109"/>
      <c r="P1269" s="109"/>
      <c r="Q1269" s="109"/>
    </row>
    <row r="1270" spans="2:17" x14ac:dyDescent="0.25">
      <c r="B1270" s="114">
        <v>22</v>
      </c>
      <c r="C1270" s="114">
        <v>56</v>
      </c>
      <c r="D1270" s="114">
        <v>94</v>
      </c>
      <c r="E1270" s="154" cm="1">
        <f t="array" ref="E1270">IF(ISBLANK(MainData[[#This Row],[EventID]]),0,IFERROR(INDEX(MainData[],MATCH(MainData[[#This Row],[EventID]],IF(MainData[Product]="Date",MainData[EventID],0),0),12),0))</f>
        <v>44613</v>
      </c>
      <c r="F1270" s="155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0" s="155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0" s="2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0" s="157" t="s">
        <v>84</v>
      </c>
      <c r="J1270" t="s">
        <v>187</v>
      </c>
      <c r="K1270" s="2" t="s">
        <v>157</v>
      </c>
      <c r="L1270" s="2" t="s">
        <v>82</v>
      </c>
      <c r="M1270" s="2">
        <v>838075</v>
      </c>
      <c r="N1270" s="2"/>
      <c r="O1270" s="109"/>
      <c r="P1270" s="109"/>
      <c r="Q1270" s="109"/>
    </row>
    <row r="1271" spans="2:17" x14ac:dyDescent="0.25">
      <c r="B1271" s="114">
        <v>22</v>
      </c>
      <c r="C1271" s="114">
        <v>56</v>
      </c>
      <c r="D1271" s="114">
        <v>94</v>
      </c>
      <c r="E1271" s="154" cm="1">
        <f t="array" ref="E1271">IF(ISBLANK(MainData[[#This Row],[EventID]]),0,IFERROR(INDEX(MainData[],MATCH(MainData[[#This Row],[EventID]],IF(MainData[Product]="Date",MainData[EventID],0),0),12),0))</f>
        <v>44613</v>
      </c>
      <c r="F1271" s="155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1" s="155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1" s="2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1" s="157" t="s">
        <v>84</v>
      </c>
      <c r="J1271" t="s">
        <v>187</v>
      </c>
      <c r="K1271" s="2" t="s">
        <v>157</v>
      </c>
      <c r="L1271" s="2" t="s">
        <v>175</v>
      </c>
      <c r="M1271" s="2" t="s">
        <v>481</v>
      </c>
      <c r="N1271" s="2"/>
      <c r="O1271" s="109"/>
      <c r="P1271" s="109"/>
      <c r="Q1271" s="109"/>
    </row>
    <row r="1272" spans="2:17" x14ac:dyDescent="0.25">
      <c r="B1272" s="114">
        <v>22</v>
      </c>
      <c r="C1272" s="114">
        <v>56</v>
      </c>
      <c r="D1272" s="114">
        <v>94</v>
      </c>
      <c r="E1272" s="154" cm="1">
        <f t="array" ref="E1272">IF(ISBLANK(MainData[[#This Row],[EventID]]),0,IFERROR(INDEX(MainData[],MATCH(MainData[[#This Row],[EventID]],IF(MainData[Product]="Date",MainData[EventID],0),0),12),0))</f>
        <v>44613</v>
      </c>
      <c r="F1272" s="155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2" s="155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2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2" s="157" t="s">
        <v>84</v>
      </c>
      <c r="J1272" t="s">
        <v>187</v>
      </c>
      <c r="K1272" s="2" t="s">
        <v>157</v>
      </c>
      <c r="L1272" s="2" t="s">
        <v>138</v>
      </c>
      <c r="M1272" s="2">
        <v>400</v>
      </c>
      <c r="N1272" s="2"/>
      <c r="O1272" s="109"/>
      <c r="P1272" s="109"/>
      <c r="Q1272" s="109"/>
    </row>
    <row r="1273" spans="2:17" x14ac:dyDescent="0.25">
      <c r="B1273" s="114">
        <v>22</v>
      </c>
      <c r="C1273" s="114">
        <v>56</v>
      </c>
      <c r="D1273" s="114">
        <v>94</v>
      </c>
      <c r="E1273" s="154" cm="1">
        <f t="array" ref="E1273">IF(ISBLANK(MainData[[#This Row],[EventID]]),0,IFERROR(INDEX(MainData[],MATCH(MainData[[#This Row],[EventID]],IF(MainData[Product]="Date",MainData[EventID],0),0),12),0))</f>
        <v>44613</v>
      </c>
      <c r="F1273" s="155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3" s="155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2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3" s="157" t="s">
        <v>84</v>
      </c>
      <c r="J1273" t="s">
        <v>187</v>
      </c>
      <c r="K1273" s="2" t="s">
        <v>157</v>
      </c>
      <c r="L1273" s="2" t="s">
        <v>86</v>
      </c>
      <c r="M1273" s="2">
        <v>2</v>
      </c>
      <c r="N1273" s="2"/>
      <c r="O1273" s="109"/>
      <c r="P1273" s="109"/>
      <c r="Q1273" s="109"/>
    </row>
    <row r="1274" spans="2:17" x14ac:dyDescent="0.25">
      <c r="B1274" s="114">
        <v>22</v>
      </c>
      <c r="C1274" s="114">
        <v>56</v>
      </c>
      <c r="D1274" s="114">
        <v>94</v>
      </c>
      <c r="E1274" s="154" cm="1">
        <f t="array" ref="E1274">IF(ISBLANK(MainData[[#This Row],[EventID]]),0,IFERROR(INDEX(MainData[],MATCH(MainData[[#This Row],[EventID]],IF(MainData[Product]="Date",MainData[EventID],0),0),12),0))</f>
        <v>44613</v>
      </c>
      <c r="F1274" s="155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4" s="155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2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4" s="157" t="s">
        <v>84</v>
      </c>
      <c r="J1274" t="s">
        <v>187</v>
      </c>
      <c r="K1274" s="2" t="s">
        <v>157</v>
      </c>
      <c r="L1274" s="2" t="s">
        <v>118</v>
      </c>
      <c r="M1274" s="2" t="s">
        <v>462</v>
      </c>
      <c r="N1274" s="2"/>
      <c r="O1274" s="109"/>
      <c r="P1274" s="109"/>
      <c r="Q1274" s="109"/>
    </row>
    <row r="1275" spans="2:17" x14ac:dyDescent="0.25">
      <c r="B1275" s="114">
        <v>22</v>
      </c>
      <c r="C1275" s="114">
        <v>56</v>
      </c>
      <c r="D1275" s="114">
        <v>122</v>
      </c>
      <c r="E1275" s="154" cm="1">
        <f t="array" ref="E1275">IF(ISBLANK(MainData[[#This Row],[EventID]]),0,IFERROR(INDEX(MainData[],MATCH(MainData[[#This Row],[EventID]],IF(MainData[Product]="Date",MainData[EventID],0),0),12),0))</f>
        <v>44613</v>
      </c>
      <c r="F1275" s="155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5" s="155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5" s="2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5" s="157" t="s">
        <v>85</v>
      </c>
      <c r="J1275" t="s">
        <v>22</v>
      </c>
      <c r="K1275" s="2" t="s">
        <v>29</v>
      </c>
      <c r="L1275" s="2" t="s">
        <v>35</v>
      </c>
      <c r="M1275" s="2" t="s">
        <v>382</v>
      </c>
      <c r="N1275" s="2" t="s">
        <v>234</v>
      </c>
      <c r="O1275" s="109">
        <v>2</v>
      </c>
      <c r="P1275" s="109">
        <v>4.5</v>
      </c>
      <c r="Q1275" s="109">
        <v>45</v>
      </c>
    </row>
    <row r="1276" spans="2:17" x14ac:dyDescent="0.25">
      <c r="B1276" s="114">
        <v>22</v>
      </c>
      <c r="C1276" s="114">
        <v>56</v>
      </c>
      <c r="D1276" s="114">
        <v>122</v>
      </c>
      <c r="E1276" s="154" cm="1">
        <f t="array" ref="E1276">IF(ISBLANK(MainData[[#This Row],[EventID]]),0,IFERROR(INDEX(MainData[],MATCH(MainData[[#This Row],[EventID]],IF(MainData[Product]="Date",MainData[EventID],0),0),12),0))</f>
        <v>44613</v>
      </c>
      <c r="F1276" s="155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6" s="155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6" s="2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6" s="20" t="s">
        <v>85</v>
      </c>
      <c r="J1276" t="s">
        <v>22</v>
      </c>
      <c r="K1276" s="2" t="s">
        <v>29</v>
      </c>
      <c r="L1276" s="2" t="s">
        <v>36</v>
      </c>
      <c r="M1276" s="2" t="s">
        <v>390</v>
      </c>
      <c r="N1276" s="2" t="s">
        <v>234</v>
      </c>
      <c r="O1276" s="109">
        <v>2</v>
      </c>
      <c r="P1276" s="109">
        <v>36.43</v>
      </c>
      <c r="Q1276" s="109">
        <v>243.5</v>
      </c>
    </row>
    <row r="1277" spans="2:17" x14ac:dyDescent="0.25">
      <c r="B1277" s="114">
        <v>22</v>
      </c>
      <c r="C1277" s="114">
        <v>56</v>
      </c>
      <c r="D1277" s="114">
        <v>122</v>
      </c>
      <c r="E1277" s="154" cm="1">
        <f t="array" ref="E1277">IF(ISBLANK(MainData[[#This Row],[EventID]]),0,IFERROR(INDEX(MainData[],MATCH(MainData[[#This Row],[EventID]],IF(MainData[Product]="Date",MainData[EventID],0),0),12),0))</f>
        <v>44613</v>
      </c>
      <c r="F1277" s="155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7" s="155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7" s="2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7" s="157" t="s">
        <v>85</v>
      </c>
      <c r="J1277" t="s">
        <v>22</v>
      </c>
      <c r="K1277" s="2" t="s">
        <v>29</v>
      </c>
      <c r="L1277" s="2" t="s">
        <v>65</v>
      </c>
      <c r="M1277" s="2" t="s">
        <v>383</v>
      </c>
      <c r="N1277" s="2" t="s">
        <v>234</v>
      </c>
      <c r="O1277" s="109">
        <v>2</v>
      </c>
      <c r="P1277" s="109">
        <v>0.6</v>
      </c>
      <c r="Q1277" s="109">
        <v>12</v>
      </c>
    </row>
    <row r="1278" spans="2:17" x14ac:dyDescent="0.25">
      <c r="B1278" s="114">
        <v>22</v>
      </c>
      <c r="C1278" s="114">
        <v>56</v>
      </c>
      <c r="D1278" s="114">
        <v>122</v>
      </c>
      <c r="E1278" s="154" cm="1">
        <f t="array" ref="E1278">IF(ISBLANK(MainData[[#This Row],[EventID]]),0,IFERROR(INDEX(MainData[],MATCH(MainData[[#This Row],[EventID]],IF(MainData[Product]="Date",MainData[EventID],0),0),12),0))</f>
        <v>44613</v>
      </c>
      <c r="F1278" s="155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8" s="155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8" s="2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8" s="157" t="s">
        <v>85</v>
      </c>
      <c r="J1278" t="s">
        <v>22</v>
      </c>
      <c r="K1278" s="2" t="s">
        <v>29</v>
      </c>
      <c r="L1278" s="2" t="s">
        <v>25</v>
      </c>
      <c r="M1278" s="2" t="s">
        <v>385</v>
      </c>
      <c r="N1278" s="2" t="s">
        <v>234</v>
      </c>
      <c r="O1278" s="109">
        <v>2</v>
      </c>
      <c r="P1278" s="109">
        <v>8</v>
      </c>
      <c r="Q1278" s="109">
        <v>64</v>
      </c>
    </row>
    <row r="1279" spans="2:17" x14ac:dyDescent="0.25">
      <c r="B1279" s="114">
        <v>22</v>
      </c>
      <c r="C1279" s="114">
        <v>56</v>
      </c>
      <c r="D1279" s="114">
        <v>94</v>
      </c>
      <c r="E1279" s="154" cm="1">
        <f t="array" ref="E1279">IF(ISBLANK(MainData[[#This Row],[EventID]]),0,IFERROR(INDEX(MainData[],MATCH(MainData[[#This Row],[EventID]],IF(MainData[Product]="Date",MainData[EventID],0),0),12),0))</f>
        <v>44613</v>
      </c>
      <c r="F1279" s="155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9" s="155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2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9" s="20" t="s">
        <v>85</v>
      </c>
      <c r="J1279" t="s">
        <v>20</v>
      </c>
      <c r="K1279" s="2" t="s">
        <v>116</v>
      </c>
      <c r="L1279" s="2" t="s">
        <v>88</v>
      </c>
      <c r="M1279" s="2" t="s">
        <v>189</v>
      </c>
      <c r="N1279" s="2" t="s">
        <v>233</v>
      </c>
      <c r="O1279" s="109">
        <v>1</v>
      </c>
      <c r="P1279" s="109"/>
      <c r="Q1279" s="109"/>
    </row>
    <row r="1280" spans="2:17" x14ac:dyDescent="0.25">
      <c r="B1280" s="114">
        <v>22</v>
      </c>
      <c r="C1280" s="114">
        <v>56</v>
      </c>
      <c r="D1280" s="114">
        <v>94</v>
      </c>
      <c r="E1280" s="154" cm="1">
        <f t="array" ref="E1280">IF(ISBLANK(MainData[[#This Row],[EventID]]),0,IFERROR(INDEX(MainData[],MATCH(MainData[[#This Row],[EventID]],IF(MainData[Product]="Date",MainData[EventID],0),0),12),0))</f>
        <v>44613</v>
      </c>
      <c r="F1280" s="155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80" s="155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2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0" s="20" t="s">
        <v>85</v>
      </c>
      <c r="J1280" t="s">
        <v>20</v>
      </c>
      <c r="K1280" s="2" t="s">
        <v>116</v>
      </c>
      <c r="L1280" s="2" t="s">
        <v>87</v>
      </c>
      <c r="M1280" s="2" t="s">
        <v>188</v>
      </c>
      <c r="N1280" s="2" t="s">
        <v>233</v>
      </c>
      <c r="O1280" s="109">
        <v>2</v>
      </c>
      <c r="P1280" s="109"/>
      <c r="Q1280" s="109">
        <v>200</v>
      </c>
    </row>
    <row r="1281" spans="2:17" x14ac:dyDescent="0.25">
      <c r="B1281" s="114">
        <v>22</v>
      </c>
      <c r="C1281" s="114">
        <v>57</v>
      </c>
      <c r="D1281" s="114">
        <v>95</v>
      </c>
      <c r="E1281" s="154" cm="1">
        <f t="array" ref="E1281">IF(ISBLANK(MainData[[#This Row],[EventID]]),0,IFERROR(INDEX(MainData[],MATCH(MainData[[#This Row],[EventID]],IF(MainData[Product]="Date",MainData[EventID],0),0),12),0))</f>
        <v>44613</v>
      </c>
      <c r="F1281" s="155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1" s="155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2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1" s="157" t="s">
        <v>84</v>
      </c>
      <c r="J1281" t="s">
        <v>187</v>
      </c>
      <c r="K1281" s="2" t="s">
        <v>157</v>
      </c>
      <c r="L1281" s="2" t="s">
        <v>81</v>
      </c>
      <c r="M1281" s="2">
        <v>1</v>
      </c>
      <c r="N1281" s="2"/>
      <c r="O1281" s="109"/>
      <c r="P1281" s="109"/>
      <c r="Q1281" s="109"/>
    </row>
    <row r="1282" spans="2:17" x14ac:dyDescent="0.25">
      <c r="B1282" s="114">
        <v>22</v>
      </c>
      <c r="C1282" s="114">
        <v>57</v>
      </c>
      <c r="D1282" s="114">
        <v>123</v>
      </c>
      <c r="E1282" s="154" cm="1">
        <f t="array" ref="E1282">IF(ISBLANK(MainData[[#This Row],[EventID]]),0,IFERROR(INDEX(MainData[],MATCH(MainData[[#This Row],[EventID]],IF(MainData[Product]="Date",MainData[EventID],0),0),12),0))</f>
        <v>44613</v>
      </c>
      <c r="F1282" s="155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2" s="155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2" s="2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2" s="157" t="s">
        <v>84</v>
      </c>
      <c r="J1282" t="s">
        <v>187</v>
      </c>
      <c r="K1282" s="2" t="s">
        <v>157</v>
      </c>
      <c r="L1282" s="2" t="s">
        <v>81</v>
      </c>
      <c r="M1282" s="2">
        <v>2</v>
      </c>
      <c r="N1282" s="2"/>
      <c r="O1282" s="109"/>
      <c r="P1282" s="109"/>
      <c r="Q1282" s="109"/>
    </row>
    <row r="1283" spans="2:17" x14ac:dyDescent="0.25">
      <c r="B1283" s="114">
        <v>22</v>
      </c>
      <c r="C1283" s="114">
        <v>57</v>
      </c>
      <c r="D1283" s="114">
        <v>95</v>
      </c>
      <c r="E1283" s="154" cm="1">
        <f t="array" ref="E1283">IF(ISBLANK(MainData[[#This Row],[EventID]]),0,IFERROR(INDEX(MainData[],MATCH(MainData[[#This Row],[EventID]],IF(MainData[Product]="Date",MainData[EventID],0),0),12),0))</f>
        <v>44613</v>
      </c>
      <c r="F1283" s="155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3" s="155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3" s="2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3" s="157" t="s">
        <v>84</v>
      </c>
      <c r="J1283" t="s">
        <v>187</v>
      </c>
      <c r="K1283" s="2" t="s">
        <v>157</v>
      </c>
      <c r="L1283" s="2" t="s">
        <v>0</v>
      </c>
      <c r="M1283" s="158">
        <v>44613</v>
      </c>
      <c r="N1283" s="2"/>
      <c r="O1283" s="109"/>
      <c r="P1283" s="109"/>
      <c r="Q1283" s="109"/>
    </row>
    <row r="1284" spans="2:17" x14ac:dyDescent="0.25">
      <c r="B1284" s="114">
        <v>22</v>
      </c>
      <c r="C1284" s="114">
        <v>57</v>
      </c>
      <c r="D1284" s="114">
        <v>95</v>
      </c>
      <c r="E1284" s="154" cm="1">
        <f t="array" ref="E1284">IF(ISBLANK(MainData[[#This Row],[EventID]]),0,IFERROR(INDEX(MainData[],MATCH(MainData[[#This Row],[EventID]],IF(MainData[Product]="Date",MainData[EventID],0),0),12),0))</f>
        <v>44613</v>
      </c>
      <c r="F1284" s="155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4" s="155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4" s="2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4" s="157" t="s">
        <v>84</v>
      </c>
      <c r="J1284" t="s">
        <v>187</v>
      </c>
      <c r="K1284" s="2" t="s">
        <v>157</v>
      </c>
      <c r="L1284" s="2" t="s">
        <v>82</v>
      </c>
      <c r="M1284" s="2">
        <v>838158</v>
      </c>
      <c r="N1284" s="2"/>
      <c r="O1284" s="109"/>
      <c r="P1284" s="109"/>
      <c r="Q1284" s="109"/>
    </row>
    <row r="1285" spans="2:17" x14ac:dyDescent="0.25">
      <c r="B1285" s="114">
        <v>22</v>
      </c>
      <c r="C1285" s="114">
        <v>57</v>
      </c>
      <c r="D1285" s="114">
        <v>95</v>
      </c>
      <c r="E1285" s="154" cm="1">
        <f t="array" ref="E1285">IF(ISBLANK(MainData[[#This Row],[EventID]]),0,IFERROR(INDEX(MainData[],MATCH(MainData[[#This Row],[EventID]],IF(MainData[Product]="Date",MainData[EventID],0),0),12),0))</f>
        <v>44613</v>
      </c>
      <c r="F1285" s="155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5" s="155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5" s="2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5" s="157" t="s">
        <v>84</v>
      </c>
      <c r="J1285" t="s">
        <v>187</v>
      </c>
      <c r="K1285" s="2" t="s">
        <v>157</v>
      </c>
      <c r="L1285" s="2" t="s">
        <v>175</v>
      </c>
      <c r="M1285" s="2" t="s">
        <v>481</v>
      </c>
      <c r="N1285" s="2"/>
      <c r="O1285" s="109"/>
      <c r="P1285" s="109"/>
      <c r="Q1285" s="109"/>
    </row>
    <row r="1286" spans="2:17" x14ac:dyDescent="0.25">
      <c r="B1286" s="114">
        <v>22</v>
      </c>
      <c r="C1286" s="114">
        <v>57</v>
      </c>
      <c r="D1286" s="114">
        <v>95</v>
      </c>
      <c r="E1286" s="154" cm="1">
        <f t="array" ref="E1286">IF(ISBLANK(MainData[[#This Row],[EventID]]),0,IFERROR(INDEX(MainData[],MATCH(MainData[[#This Row],[EventID]],IF(MainData[Product]="Date",MainData[EventID],0),0),12),0))</f>
        <v>44613</v>
      </c>
      <c r="F1286" s="155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6" s="155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2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6" s="157" t="s">
        <v>84</v>
      </c>
      <c r="J1286" t="s">
        <v>187</v>
      </c>
      <c r="K1286" s="2" t="s">
        <v>157</v>
      </c>
      <c r="L1286" s="2" t="s">
        <v>138</v>
      </c>
      <c r="M1286" s="2">
        <v>900</v>
      </c>
      <c r="N1286" s="2"/>
      <c r="O1286" s="109"/>
      <c r="P1286" s="109"/>
      <c r="Q1286" s="109"/>
    </row>
    <row r="1287" spans="2:17" x14ac:dyDescent="0.25">
      <c r="B1287" s="114">
        <v>22</v>
      </c>
      <c r="C1287" s="114">
        <v>57</v>
      </c>
      <c r="D1287" s="114">
        <v>95</v>
      </c>
      <c r="E1287" s="154" cm="1">
        <f t="array" ref="E1287">IF(ISBLANK(MainData[[#This Row],[EventID]]),0,IFERROR(INDEX(MainData[],MATCH(MainData[[#This Row],[EventID]],IF(MainData[Product]="Date",MainData[EventID],0),0),12),0))</f>
        <v>44613</v>
      </c>
      <c r="F1287" s="155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7" s="155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2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7" s="157" t="s">
        <v>84</v>
      </c>
      <c r="J1287" t="s">
        <v>187</v>
      </c>
      <c r="K1287" s="2" t="s">
        <v>157</v>
      </c>
      <c r="L1287" s="2" t="s">
        <v>86</v>
      </c>
      <c r="M1287" s="2">
        <v>6</v>
      </c>
      <c r="N1287" s="2"/>
      <c r="O1287" s="109"/>
      <c r="P1287" s="109"/>
      <c r="Q1287" s="109"/>
    </row>
    <row r="1288" spans="2:17" x14ac:dyDescent="0.25">
      <c r="B1288" s="114">
        <v>22</v>
      </c>
      <c r="C1288" s="114">
        <v>57</v>
      </c>
      <c r="D1288" s="114">
        <v>95</v>
      </c>
      <c r="E1288" s="154" cm="1">
        <f t="array" ref="E1288">IF(ISBLANK(MainData[[#This Row],[EventID]]),0,IFERROR(INDEX(MainData[],MATCH(MainData[[#This Row],[EventID]],IF(MainData[Product]="Date",MainData[EventID],0),0),12),0))</f>
        <v>44613</v>
      </c>
      <c r="F1288" s="155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8" s="155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2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8" s="157" t="s">
        <v>84</v>
      </c>
      <c r="J1288" t="s">
        <v>187</v>
      </c>
      <c r="K1288" s="2" t="s">
        <v>157</v>
      </c>
      <c r="L1288" s="2" t="s">
        <v>118</v>
      </c>
      <c r="M1288" s="2" t="s">
        <v>463</v>
      </c>
      <c r="N1288" s="2"/>
      <c r="O1288" s="109"/>
      <c r="P1288" s="109"/>
      <c r="Q1288" s="109"/>
    </row>
    <row r="1289" spans="2:17" x14ac:dyDescent="0.25">
      <c r="B1289" s="114">
        <v>22</v>
      </c>
      <c r="C1289" s="114">
        <v>57</v>
      </c>
      <c r="D1289" s="114">
        <v>123</v>
      </c>
      <c r="E1289" s="154" cm="1">
        <f t="array" ref="E1289">IF(ISBLANK(MainData[[#This Row],[EventID]]),0,IFERROR(INDEX(MainData[],MATCH(MainData[[#This Row],[EventID]],IF(MainData[Product]="Date",MainData[EventID],0),0),12),0))</f>
        <v>44613</v>
      </c>
      <c r="F1289" s="155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9" s="155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9" s="2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9" s="157" t="s">
        <v>85</v>
      </c>
      <c r="J1289" t="s">
        <v>22</v>
      </c>
      <c r="K1289" s="2" t="s">
        <v>29</v>
      </c>
      <c r="L1289" s="2" t="s">
        <v>35</v>
      </c>
      <c r="M1289" s="2" t="s">
        <v>382</v>
      </c>
      <c r="N1289" s="2" t="s">
        <v>234</v>
      </c>
      <c r="O1289" s="109">
        <v>4</v>
      </c>
      <c r="P1289" s="109">
        <v>38</v>
      </c>
      <c r="Q1289" s="109">
        <v>369.47</v>
      </c>
    </row>
    <row r="1290" spans="2:17" x14ac:dyDescent="0.25">
      <c r="B1290" s="114">
        <v>22</v>
      </c>
      <c r="C1290" s="114">
        <v>57</v>
      </c>
      <c r="D1290" s="114">
        <v>123</v>
      </c>
      <c r="E1290" s="154" cm="1">
        <f t="array" ref="E1290">IF(ISBLANK(MainData[[#This Row],[EventID]]),0,IFERROR(INDEX(MainData[],MATCH(MainData[[#This Row],[EventID]],IF(MainData[Product]="Date",MainData[EventID],0),0),12),0))</f>
        <v>44613</v>
      </c>
      <c r="F1290" s="155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0" s="155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0" s="2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0" s="20" t="s">
        <v>85</v>
      </c>
      <c r="J1290" t="s">
        <v>22</v>
      </c>
      <c r="K1290" s="2" t="s">
        <v>29</v>
      </c>
      <c r="L1290" s="2" t="s">
        <v>36</v>
      </c>
      <c r="M1290" s="2" t="s">
        <v>390</v>
      </c>
      <c r="N1290" s="2" t="s">
        <v>234</v>
      </c>
      <c r="O1290" s="109">
        <v>4</v>
      </c>
      <c r="P1290" s="109">
        <v>286.75</v>
      </c>
      <c r="Q1290" s="109">
        <v>2195.0500000000002</v>
      </c>
    </row>
    <row r="1291" spans="2:17" x14ac:dyDescent="0.25">
      <c r="B1291" s="114">
        <v>22</v>
      </c>
      <c r="C1291" s="114">
        <v>57</v>
      </c>
      <c r="D1291" s="114">
        <v>123</v>
      </c>
      <c r="E1291" s="154" cm="1">
        <f t="array" ref="E1291">IF(ISBLANK(MainData[[#This Row],[EventID]]),0,IFERROR(INDEX(MainData[],MATCH(MainData[[#This Row],[EventID]],IF(MainData[Product]="Date",MainData[EventID],0),0),12),0))</f>
        <v>44613</v>
      </c>
      <c r="F1291" s="155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1" s="155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1" s="2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1" s="157" t="s">
        <v>85</v>
      </c>
      <c r="J1291" t="s">
        <v>22</v>
      </c>
      <c r="K1291" s="2" t="s">
        <v>29</v>
      </c>
      <c r="L1291" s="2" t="s">
        <v>65</v>
      </c>
      <c r="M1291" s="2" t="s">
        <v>383</v>
      </c>
      <c r="N1291" s="2" t="s">
        <v>234</v>
      </c>
      <c r="O1291" s="109">
        <v>4</v>
      </c>
      <c r="P1291" s="109">
        <v>11</v>
      </c>
      <c r="Q1291" s="109">
        <v>220.05</v>
      </c>
    </row>
    <row r="1292" spans="2:17" x14ac:dyDescent="0.25">
      <c r="B1292" s="114">
        <v>22</v>
      </c>
      <c r="C1292" s="114">
        <v>57</v>
      </c>
      <c r="D1292" s="114">
        <v>123</v>
      </c>
      <c r="E1292" s="154" cm="1">
        <f t="array" ref="E1292">IF(ISBLANK(MainData[[#This Row],[EventID]]),0,IFERROR(INDEX(MainData[],MATCH(MainData[[#This Row],[EventID]],IF(MainData[Product]="Date",MainData[EventID],0),0),12),0))</f>
        <v>44613</v>
      </c>
      <c r="F1292" s="155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2" s="155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2" s="2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2" s="157" t="s">
        <v>85</v>
      </c>
      <c r="J1292" t="s">
        <v>22</v>
      </c>
      <c r="K1292" s="2" t="s">
        <v>29</v>
      </c>
      <c r="L1292" s="2" t="s">
        <v>25</v>
      </c>
      <c r="M1292" s="2" t="s">
        <v>385</v>
      </c>
      <c r="N1292" s="2" t="s">
        <v>234</v>
      </c>
      <c r="O1292" s="109">
        <v>4</v>
      </c>
      <c r="P1292" s="109">
        <v>49</v>
      </c>
      <c r="Q1292" s="109">
        <v>481.95</v>
      </c>
    </row>
    <row r="1293" spans="2:17" x14ac:dyDescent="0.25">
      <c r="B1293" s="114">
        <v>22</v>
      </c>
      <c r="C1293" s="114">
        <v>57</v>
      </c>
      <c r="D1293" s="114">
        <v>95</v>
      </c>
      <c r="E1293" s="154" cm="1">
        <f t="array" ref="E1293">IF(ISBLANK(MainData[[#This Row],[EventID]]),0,IFERROR(INDEX(MainData[],MATCH(MainData[[#This Row],[EventID]],IF(MainData[Product]="Date",MainData[EventID],0),0),12),0))</f>
        <v>44613</v>
      </c>
      <c r="F1293" s="155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3" s="155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2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3" s="20" t="s">
        <v>85</v>
      </c>
      <c r="J1293" t="s">
        <v>20</v>
      </c>
      <c r="K1293" s="2" t="s">
        <v>116</v>
      </c>
      <c r="L1293" s="2" t="s">
        <v>88</v>
      </c>
      <c r="M1293" s="2" t="s">
        <v>189</v>
      </c>
      <c r="N1293" s="2" t="s">
        <v>233</v>
      </c>
      <c r="O1293" s="109">
        <v>2</v>
      </c>
      <c r="P1293" s="109"/>
      <c r="Q1293" s="109"/>
    </row>
    <row r="1294" spans="2:17" x14ac:dyDescent="0.25">
      <c r="B1294" s="114">
        <v>22</v>
      </c>
      <c r="C1294" s="114">
        <v>57</v>
      </c>
      <c r="D1294" s="114">
        <v>95</v>
      </c>
      <c r="E1294" s="154" cm="1">
        <f t="array" ref="E1294">IF(ISBLANK(MainData[[#This Row],[EventID]]),0,IFERROR(INDEX(MainData[],MATCH(MainData[[#This Row],[EventID]],IF(MainData[Product]="Date",MainData[EventID],0),0),12),0))</f>
        <v>44613</v>
      </c>
      <c r="F1294" s="155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4" s="155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4" s="2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4" s="20" t="s">
        <v>85</v>
      </c>
      <c r="J1294" t="s">
        <v>20</v>
      </c>
      <c r="K1294" s="2" t="s">
        <v>116</v>
      </c>
      <c r="L1294" s="2" t="s">
        <v>87</v>
      </c>
      <c r="M1294" s="2" t="s">
        <v>188</v>
      </c>
      <c r="N1294" s="2" t="s">
        <v>233</v>
      </c>
      <c r="O1294" s="109">
        <v>4</v>
      </c>
      <c r="P1294" s="109"/>
      <c r="Q1294" s="109">
        <v>400</v>
      </c>
    </row>
    <row r="1295" spans="2:17" x14ac:dyDescent="0.25">
      <c r="B1295" s="114">
        <v>22</v>
      </c>
      <c r="C1295" s="114">
        <v>50</v>
      </c>
      <c r="D1295" s="114">
        <v>97</v>
      </c>
      <c r="E1295" s="154" cm="1">
        <f t="array" ref="E1295">IF(ISBLANK(MainData[[#This Row],[EventID]]),0,IFERROR(INDEX(MainData[],MATCH(MainData[[#This Row],[EventID]],IF(MainData[Product]="Date",MainData[EventID],0),0),12),0))</f>
        <v>44614</v>
      </c>
      <c r="F1295" s="155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5" s="155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2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5" s="157" t="s">
        <v>84</v>
      </c>
      <c r="J1295" t="s">
        <v>187</v>
      </c>
      <c r="K1295" s="2" t="s">
        <v>157</v>
      </c>
      <c r="L1295" s="2" t="s">
        <v>81</v>
      </c>
      <c r="M1295" s="2">
        <v>1</v>
      </c>
      <c r="N1295" s="2"/>
      <c r="O1295" s="109"/>
      <c r="P1295" s="109"/>
      <c r="Q1295" s="109"/>
    </row>
    <row r="1296" spans="2:17" x14ac:dyDescent="0.25">
      <c r="B1296" s="114">
        <v>22</v>
      </c>
      <c r="C1296" s="114">
        <v>50</v>
      </c>
      <c r="D1296" s="114">
        <v>98</v>
      </c>
      <c r="E1296" s="154" cm="1">
        <f t="array" ref="E1296">IF(ISBLANK(MainData[[#This Row],[EventID]]),0,IFERROR(INDEX(MainData[],MATCH(MainData[[#This Row],[EventID]],IF(MainData[Product]="Date",MainData[EventID],0),0),12),0))</f>
        <v>44614</v>
      </c>
      <c r="F1296" s="155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6" s="155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6" s="2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6" s="157" t="s">
        <v>84</v>
      </c>
      <c r="J1296" t="s">
        <v>187</v>
      </c>
      <c r="K1296" s="2" t="s">
        <v>157</v>
      </c>
      <c r="L1296" s="2" t="s">
        <v>81</v>
      </c>
      <c r="M1296" s="2">
        <v>2</v>
      </c>
      <c r="N1296" s="2"/>
      <c r="O1296" s="109"/>
      <c r="P1296" s="109"/>
      <c r="Q1296" s="109"/>
    </row>
    <row r="1297" spans="2:17" x14ac:dyDescent="0.25">
      <c r="B1297" s="114">
        <v>22</v>
      </c>
      <c r="C1297" s="114">
        <v>50</v>
      </c>
      <c r="D1297" s="114">
        <v>97</v>
      </c>
      <c r="E1297" s="154" cm="1">
        <f t="array" ref="E1297">IF(ISBLANK(MainData[[#This Row],[EventID]]),0,IFERROR(INDEX(MainData[],MATCH(MainData[[#This Row],[EventID]],IF(MainData[Product]="Date",MainData[EventID],0),0),12),0))</f>
        <v>44614</v>
      </c>
      <c r="F1297" s="155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7" s="155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2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7" s="157" t="s">
        <v>84</v>
      </c>
      <c r="J1297" t="s">
        <v>187</v>
      </c>
      <c r="K1297" s="2" t="s">
        <v>157</v>
      </c>
      <c r="L1297" s="2" t="s">
        <v>164</v>
      </c>
      <c r="M1297" s="2" t="s">
        <v>427</v>
      </c>
      <c r="N1297" s="2"/>
      <c r="O1297" s="109"/>
      <c r="P1297" s="109"/>
      <c r="Q1297" s="109"/>
    </row>
    <row r="1298" spans="2:17" x14ac:dyDescent="0.25">
      <c r="B1298" s="114">
        <v>22</v>
      </c>
      <c r="C1298" s="114">
        <v>50</v>
      </c>
      <c r="D1298" s="114">
        <v>97</v>
      </c>
      <c r="E1298" s="154" cm="1">
        <f t="array" ref="E1298">IF(ISBLANK(MainData[[#This Row],[EventID]]),0,IFERROR(INDEX(MainData[],MATCH(MainData[[#This Row],[EventID]],IF(MainData[Product]="Date",MainData[EventID],0),0),12),0))</f>
        <v>44614</v>
      </c>
      <c r="F1298" s="155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8" s="155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2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8" s="157" t="s">
        <v>84</v>
      </c>
      <c r="J1298" t="s">
        <v>187</v>
      </c>
      <c r="K1298" s="2" t="s">
        <v>157</v>
      </c>
      <c r="L1298" s="2" t="s">
        <v>0</v>
      </c>
      <c r="M1298" s="158">
        <v>44614</v>
      </c>
      <c r="N1298" s="2"/>
      <c r="O1298" s="109"/>
      <c r="P1298" s="109"/>
      <c r="Q1298" s="109"/>
    </row>
    <row r="1299" spans="2:17" x14ac:dyDescent="0.25">
      <c r="B1299" s="114">
        <v>22</v>
      </c>
      <c r="C1299" s="114">
        <v>50</v>
      </c>
      <c r="D1299" s="114">
        <v>97</v>
      </c>
      <c r="E1299" s="154" cm="1">
        <f t="array" ref="E1299">IF(ISBLANK(MainData[[#This Row],[EventID]]),0,IFERROR(INDEX(MainData[],MATCH(MainData[[#This Row],[EventID]],IF(MainData[Product]="Date",MainData[EventID],0),0),12),0))</f>
        <v>44614</v>
      </c>
      <c r="F1299" s="155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9" s="155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9" s="2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9" s="157" t="s">
        <v>84</v>
      </c>
      <c r="J1299" t="s">
        <v>187</v>
      </c>
      <c r="K1299" s="2" t="s">
        <v>157</v>
      </c>
      <c r="L1299" s="2" t="s">
        <v>82</v>
      </c>
      <c r="M1299" s="2">
        <v>59684</v>
      </c>
      <c r="N1299" s="2"/>
      <c r="O1299" s="109"/>
      <c r="P1299" s="109"/>
      <c r="Q1299" s="109"/>
    </row>
    <row r="1300" spans="2:17" x14ac:dyDescent="0.25">
      <c r="B1300" s="114">
        <v>22</v>
      </c>
      <c r="C1300" s="114">
        <v>50</v>
      </c>
      <c r="D1300" s="114">
        <v>97</v>
      </c>
      <c r="E1300" s="154" cm="1">
        <f t="array" ref="E1300">IF(ISBLANK(MainData[[#This Row],[EventID]]),0,IFERROR(INDEX(MainData[],MATCH(MainData[[#This Row],[EventID]],IF(MainData[Product]="Date",MainData[EventID],0),0),12),0))</f>
        <v>44614</v>
      </c>
      <c r="F1300" s="155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0" s="155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0" s="2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0" s="157" t="s">
        <v>84</v>
      </c>
      <c r="J1300" t="s">
        <v>187</v>
      </c>
      <c r="K1300" s="2" t="s">
        <v>157</v>
      </c>
      <c r="L1300" s="2" t="s">
        <v>175</v>
      </c>
      <c r="M1300" s="2" t="s">
        <v>481</v>
      </c>
      <c r="N1300" s="2"/>
      <c r="O1300" s="109"/>
      <c r="P1300" s="109"/>
      <c r="Q1300" s="109"/>
    </row>
    <row r="1301" spans="2:17" x14ac:dyDescent="0.25">
      <c r="B1301" s="114">
        <v>22</v>
      </c>
      <c r="C1301" s="114">
        <v>50</v>
      </c>
      <c r="D1301" s="114">
        <v>97</v>
      </c>
      <c r="E1301" s="154" cm="1">
        <f t="array" ref="E1301">IF(ISBLANK(MainData[[#This Row],[EventID]]),0,IFERROR(INDEX(MainData[],MATCH(MainData[[#This Row],[EventID]],IF(MainData[Product]="Date",MainData[EventID],0),0),12),0))</f>
        <v>44614</v>
      </c>
      <c r="F1301" s="155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1" s="155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1" s="2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1" s="157" t="s">
        <v>84</v>
      </c>
      <c r="J1301" t="s">
        <v>187</v>
      </c>
      <c r="K1301" s="2" t="s">
        <v>157</v>
      </c>
      <c r="L1301" s="2" t="s">
        <v>20</v>
      </c>
      <c r="M1301" s="2" t="s">
        <v>357</v>
      </c>
      <c r="N1301" s="2"/>
      <c r="O1301" s="109"/>
      <c r="P1301" s="109"/>
      <c r="Q1301" s="109"/>
    </row>
    <row r="1302" spans="2:17" x14ac:dyDescent="0.25">
      <c r="B1302" s="114">
        <v>22</v>
      </c>
      <c r="C1302" s="114">
        <v>50</v>
      </c>
      <c r="D1302" s="114">
        <v>97</v>
      </c>
      <c r="E1302" s="154" cm="1">
        <f t="array" ref="E1302">IF(ISBLANK(MainData[[#This Row],[EventID]]),0,IFERROR(INDEX(MainData[],MATCH(MainData[[#This Row],[EventID]],IF(MainData[Product]="Date",MainData[EventID],0),0),12),0))</f>
        <v>44614</v>
      </c>
      <c r="F1302" s="155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2" s="155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2" s="2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2" s="157" t="s">
        <v>84</v>
      </c>
      <c r="J1302" t="s">
        <v>187</v>
      </c>
      <c r="K1302" s="2" t="s">
        <v>157</v>
      </c>
      <c r="L1302" s="2" t="s">
        <v>138</v>
      </c>
      <c r="M1302" s="2">
        <v>900</v>
      </c>
      <c r="N1302" s="2"/>
      <c r="O1302" s="109"/>
      <c r="P1302" s="109"/>
      <c r="Q1302" s="109"/>
    </row>
    <row r="1303" spans="2:17" x14ac:dyDescent="0.25">
      <c r="B1303" s="114">
        <v>22</v>
      </c>
      <c r="C1303" s="114">
        <v>50</v>
      </c>
      <c r="D1303" s="114">
        <v>97</v>
      </c>
      <c r="E1303" s="154" cm="1">
        <f t="array" ref="E1303">IF(ISBLANK(MainData[[#This Row],[EventID]]),0,IFERROR(INDEX(MainData[],MATCH(MainData[[#This Row],[EventID]],IF(MainData[Product]="Date",MainData[EventID],0),0),12),0))</f>
        <v>44614</v>
      </c>
      <c r="F1303" s="155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3" s="155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2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3" s="157" t="s">
        <v>84</v>
      </c>
      <c r="J1303" t="s">
        <v>187</v>
      </c>
      <c r="K1303" s="2" t="s">
        <v>157</v>
      </c>
      <c r="L1303" s="2" t="s">
        <v>86</v>
      </c>
      <c r="M1303" s="2">
        <v>6</v>
      </c>
      <c r="N1303" s="2"/>
      <c r="O1303" s="109"/>
      <c r="P1303" s="109"/>
      <c r="Q1303" s="109"/>
    </row>
    <row r="1304" spans="2:17" x14ac:dyDescent="0.25">
      <c r="B1304" s="114">
        <v>22</v>
      </c>
      <c r="C1304" s="114">
        <v>50</v>
      </c>
      <c r="D1304" s="114">
        <v>97</v>
      </c>
      <c r="E1304" s="154" cm="1">
        <f t="array" ref="E1304">IF(ISBLANK(MainData[[#This Row],[EventID]]),0,IFERROR(INDEX(MainData[],MATCH(MainData[[#This Row],[EventID]],IF(MainData[Product]="Date",MainData[EventID],0),0),12),0))</f>
        <v>44614</v>
      </c>
      <c r="F1304" s="155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4" s="155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2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4" s="157" t="s">
        <v>84</v>
      </c>
      <c r="J1304" t="s">
        <v>187</v>
      </c>
      <c r="K1304" s="2" t="s">
        <v>157</v>
      </c>
      <c r="L1304" s="2" t="s">
        <v>118</v>
      </c>
      <c r="M1304" s="2" t="s">
        <v>463</v>
      </c>
      <c r="N1304" s="2"/>
      <c r="O1304" s="109"/>
      <c r="P1304" s="109"/>
      <c r="Q1304" s="109"/>
    </row>
    <row r="1305" spans="2:17" x14ac:dyDescent="0.25">
      <c r="B1305" s="114">
        <v>22</v>
      </c>
      <c r="C1305" s="114">
        <v>50</v>
      </c>
      <c r="D1305" s="114">
        <v>97</v>
      </c>
      <c r="E1305" s="154" cm="1">
        <f t="array" ref="E1305">IF(ISBLANK(MainData[[#This Row],[EventID]]),0,IFERROR(INDEX(MainData[],MATCH(MainData[[#This Row],[EventID]],IF(MainData[Product]="Date",MainData[EventID],0),0),12),0))</f>
        <v>44614</v>
      </c>
      <c r="F1305" s="155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5" s="155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2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5" s="157" t="s">
        <v>84</v>
      </c>
      <c r="J1305" t="s">
        <v>187</v>
      </c>
      <c r="K1305" s="2" t="s">
        <v>157</v>
      </c>
      <c r="L1305" s="2" t="s">
        <v>165</v>
      </c>
      <c r="M1305" s="2" t="s">
        <v>410</v>
      </c>
      <c r="N1305" s="2"/>
      <c r="O1305" s="109"/>
      <c r="P1305" s="109"/>
      <c r="Q1305" s="109"/>
    </row>
    <row r="1306" spans="2:17" x14ac:dyDescent="0.25">
      <c r="B1306" s="114">
        <v>22</v>
      </c>
      <c r="C1306" s="114">
        <v>50</v>
      </c>
      <c r="D1306" s="114">
        <v>98</v>
      </c>
      <c r="E1306" s="154" cm="1">
        <f t="array" ref="E1306">IF(ISBLANK(MainData[[#This Row],[EventID]]),0,IFERROR(INDEX(MainData[],MATCH(MainData[[#This Row],[EventID]],IF(MainData[Product]="Date",MainData[EventID],0),0),12),0))</f>
        <v>44614</v>
      </c>
      <c r="F1306" s="155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6" s="155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6" s="2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6" s="157" t="s">
        <v>85</v>
      </c>
      <c r="J1306" t="s">
        <v>22</v>
      </c>
      <c r="K1306" s="2" t="s">
        <v>29</v>
      </c>
      <c r="L1306" s="2" t="s">
        <v>35</v>
      </c>
      <c r="M1306" s="2" t="s">
        <v>382</v>
      </c>
      <c r="N1306" s="2" t="s">
        <v>234</v>
      </c>
      <c r="O1306" s="109">
        <v>4</v>
      </c>
      <c r="P1306" s="109">
        <v>13</v>
      </c>
      <c r="Q1306" s="109">
        <v>129.5</v>
      </c>
    </row>
    <row r="1307" spans="2:17" x14ac:dyDescent="0.25">
      <c r="B1307" s="114">
        <v>22</v>
      </c>
      <c r="C1307" s="114">
        <v>50</v>
      </c>
      <c r="D1307" s="114">
        <v>98</v>
      </c>
      <c r="E1307" s="154" cm="1">
        <f t="array" ref="E1307">IF(ISBLANK(MainData[[#This Row],[EventID]]),0,IFERROR(INDEX(MainData[],MATCH(MainData[[#This Row],[EventID]],IF(MainData[Product]="Date",MainData[EventID],0),0),12),0))</f>
        <v>44614</v>
      </c>
      <c r="F1307" s="155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7" s="155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7" s="2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7" s="20" t="s">
        <v>85</v>
      </c>
      <c r="J1307" t="s">
        <v>22</v>
      </c>
      <c r="K1307" s="2" t="s">
        <v>29</v>
      </c>
      <c r="L1307" s="2" t="s">
        <v>36</v>
      </c>
      <c r="M1307" s="2" t="s">
        <v>390</v>
      </c>
      <c r="N1307" s="2" t="s">
        <v>234</v>
      </c>
      <c r="O1307" s="109">
        <v>4</v>
      </c>
      <c r="P1307" s="109">
        <v>428.18</v>
      </c>
      <c r="Q1307" s="109">
        <v>2825.69</v>
      </c>
    </row>
    <row r="1308" spans="2:17" x14ac:dyDescent="0.25">
      <c r="B1308" s="114">
        <v>22</v>
      </c>
      <c r="C1308" s="114">
        <v>50</v>
      </c>
      <c r="D1308" s="114">
        <v>98</v>
      </c>
      <c r="E1308" s="154" cm="1">
        <f t="array" ref="E1308">IF(ISBLANK(MainData[[#This Row],[EventID]]),0,IFERROR(INDEX(MainData[],MATCH(MainData[[#This Row],[EventID]],IF(MainData[Product]="Date",MainData[EventID],0),0),12),0))</f>
        <v>44614</v>
      </c>
      <c r="F1308" s="155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8" s="155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8" s="2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8" s="157" t="s">
        <v>85</v>
      </c>
      <c r="J1308" t="s">
        <v>22</v>
      </c>
      <c r="K1308" s="2" t="s">
        <v>29</v>
      </c>
      <c r="L1308" s="2" t="s">
        <v>65</v>
      </c>
      <c r="M1308" s="2" t="s">
        <v>383</v>
      </c>
      <c r="N1308" s="2" t="s">
        <v>234</v>
      </c>
      <c r="O1308" s="109">
        <v>4</v>
      </c>
      <c r="P1308" s="109">
        <v>18</v>
      </c>
      <c r="Q1308" s="109">
        <v>350.02</v>
      </c>
    </row>
    <row r="1309" spans="2:17" x14ac:dyDescent="0.25">
      <c r="B1309" s="114">
        <v>22</v>
      </c>
      <c r="C1309" s="114">
        <v>50</v>
      </c>
      <c r="D1309" s="114">
        <v>98</v>
      </c>
      <c r="E1309" s="154" cm="1">
        <f t="array" ref="E1309">IF(ISBLANK(MainData[[#This Row],[EventID]]),0,IFERROR(INDEX(MainData[],MATCH(MainData[[#This Row],[EventID]],IF(MainData[Product]="Date",MainData[EventID],0),0),12),0))</f>
        <v>44614</v>
      </c>
      <c r="F1309" s="155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9" s="155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9" s="2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9" s="157" t="s">
        <v>85</v>
      </c>
      <c r="J1309" t="s">
        <v>22</v>
      </c>
      <c r="K1309" s="2" t="s">
        <v>29</v>
      </c>
      <c r="L1309" s="2" t="s">
        <v>25</v>
      </c>
      <c r="M1309" s="2" t="s">
        <v>385</v>
      </c>
      <c r="N1309" s="2" t="s">
        <v>234</v>
      </c>
      <c r="O1309" s="109">
        <v>4</v>
      </c>
      <c r="P1309" s="109">
        <v>46</v>
      </c>
      <c r="Q1309" s="109">
        <v>455.6</v>
      </c>
    </row>
    <row r="1310" spans="2:17" x14ac:dyDescent="0.25">
      <c r="B1310" s="114">
        <v>22</v>
      </c>
      <c r="C1310" s="114">
        <v>50</v>
      </c>
      <c r="D1310" s="114">
        <v>97</v>
      </c>
      <c r="E1310" s="154" cm="1">
        <f t="array" ref="E1310">IF(ISBLANK(MainData[[#This Row],[EventID]]),0,IFERROR(INDEX(MainData[],MATCH(MainData[[#This Row],[EventID]],IF(MainData[Product]="Date",MainData[EventID],0),0),12),0))</f>
        <v>44614</v>
      </c>
      <c r="F1310" s="155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0" s="155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2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0" s="20" t="s">
        <v>85</v>
      </c>
      <c r="J1310" t="s">
        <v>20</v>
      </c>
      <c r="K1310" s="2" t="s">
        <v>116</v>
      </c>
      <c r="L1310" s="2" t="s">
        <v>88</v>
      </c>
      <c r="M1310" s="2" t="s">
        <v>189</v>
      </c>
      <c r="N1310" s="2" t="s">
        <v>233</v>
      </c>
      <c r="O1310" s="109">
        <v>2</v>
      </c>
      <c r="P1310" s="109"/>
      <c r="Q1310" s="109"/>
    </row>
    <row r="1311" spans="2:17" x14ac:dyDescent="0.25">
      <c r="B1311" s="114">
        <v>22</v>
      </c>
      <c r="C1311" s="114">
        <v>50</v>
      </c>
      <c r="D1311" s="114">
        <v>97</v>
      </c>
      <c r="E1311" s="154" cm="1">
        <f t="array" ref="E1311">IF(ISBLANK(MainData[[#This Row],[EventID]]),0,IFERROR(INDEX(MainData[],MATCH(MainData[[#This Row],[EventID]],IF(MainData[Product]="Date",MainData[EventID],0),0),12),0))</f>
        <v>44614</v>
      </c>
      <c r="F1311" s="155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1" s="155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2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1" s="20" t="s">
        <v>85</v>
      </c>
      <c r="J1311" t="s">
        <v>20</v>
      </c>
      <c r="K1311" s="2" t="s">
        <v>116</v>
      </c>
      <c r="L1311" s="2" t="s">
        <v>87</v>
      </c>
      <c r="M1311" s="2" t="s">
        <v>188</v>
      </c>
      <c r="N1311" s="2" t="s">
        <v>233</v>
      </c>
      <c r="O1311" s="109">
        <v>4</v>
      </c>
      <c r="P1311" s="109"/>
      <c r="Q1311" s="109">
        <v>400</v>
      </c>
    </row>
    <row r="1312" spans="2:17" x14ac:dyDescent="0.25">
      <c r="B1312" s="114">
        <v>22</v>
      </c>
      <c r="C1312" s="114">
        <v>50</v>
      </c>
      <c r="D1312" s="114">
        <v>97</v>
      </c>
      <c r="E1312" s="154" cm="1">
        <f t="array" ref="E1312">IF(ISBLANK(MainData[[#This Row],[EventID]]),0,IFERROR(INDEX(MainData[],MATCH(MainData[[#This Row],[EventID]],IF(MainData[Product]="Date",MainData[EventID],0),0),12),0))</f>
        <v>44614</v>
      </c>
      <c r="F1312" s="155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2" s="155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2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2" s="20" t="s">
        <v>85</v>
      </c>
      <c r="J1312" t="s">
        <v>20</v>
      </c>
      <c r="K1312" s="2" t="s">
        <v>29</v>
      </c>
      <c r="L1312" s="2" t="s">
        <v>25</v>
      </c>
      <c r="M1312" s="2" t="s">
        <v>12</v>
      </c>
      <c r="N1312" s="2" t="s">
        <v>237</v>
      </c>
      <c r="O1312" s="109"/>
      <c r="P1312" s="109">
        <v>0.01</v>
      </c>
      <c r="Q1312" s="109">
        <v>72</v>
      </c>
    </row>
    <row r="1313" spans="2:17" x14ac:dyDescent="0.25">
      <c r="B1313" s="114">
        <v>22</v>
      </c>
      <c r="C1313" s="114">
        <v>54</v>
      </c>
      <c r="D1313" s="114">
        <v>99</v>
      </c>
      <c r="E1313" s="154" cm="1">
        <f t="array" ref="E1313">IF(ISBLANK(MainData[[#This Row],[EventID]]),0,IFERROR(INDEX(MainData[],MATCH(MainData[[#This Row],[EventID]],IF(MainData[Product]="Date",MainData[EventID],0),0),12),0))</f>
        <v>44614</v>
      </c>
      <c r="F1313" s="155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3" s="155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2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3" s="157" t="s">
        <v>84</v>
      </c>
      <c r="J1313" t="s">
        <v>187</v>
      </c>
      <c r="K1313" s="2" t="s">
        <v>157</v>
      </c>
      <c r="L1313" s="2" t="s">
        <v>81</v>
      </c>
      <c r="M1313" s="2">
        <v>1</v>
      </c>
      <c r="N1313" s="2"/>
      <c r="O1313" s="109"/>
      <c r="P1313" s="109"/>
      <c r="Q1313" s="109"/>
    </row>
    <row r="1314" spans="2:17" x14ac:dyDescent="0.25">
      <c r="B1314" s="114">
        <v>22</v>
      </c>
      <c r="C1314" s="114">
        <v>54</v>
      </c>
      <c r="D1314" s="114">
        <v>124</v>
      </c>
      <c r="E1314" s="154" cm="1">
        <f t="array" ref="E1314">IF(ISBLANK(MainData[[#This Row],[EventID]]),0,IFERROR(INDEX(MainData[],MATCH(MainData[[#This Row],[EventID]],IF(MainData[Product]="Date",MainData[EventID],0),0),12),0))</f>
        <v>44614</v>
      </c>
      <c r="F1314" s="155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4" s="155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4" s="2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4" s="157" t="s">
        <v>84</v>
      </c>
      <c r="J1314" t="s">
        <v>187</v>
      </c>
      <c r="K1314" s="2" t="s">
        <v>157</v>
      </c>
      <c r="L1314" s="2" t="s">
        <v>81</v>
      </c>
      <c r="M1314" s="2">
        <v>2</v>
      </c>
      <c r="N1314" s="2"/>
      <c r="O1314" s="109"/>
      <c r="P1314" s="109"/>
      <c r="Q1314" s="109"/>
    </row>
    <row r="1315" spans="2:17" x14ac:dyDescent="0.25">
      <c r="B1315" s="114">
        <v>22</v>
      </c>
      <c r="C1315" s="114">
        <v>54</v>
      </c>
      <c r="D1315" s="114">
        <v>99</v>
      </c>
      <c r="E1315" s="154" cm="1">
        <f t="array" ref="E1315">IF(ISBLANK(MainData[[#This Row],[EventID]]),0,IFERROR(INDEX(MainData[],MATCH(MainData[[#This Row],[EventID]],IF(MainData[Product]="Date",MainData[EventID],0),0),12),0))</f>
        <v>44614</v>
      </c>
      <c r="F1315" s="155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5" s="155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5" s="2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5" s="157" t="s">
        <v>84</v>
      </c>
      <c r="J1315" t="s">
        <v>187</v>
      </c>
      <c r="K1315" s="2" t="s">
        <v>157</v>
      </c>
      <c r="L1315" s="2" t="s">
        <v>0</v>
      </c>
      <c r="M1315" s="158">
        <v>44614</v>
      </c>
      <c r="N1315" s="2"/>
      <c r="O1315" s="109"/>
      <c r="P1315" s="109"/>
      <c r="Q1315" s="109"/>
    </row>
    <row r="1316" spans="2:17" x14ac:dyDescent="0.25">
      <c r="B1316" s="114">
        <v>22</v>
      </c>
      <c r="C1316" s="114">
        <v>54</v>
      </c>
      <c r="D1316" s="114">
        <v>99</v>
      </c>
      <c r="E1316" s="154" cm="1">
        <f t="array" ref="E1316">IF(ISBLANK(MainData[[#This Row],[EventID]]),0,IFERROR(INDEX(MainData[],MATCH(MainData[[#This Row],[EventID]],IF(MainData[Product]="Date",MainData[EventID],0),0),12),0))</f>
        <v>44614</v>
      </c>
      <c r="F1316" s="155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6" s="155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6" s="2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6" s="157" t="s">
        <v>84</v>
      </c>
      <c r="J1316" t="s">
        <v>187</v>
      </c>
      <c r="K1316" s="2" t="s">
        <v>157</v>
      </c>
      <c r="L1316" s="2" t="s">
        <v>82</v>
      </c>
      <c r="M1316" s="2">
        <v>132499</v>
      </c>
      <c r="N1316" s="2"/>
      <c r="O1316" s="109"/>
      <c r="P1316" s="109"/>
      <c r="Q1316" s="109"/>
    </row>
    <row r="1317" spans="2:17" x14ac:dyDescent="0.25">
      <c r="B1317" s="114">
        <v>22</v>
      </c>
      <c r="C1317" s="114">
        <v>54</v>
      </c>
      <c r="D1317" s="114">
        <v>99</v>
      </c>
      <c r="E1317" s="154" cm="1">
        <f t="array" ref="E1317">IF(ISBLANK(MainData[[#This Row],[EventID]]),0,IFERROR(INDEX(MainData[],MATCH(MainData[[#This Row],[EventID]],IF(MainData[Product]="Date",MainData[EventID],0),0),12),0))</f>
        <v>44614</v>
      </c>
      <c r="F1317" s="155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7" s="155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7" s="2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7" s="157" t="s">
        <v>84</v>
      </c>
      <c r="J1317" t="s">
        <v>187</v>
      </c>
      <c r="K1317" s="2" t="s">
        <v>157</v>
      </c>
      <c r="L1317" s="2" t="s">
        <v>175</v>
      </c>
      <c r="M1317" s="2" t="s">
        <v>481</v>
      </c>
      <c r="N1317" s="2"/>
      <c r="O1317" s="109"/>
      <c r="P1317" s="109"/>
      <c r="Q1317" s="109"/>
    </row>
    <row r="1318" spans="2:17" x14ac:dyDescent="0.25">
      <c r="B1318" s="114">
        <v>22</v>
      </c>
      <c r="C1318" s="114">
        <v>54</v>
      </c>
      <c r="D1318" s="114">
        <v>99</v>
      </c>
      <c r="E1318" s="154" cm="1">
        <f t="array" ref="E1318">IF(ISBLANK(MainData[[#This Row],[EventID]]),0,IFERROR(INDEX(MainData[],MATCH(MainData[[#This Row],[EventID]],IF(MainData[Product]="Date",MainData[EventID],0),0),12),0))</f>
        <v>44614</v>
      </c>
      <c r="F1318" s="155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8" s="155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2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8" s="157" t="s">
        <v>84</v>
      </c>
      <c r="J1318" t="s">
        <v>187</v>
      </c>
      <c r="K1318" s="2" t="s">
        <v>157</v>
      </c>
      <c r="L1318" s="2" t="s">
        <v>138</v>
      </c>
      <c r="M1318" s="2">
        <v>350</v>
      </c>
      <c r="N1318" s="2"/>
      <c r="O1318" s="109"/>
      <c r="P1318" s="109"/>
      <c r="Q1318" s="109"/>
    </row>
    <row r="1319" spans="2:17" x14ac:dyDescent="0.25">
      <c r="B1319" s="114">
        <v>22</v>
      </c>
      <c r="C1319" s="114">
        <v>54</v>
      </c>
      <c r="D1319" s="114">
        <v>99</v>
      </c>
      <c r="E1319" s="154" cm="1">
        <f t="array" ref="E1319">IF(ISBLANK(MainData[[#This Row],[EventID]]),0,IFERROR(INDEX(MainData[],MATCH(MainData[[#This Row],[EventID]],IF(MainData[Product]="Date",MainData[EventID],0),0),12),0))</f>
        <v>44614</v>
      </c>
      <c r="F1319" s="155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9" s="155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2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9" s="157" t="s">
        <v>84</v>
      </c>
      <c r="J1319" t="s">
        <v>187</v>
      </c>
      <c r="K1319" s="2" t="s">
        <v>157</v>
      </c>
      <c r="L1319" s="2" t="s">
        <v>86</v>
      </c>
      <c r="M1319" s="2">
        <v>3</v>
      </c>
      <c r="N1319" s="2"/>
      <c r="O1319" s="109"/>
      <c r="P1319" s="109"/>
      <c r="Q1319" s="109"/>
    </row>
    <row r="1320" spans="2:17" x14ac:dyDescent="0.25">
      <c r="B1320" s="114">
        <v>22</v>
      </c>
      <c r="C1320" s="114">
        <v>54</v>
      </c>
      <c r="D1320" s="114">
        <v>99</v>
      </c>
      <c r="E1320" s="154" cm="1">
        <f t="array" ref="E1320">IF(ISBLANK(MainData[[#This Row],[EventID]]),0,IFERROR(INDEX(MainData[],MATCH(MainData[[#This Row],[EventID]],IF(MainData[Product]="Date",MainData[EventID],0),0),12),0))</f>
        <v>44614</v>
      </c>
      <c r="F1320" s="155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0" s="155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2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0" s="157" t="s">
        <v>84</v>
      </c>
      <c r="J1320" t="s">
        <v>187</v>
      </c>
      <c r="K1320" s="2" t="s">
        <v>157</v>
      </c>
      <c r="L1320" s="2" t="s">
        <v>118</v>
      </c>
      <c r="M1320" s="2" t="s">
        <v>462</v>
      </c>
      <c r="N1320" s="2"/>
      <c r="O1320" s="109"/>
      <c r="P1320" s="109"/>
      <c r="Q1320" s="109"/>
    </row>
    <row r="1321" spans="2:17" x14ac:dyDescent="0.25">
      <c r="B1321" s="114">
        <v>22</v>
      </c>
      <c r="C1321" s="114">
        <v>54</v>
      </c>
      <c r="D1321" s="114">
        <v>124</v>
      </c>
      <c r="E1321" s="154" cm="1">
        <f t="array" ref="E1321">IF(ISBLANK(MainData[[#This Row],[EventID]]),0,IFERROR(INDEX(MainData[],MATCH(MainData[[#This Row],[EventID]],IF(MainData[Product]="Date",MainData[EventID],0),0),12),0))</f>
        <v>44614</v>
      </c>
      <c r="F1321" s="155" cm="1">
        <f t="array" ref="F1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1" s="155" cm="1">
        <f t="array" ref="G1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1" s="2" t="str" cm="1">
        <f t="array" ref="H1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1" s="157" t="s">
        <v>85</v>
      </c>
      <c r="J1321" t="s">
        <v>22</v>
      </c>
      <c r="K1321" s="2" t="s">
        <v>29</v>
      </c>
      <c r="L1321" s="2" t="s">
        <v>35</v>
      </c>
      <c r="M1321" s="2" t="s">
        <v>382</v>
      </c>
      <c r="N1321" s="2" t="s">
        <v>234</v>
      </c>
      <c r="O1321" s="109">
        <v>2</v>
      </c>
      <c r="P1321" s="109">
        <v>3.6</v>
      </c>
      <c r="Q1321" s="109">
        <v>35.840000000000003</v>
      </c>
    </row>
    <row r="1322" spans="2:17" x14ac:dyDescent="0.25">
      <c r="B1322" s="114">
        <v>22</v>
      </c>
      <c r="C1322" s="114">
        <v>54</v>
      </c>
      <c r="D1322" s="114">
        <v>124</v>
      </c>
      <c r="E1322" s="154" cm="1">
        <f t="array" ref="E1322">IF(ISBLANK(MainData[[#This Row],[EventID]]),0,IFERROR(INDEX(MainData[],MATCH(MainData[[#This Row],[EventID]],IF(MainData[Product]="Date",MainData[EventID],0),0),12),0))</f>
        <v>44614</v>
      </c>
      <c r="F1322" s="155" cm="1">
        <f t="array" ref="F1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2" s="155" cm="1">
        <f t="array" ref="G1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2" s="2" t="str" cm="1">
        <f t="array" ref="H1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2" s="20" t="s">
        <v>85</v>
      </c>
      <c r="J1322" t="s">
        <v>22</v>
      </c>
      <c r="K1322" s="2" t="s">
        <v>29</v>
      </c>
      <c r="L1322" s="2" t="s">
        <v>36</v>
      </c>
      <c r="M1322" s="2" t="s">
        <v>390</v>
      </c>
      <c r="N1322" s="2" t="s">
        <v>234</v>
      </c>
      <c r="O1322" s="109">
        <v>2</v>
      </c>
      <c r="P1322" s="109">
        <v>35.72</v>
      </c>
      <c r="Q1322" s="109">
        <v>249.16</v>
      </c>
    </row>
    <row r="1323" spans="2:17" x14ac:dyDescent="0.25">
      <c r="B1323" s="114">
        <v>22</v>
      </c>
      <c r="C1323" s="114">
        <v>54</v>
      </c>
      <c r="D1323" s="114">
        <v>124</v>
      </c>
      <c r="E1323" s="154" cm="1">
        <f t="array" ref="E1323">IF(ISBLANK(MainData[[#This Row],[EventID]]),0,IFERROR(INDEX(MainData[],MATCH(MainData[[#This Row],[EventID]],IF(MainData[Product]="Date",MainData[EventID],0),0),12),0))</f>
        <v>44614</v>
      </c>
      <c r="F1323" s="155" cm="1">
        <f t="array" ref="F1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3" s="155" cm="1">
        <f t="array" ref="G1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3" s="2" t="str" cm="1">
        <f t="array" ref="H1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3" s="157" t="s">
        <v>85</v>
      </c>
      <c r="J1323" t="s">
        <v>22</v>
      </c>
      <c r="K1323" s="2" t="s">
        <v>29</v>
      </c>
      <c r="L1323" s="2" t="s">
        <v>65</v>
      </c>
      <c r="M1323" s="2" t="s">
        <v>383</v>
      </c>
      <c r="N1323" s="2" t="s">
        <v>234</v>
      </c>
      <c r="O1323" s="109">
        <v>2</v>
      </c>
      <c r="P1323" s="109">
        <v>5</v>
      </c>
      <c r="Q1323" s="109">
        <v>101.64</v>
      </c>
    </row>
    <row r="1324" spans="2:17" x14ac:dyDescent="0.25">
      <c r="B1324" s="114">
        <v>22</v>
      </c>
      <c r="C1324" s="114">
        <v>54</v>
      </c>
      <c r="D1324" s="114">
        <v>124</v>
      </c>
      <c r="E1324" s="154" cm="1">
        <f t="array" ref="E1324">IF(ISBLANK(MainData[[#This Row],[EventID]]),0,IFERROR(INDEX(MainData[],MATCH(MainData[[#This Row],[EventID]],IF(MainData[Product]="Date",MainData[EventID],0),0),12),0))</f>
        <v>44614</v>
      </c>
      <c r="F1324" s="155" cm="1">
        <f t="array" ref="F1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4" s="155" cm="1">
        <f t="array" ref="G1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4" s="2" t="str" cm="1">
        <f t="array" ref="H1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4" s="157" t="s">
        <v>85</v>
      </c>
      <c r="J1324" t="s">
        <v>22</v>
      </c>
      <c r="K1324" s="2" t="s">
        <v>29</v>
      </c>
      <c r="L1324" s="2" t="s">
        <v>25</v>
      </c>
      <c r="M1324" s="2" t="s">
        <v>385</v>
      </c>
      <c r="N1324" s="2" t="s">
        <v>234</v>
      </c>
      <c r="O1324" s="109">
        <v>2</v>
      </c>
      <c r="P1324" s="109">
        <v>8.6999999999999993</v>
      </c>
      <c r="Q1324" s="109">
        <v>87.29</v>
      </c>
    </row>
    <row r="1325" spans="2:17" x14ac:dyDescent="0.25">
      <c r="B1325" s="114">
        <v>22</v>
      </c>
      <c r="C1325" s="114">
        <v>54</v>
      </c>
      <c r="D1325" s="114">
        <v>99</v>
      </c>
      <c r="E1325" s="154" cm="1">
        <f t="array" ref="E1325">IF(ISBLANK(MainData[[#This Row],[EventID]]),0,IFERROR(INDEX(MainData[],MATCH(MainData[[#This Row],[EventID]],IF(MainData[Product]="Date",MainData[EventID],0),0),12),0))</f>
        <v>44614</v>
      </c>
      <c r="F1325" s="155" cm="1">
        <f t="array" ref="F1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5" s="155" cm="1">
        <f t="array" ref="G1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5" s="2" t="str" cm="1">
        <f t="array" ref="H1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5" s="20" t="s">
        <v>85</v>
      </c>
      <c r="J1325" t="s">
        <v>20</v>
      </c>
      <c r="K1325" s="2" t="s">
        <v>116</v>
      </c>
      <c r="L1325" s="2" t="s">
        <v>88</v>
      </c>
      <c r="M1325" s="2" t="s">
        <v>189</v>
      </c>
      <c r="N1325" s="2" t="s">
        <v>233</v>
      </c>
      <c r="O1325" s="109">
        <v>1</v>
      </c>
      <c r="P1325" s="109"/>
      <c r="Q1325" s="109"/>
    </row>
    <row r="1326" spans="2:17" x14ac:dyDescent="0.25">
      <c r="B1326" s="114">
        <v>22</v>
      </c>
      <c r="C1326" s="114">
        <v>54</v>
      </c>
      <c r="D1326" s="114">
        <v>99</v>
      </c>
      <c r="E1326" s="154" cm="1">
        <f t="array" ref="E1326">IF(ISBLANK(MainData[[#This Row],[EventID]]),0,IFERROR(INDEX(MainData[],MATCH(MainData[[#This Row],[EventID]],IF(MainData[Product]="Date",MainData[EventID],0),0),12),0))</f>
        <v>44614</v>
      </c>
      <c r="F1326" s="155" cm="1">
        <f t="array" ref="F1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6" s="155" cm="1">
        <f t="array" ref="G1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6" s="2" t="str" cm="1">
        <f t="array" ref="H1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6" s="20" t="s">
        <v>85</v>
      </c>
      <c r="J1326" t="s">
        <v>20</v>
      </c>
      <c r="K1326" s="2" t="s">
        <v>116</v>
      </c>
      <c r="L1326" s="2" t="s">
        <v>87</v>
      </c>
      <c r="M1326" s="2" t="s">
        <v>188</v>
      </c>
      <c r="N1326" s="2" t="s">
        <v>233</v>
      </c>
      <c r="O1326" s="109">
        <v>2</v>
      </c>
      <c r="P1326" s="109"/>
      <c r="Q1326" s="109">
        <v>200</v>
      </c>
    </row>
    <row r="1327" spans="2:17" x14ac:dyDescent="0.25">
      <c r="B1327" s="114">
        <v>14</v>
      </c>
      <c r="C1327" s="114">
        <v>37</v>
      </c>
      <c r="D1327" s="114">
        <v>96</v>
      </c>
      <c r="E1327" s="154" cm="1">
        <f t="array" ref="E1327">IF(ISBLANK(MainData[[#This Row],[EventID]]),0,IFERROR(INDEX(MainData[],MATCH(MainData[[#This Row],[EventID]],IF(MainData[Product]="Date",MainData[EventID],0),0),12),0))</f>
        <v>44614</v>
      </c>
      <c r="F1327" s="155" cm="1">
        <f t="array" ref="F1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7" s="155" cm="1">
        <f t="array" ref="G1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7" s="2" t="str" cm="1">
        <f t="array" ref="H1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7" s="157" t="s">
        <v>84</v>
      </c>
      <c r="J1327" t="s">
        <v>187</v>
      </c>
      <c r="K1327" s="2" t="s">
        <v>157</v>
      </c>
      <c r="L1327" s="2" t="s">
        <v>81</v>
      </c>
      <c r="M1327" s="2">
        <v>1</v>
      </c>
      <c r="N1327" s="2"/>
      <c r="O1327" s="109"/>
      <c r="P1327" s="109"/>
      <c r="Q1327" s="109"/>
    </row>
    <row r="1328" spans="2:17" x14ac:dyDescent="0.25">
      <c r="B1328" s="114">
        <v>14</v>
      </c>
      <c r="C1328" s="114">
        <v>37</v>
      </c>
      <c r="D1328" s="114">
        <v>96</v>
      </c>
      <c r="E1328" s="154" cm="1">
        <f t="array" ref="E1328">IF(ISBLANK(MainData[[#This Row],[EventID]]),0,IFERROR(INDEX(MainData[],MATCH(MainData[[#This Row],[EventID]],IF(MainData[Product]="Date",MainData[EventID],0),0),12),0))</f>
        <v>44614</v>
      </c>
      <c r="F1328" s="155" cm="1">
        <f t="array" ref="F1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8" s="155" cm="1">
        <f t="array" ref="G1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8" s="2" t="str" cm="1">
        <f t="array" ref="H1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8" s="157" t="s">
        <v>84</v>
      </c>
      <c r="J1328" t="s">
        <v>187</v>
      </c>
      <c r="K1328" s="2" t="s">
        <v>157</v>
      </c>
      <c r="L1328" s="2" t="s">
        <v>0</v>
      </c>
      <c r="M1328" s="158">
        <v>44614</v>
      </c>
      <c r="N1328" s="2"/>
      <c r="O1328" s="109"/>
      <c r="P1328" s="109"/>
      <c r="Q1328" s="109"/>
    </row>
    <row r="1329" spans="2:17" x14ac:dyDescent="0.25">
      <c r="B1329" s="114">
        <v>14</v>
      </c>
      <c r="C1329" s="114">
        <v>37</v>
      </c>
      <c r="D1329" s="114">
        <v>96</v>
      </c>
      <c r="E1329" s="154" cm="1">
        <f t="array" ref="E1329">IF(ISBLANK(MainData[[#This Row],[EventID]]),0,IFERROR(INDEX(MainData[],MATCH(MainData[[#This Row],[EventID]],IF(MainData[Product]="Date",MainData[EventID],0),0),12),0))</f>
        <v>44614</v>
      </c>
      <c r="F1329" s="155" cm="1">
        <f t="array" ref="F1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9" s="155" cm="1">
        <f t="array" ref="G1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9" s="2" t="str" cm="1">
        <f t="array" ref="H1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9" s="157" t="s">
        <v>84</v>
      </c>
      <c r="J1329" t="s">
        <v>187</v>
      </c>
      <c r="K1329" s="2" t="s">
        <v>157</v>
      </c>
      <c r="L1329" s="2" t="s">
        <v>82</v>
      </c>
      <c r="M1329" s="2">
        <v>441172</v>
      </c>
      <c r="N1329" s="2"/>
      <c r="O1329" s="109"/>
      <c r="P1329" s="109"/>
      <c r="Q1329" s="109"/>
    </row>
    <row r="1330" spans="2:17" x14ac:dyDescent="0.25">
      <c r="B1330" s="114">
        <v>14</v>
      </c>
      <c r="C1330" s="114">
        <v>37</v>
      </c>
      <c r="D1330" s="114">
        <v>96</v>
      </c>
      <c r="E1330" s="154" cm="1">
        <f t="array" ref="E1330">IF(ISBLANK(MainData[[#This Row],[EventID]]),0,IFERROR(INDEX(MainData[],MATCH(MainData[[#This Row],[EventID]],IF(MainData[Product]="Date",MainData[EventID],0),0),12),0))</f>
        <v>44614</v>
      </c>
      <c r="F1330" s="155" cm="1">
        <f t="array" ref="F1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0" s="155" cm="1">
        <f t="array" ref="G1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0" s="2" t="str" cm="1">
        <f t="array" ref="H1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0" s="157" t="s">
        <v>84</v>
      </c>
      <c r="J1330" t="s">
        <v>187</v>
      </c>
      <c r="K1330" s="2" t="s">
        <v>157</v>
      </c>
      <c r="L1330" s="2" t="s">
        <v>175</v>
      </c>
      <c r="M1330" s="2" t="s">
        <v>455</v>
      </c>
      <c r="N1330" s="2"/>
      <c r="O1330" s="109"/>
      <c r="P1330" s="109"/>
      <c r="Q1330" s="109"/>
    </row>
    <row r="1331" spans="2:17" x14ac:dyDescent="0.25">
      <c r="B1331" s="114">
        <v>14</v>
      </c>
      <c r="C1331" s="114">
        <v>37</v>
      </c>
      <c r="D1331" s="114">
        <v>96</v>
      </c>
      <c r="E1331" s="154" cm="1">
        <f t="array" ref="E1331">IF(ISBLANK(MainData[[#This Row],[EventID]]),0,IFERROR(INDEX(MainData[],MATCH(MainData[[#This Row],[EventID]],IF(MainData[Product]="Date",MainData[EventID],0),0),12),0))</f>
        <v>44614</v>
      </c>
      <c r="F1331" s="155" cm="1">
        <f t="array" ref="F1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1" s="155" cm="1">
        <f t="array" ref="G1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1" s="2" t="str" cm="1">
        <f t="array" ref="H1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1" s="157" t="s">
        <v>84</v>
      </c>
      <c r="J1331" t="s">
        <v>187</v>
      </c>
      <c r="K1331" s="2" t="s">
        <v>157</v>
      </c>
      <c r="L1331" s="2" t="s">
        <v>138</v>
      </c>
      <c r="M1331" s="2">
        <v>45</v>
      </c>
      <c r="N1331" s="2"/>
      <c r="O1331" s="109"/>
      <c r="P1331" s="109"/>
      <c r="Q1331" s="109"/>
    </row>
    <row r="1332" spans="2:17" x14ac:dyDescent="0.25">
      <c r="B1332" s="114">
        <v>14</v>
      </c>
      <c r="C1332" s="114">
        <v>37</v>
      </c>
      <c r="D1332" s="114">
        <v>96</v>
      </c>
      <c r="E1332" s="154" cm="1">
        <f t="array" ref="E1332">IF(ISBLANK(MainData[[#This Row],[EventID]]),0,IFERROR(INDEX(MainData[],MATCH(MainData[[#This Row],[EventID]],IF(MainData[Product]="Date",MainData[EventID],0),0),12),0))</f>
        <v>44614</v>
      </c>
      <c r="F1332" s="155" cm="1">
        <f t="array" ref="F1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2" s="155" cm="1">
        <f t="array" ref="G1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2" s="2" t="str" cm="1">
        <f t="array" ref="H1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2" s="157" t="s">
        <v>84</v>
      </c>
      <c r="J1332" t="s">
        <v>187</v>
      </c>
      <c r="K1332" s="2" t="s">
        <v>157</v>
      </c>
      <c r="L1332" s="2" t="s">
        <v>86</v>
      </c>
      <c r="M1332" s="2">
        <v>1.5</v>
      </c>
      <c r="N1332" s="2"/>
      <c r="O1332" s="109"/>
      <c r="P1332" s="109"/>
      <c r="Q1332" s="109"/>
    </row>
    <row r="1333" spans="2:17" x14ac:dyDescent="0.25">
      <c r="B1333" s="114">
        <v>14</v>
      </c>
      <c r="C1333" s="114">
        <v>37</v>
      </c>
      <c r="D1333" s="114">
        <v>96</v>
      </c>
      <c r="E1333" s="154" cm="1">
        <f t="array" ref="E1333">IF(ISBLANK(MainData[[#This Row],[EventID]]),0,IFERROR(INDEX(MainData[],MATCH(MainData[[#This Row],[EventID]],IF(MainData[Product]="Date",MainData[EventID],0),0),12),0))</f>
        <v>44614</v>
      </c>
      <c r="F1333" s="155" cm="1">
        <f t="array" ref="F1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3" s="155" cm="1">
        <f t="array" ref="G1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3" s="2" t="str" cm="1">
        <f t="array" ref="H1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3" s="157" t="s">
        <v>84</v>
      </c>
      <c r="J1333" t="s">
        <v>187</v>
      </c>
      <c r="K1333" s="2" t="s">
        <v>157</v>
      </c>
      <c r="L1333" s="2" t="s">
        <v>118</v>
      </c>
      <c r="M1333" s="2" t="s">
        <v>458</v>
      </c>
      <c r="N1333" s="2"/>
      <c r="O1333" s="109"/>
      <c r="P1333" s="109"/>
      <c r="Q1333" s="109"/>
    </row>
    <row r="1334" spans="2:17" x14ac:dyDescent="0.25">
      <c r="B1334" s="114">
        <v>14</v>
      </c>
      <c r="C1334" s="114">
        <v>37</v>
      </c>
      <c r="D1334" s="114">
        <v>96</v>
      </c>
      <c r="E1334" s="154" cm="1">
        <f t="array" ref="E1334">IF(ISBLANK(MainData[[#This Row],[EventID]]),0,IFERROR(INDEX(MainData[],MATCH(MainData[[#This Row],[EventID]],IF(MainData[Product]="Date",MainData[EventID],0),0),12),0))</f>
        <v>44614</v>
      </c>
      <c r="F1334" s="155" cm="1">
        <f t="array" ref="F1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4" s="155" cm="1">
        <f t="array" ref="G1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4" s="2" t="str" cm="1">
        <f t="array" ref="H1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4" s="20" t="s">
        <v>85</v>
      </c>
      <c r="J1334" t="s">
        <v>20</v>
      </c>
      <c r="K1334" s="2" t="s">
        <v>116</v>
      </c>
      <c r="L1334" s="2" t="s">
        <v>88</v>
      </c>
      <c r="M1334" s="2" t="s">
        <v>189</v>
      </c>
      <c r="N1334" s="2" t="s">
        <v>233</v>
      </c>
      <c r="O1334" s="109">
        <v>1</v>
      </c>
      <c r="P1334" s="109"/>
      <c r="Q1334" s="109"/>
    </row>
    <row r="1335" spans="2:17" x14ac:dyDescent="0.25">
      <c r="B1335" s="114">
        <v>14</v>
      </c>
      <c r="C1335" s="114">
        <v>37</v>
      </c>
      <c r="D1335" s="114">
        <v>96</v>
      </c>
      <c r="E1335" s="154" cm="1">
        <f t="array" ref="E1335">IF(ISBLANK(MainData[[#This Row],[EventID]]),0,IFERROR(INDEX(MainData[],MATCH(MainData[[#This Row],[EventID]],IF(MainData[Product]="Date",MainData[EventID],0),0),12),0))</f>
        <v>44614</v>
      </c>
      <c r="F1335" s="155" cm="1">
        <f t="array" ref="F1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5" s="155" cm="1">
        <f t="array" ref="G1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5" s="2" t="str" cm="1">
        <f t="array" ref="H1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5" s="20" t="s">
        <v>85</v>
      </c>
      <c r="J1335" t="s">
        <v>20</v>
      </c>
      <c r="K1335" s="2" t="s">
        <v>116</v>
      </c>
      <c r="L1335" s="2" t="s">
        <v>87</v>
      </c>
      <c r="M1335" s="2" t="s">
        <v>188</v>
      </c>
      <c r="N1335" s="2" t="s">
        <v>233</v>
      </c>
      <c r="O1335" s="109">
        <v>1</v>
      </c>
      <c r="P1335" s="109"/>
      <c r="Q1335" s="109">
        <v>100</v>
      </c>
    </row>
    <row r="1336" spans="2:17" x14ac:dyDescent="0.25">
      <c r="B1336" s="114">
        <v>14</v>
      </c>
      <c r="C1336" s="114">
        <v>37</v>
      </c>
      <c r="D1336" s="114">
        <v>96</v>
      </c>
      <c r="E1336" s="154" cm="1">
        <f t="array" ref="E1336">IF(ISBLANK(MainData[[#This Row],[EventID]]),0,IFERROR(INDEX(MainData[],MATCH(MainData[[#This Row],[EventID]],IF(MainData[Product]="Date",MainData[EventID],0),0),12),0))</f>
        <v>44614</v>
      </c>
      <c r="F1336" s="155" cm="1">
        <f t="array" ref="F1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6" s="155" cm="1">
        <f t="array" ref="G1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6" s="2" t="str" cm="1">
        <f t="array" ref="H1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6" s="157" t="s">
        <v>85</v>
      </c>
      <c r="J1336" t="s">
        <v>20</v>
      </c>
      <c r="K1336" s="2" t="s">
        <v>29</v>
      </c>
      <c r="L1336" s="2" t="s">
        <v>35</v>
      </c>
      <c r="M1336" s="2" t="s">
        <v>382</v>
      </c>
      <c r="N1336" s="2" t="s">
        <v>234</v>
      </c>
      <c r="O1336" s="109">
        <v>1</v>
      </c>
      <c r="P1336" s="109">
        <v>21</v>
      </c>
      <c r="Q1336" s="109">
        <v>210</v>
      </c>
    </row>
    <row r="1337" spans="2:17" x14ac:dyDescent="0.25">
      <c r="B1337" s="114">
        <v>14</v>
      </c>
      <c r="C1337" s="114">
        <v>37</v>
      </c>
      <c r="D1337" s="114">
        <v>96</v>
      </c>
      <c r="E1337" s="154" cm="1">
        <f t="array" ref="E1337">IF(ISBLANK(MainData[[#This Row],[EventID]]),0,IFERROR(INDEX(MainData[],MATCH(MainData[[#This Row],[EventID]],IF(MainData[Product]="Date",MainData[EventID],0),0),12),0))</f>
        <v>44614</v>
      </c>
      <c r="F1337" s="155" cm="1">
        <f t="array" ref="F1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7" s="155" cm="1">
        <f t="array" ref="G1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7" s="2" t="str" cm="1">
        <f t="array" ref="H1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7" s="157" t="s">
        <v>85</v>
      </c>
      <c r="J1337" t="s">
        <v>20</v>
      </c>
      <c r="K1337" s="2" t="s">
        <v>29</v>
      </c>
      <c r="L1337" s="2" t="s">
        <v>65</v>
      </c>
      <c r="M1337" s="2" t="s">
        <v>383</v>
      </c>
      <c r="N1337" s="2" t="s">
        <v>234</v>
      </c>
      <c r="O1337" s="109">
        <v>1</v>
      </c>
      <c r="P1337" s="109">
        <v>3.25</v>
      </c>
      <c r="Q1337" s="109">
        <v>65</v>
      </c>
    </row>
    <row r="1338" spans="2:17" x14ac:dyDescent="0.25">
      <c r="B1338" s="114">
        <v>14</v>
      </c>
      <c r="C1338" s="114">
        <v>37</v>
      </c>
      <c r="D1338" s="114">
        <v>96</v>
      </c>
      <c r="E1338" s="154" cm="1">
        <f t="array" ref="E1338">IF(ISBLANK(MainData[[#This Row],[EventID]]),0,IFERROR(INDEX(MainData[],MATCH(MainData[[#This Row],[EventID]],IF(MainData[Product]="Date",MainData[EventID],0),0),12),0))</f>
        <v>44614</v>
      </c>
      <c r="F1338" s="155" cm="1">
        <f t="array" ref="F1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8" s="155" cm="1">
        <f t="array" ref="G1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8" s="2" t="str" cm="1">
        <f t="array" ref="H1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8" s="20" t="s">
        <v>85</v>
      </c>
      <c r="J1338" t="s">
        <v>20</v>
      </c>
      <c r="K1338" s="2" t="s">
        <v>29</v>
      </c>
      <c r="L1338" s="2" t="s">
        <v>25</v>
      </c>
      <c r="M1338" s="2" t="s">
        <v>12</v>
      </c>
      <c r="N1338" s="2" t="s">
        <v>234</v>
      </c>
      <c r="O1338" s="109">
        <v>1</v>
      </c>
      <c r="P1338" s="109">
        <v>126.99</v>
      </c>
      <c r="Q1338" s="109">
        <v>441</v>
      </c>
    </row>
    <row r="1339" spans="2:17" x14ac:dyDescent="0.25">
      <c r="B1339" s="114">
        <v>41</v>
      </c>
      <c r="C1339" s="114">
        <v>101</v>
      </c>
      <c r="D1339" s="114">
        <v>100</v>
      </c>
      <c r="E1339" s="154" cm="1">
        <f t="array" ref="E1339">IF(ISBLANK(MainData[[#This Row],[EventID]]),0,IFERROR(INDEX(MainData[],MATCH(MainData[[#This Row],[EventID]],IF(MainData[Product]="Date",MainData[EventID],0),0),12),0))</f>
        <v>44614</v>
      </c>
      <c r="F1339" s="155" cm="1">
        <f t="array" ref="F1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9" s="155" cm="1">
        <f t="array" ref="G1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9" s="2" t="str" cm="1">
        <f t="array" ref="H1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9" s="157" t="s">
        <v>84</v>
      </c>
      <c r="J1339" t="s">
        <v>187</v>
      </c>
      <c r="K1339" s="2" t="s">
        <v>157</v>
      </c>
      <c r="L1339" s="2" t="s">
        <v>81</v>
      </c>
      <c r="M1339" s="2">
        <v>1</v>
      </c>
      <c r="N1339" s="2"/>
      <c r="O1339" s="109"/>
      <c r="P1339" s="109"/>
      <c r="Q1339" s="109"/>
    </row>
    <row r="1340" spans="2:17" x14ac:dyDescent="0.25">
      <c r="B1340" s="114">
        <v>41</v>
      </c>
      <c r="C1340" s="114">
        <v>101</v>
      </c>
      <c r="D1340" s="114">
        <v>100</v>
      </c>
      <c r="E1340" s="154" cm="1">
        <f t="array" ref="E1340">IF(ISBLANK(MainData[[#This Row],[EventID]]),0,IFERROR(INDEX(MainData[],MATCH(MainData[[#This Row],[EventID]],IF(MainData[Product]="Date",MainData[EventID],0),0),12),0))</f>
        <v>44614</v>
      </c>
      <c r="F1340" s="155" cm="1">
        <f t="array" ref="F1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0" s="155" cm="1">
        <f t="array" ref="G1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0" s="2" t="str" cm="1">
        <f t="array" ref="H1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0" s="157" t="s">
        <v>84</v>
      </c>
      <c r="J1340" t="s">
        <v>187</v>
      </c>
      <c r="K1340" s="2" t="s">
        <v>157</v>
      </c>
      <c r="L1340" s="2" t="s">
        <v>164</v>
      </c>
      <c r="M1340" s="2" t="s">
        <v>441</v>
      </c>
      <c r="N1340" s="2"/>
      <c r="O1340" s="109"/>
      <c r="P1340" s="109"/>
      <c r="Q1340" s="109"/>
    </row>
    <row r="1341" spans="2:17" x14ac:dyDescent="0.25">
      <c r="B1341" s="114">
        <v>41</v>
      </c>
      <c r="C1341" s="114">
        <v>101</v>
      </c>
      <c r="D1341" s="114">
        <v>100</v>
      </c>
      <c r="E1341" s="154" cm="1">
        <f t="array" ref="E1341">IF(ISBLANK(MainData[[#This Row],[EventID]]),0,IFERROR(INDEX(MainData[],MATCH(MainData[[#This Row],[EventID]],IF(MainData[Product]="Date",MainData[EventID],0),0),12),0))</f>
        <v>44614</v>
      </c>
      <c r="F1341" s="155" cm="1">
        <f t="array" ref="F1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1" s="155" cm="1">
        <f t="array" ref="G1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1" s="2" t="str" cm="1">
        <f t="array" ref="H1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1" s="157" t="s">
        <v>84</v>
      </c>
      <c r="J1341" t="s">
        <v>187</v>
      </c>
      <c r="K1341" s="2" t="s">
        <v>157</v>
      </c>
      <c r="L1341" s="2" t="s">
        <v>0</v>
      </c>
      <c r="M1341" s="158">
        <v>44614</v>
      </c>
      <c r="N1341" s="2"/>
      <c r="O1341" s="109"/>
      <c r="P1341" s="109"/>
      <c r="Q1341" s="109"/>
    </row>
    <row r="1342" spans="2:17" x14ac:dyDescent="0.25">
      <c r="B1342" s="114">
        <v>41</v>
      </c>
      <c r="C1342" s="114">
        <v>101</v>
      </c>
      <c r="D1342" s="114">
        <v>100</v>
      </c>
      <c r="E1342" s="154" cm="1">
        <f t="array" ref="E1342">IF(ISBLANK(MainData[[#This Row],[EventID]]),0,IFERROR(INDEX(MainData[],MATCH(MainData[[#This Row],[EventID]],IF(MainData[Product]="Date",MainData[EventID],0),0),12),0))</f>
        <v>44614</v>
      </c>
      <c r="F1342" s="155" cm="1">
        <f t="array" ref="F1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2" s="155" cm="1">
        <f t="array" ref="G1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2" s="2" t="str" cm="1">
        <f t="array" ref="H1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2" s="157" t="s">
        <v>84</v>
      </c>
      <c r="J1342" t="s">
        <v>187</v>
      </c>
      <c r="K1342" s="2" t="s">
        <v>157</v>
      </c>
      <c r="L1342" s="2" t="s">
        <v>82</v>
      </c>
      <c r="M1342" s="2">
        <v>328362</v>
      </c>
      <c r="N1342" s="2"/>
      <c r="O1342" s="109"/>
      <c r="P1342" s="109"/>
      <c r="Q1342" s="109"/>
    </row>
    <row r="1343" spans="2:17" x14ac:dyDescent="0.25">
      <c r="B1343" s="114">
        <v>41</v>
      </c>
      <c r="C1343" s="114">
        <v>101</v>
      </c>
      <c r="D1343" s="114">
        <v>100</v>
      </c>
      <c r="E1343" s="154" cm="1">
        <f t="array" ref="E1343">IF(ISBLANK(MainData[[#This Row],[EventID]]),0,IFERROR(INDEX(MainData[],MATCH(MainData[[#This Row],[EventID]],IF(MainData[Product]="Date",MainData[EventID],0),0),12),0))</f>
        <v>44614</v>
      </c>
      <c r="F1343" s="155" cm="1">
        <f t="array" ref="F1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3" s="155" cm="1">
        <f t="array" ref="G1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3" s="2" t="str" cm="1">
        <f t="array" ref="H1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3" s="157" t="s">
        <v>84</v>
      </c>
      <c r="J1343" t="s">
        <v>187</v>
      </c>
      <c r="K1343" s="2" t="s">
        <v>157</v>
      </c>
      <c r="L1343" s="2" t="s">
        <v>175</v>
      </c>
      <c r="M1343" s="2" t="s">
        <v>499</v>
      </c>
      <c r="N1343" s="2"/>
      <c r="O1343" s="109"/>
      <c r="P1343" s="109"/>
      <c r="Q1343" s="109"/>
    </row>
    <row r="1344" spans="2:17" x14ac:dyDescent="0.25">
      <c r="B1344" s="114">
        <v>41</v>
      </c>
      <c r="C1344" s="114">
        <v>101</v>
      </c>
      <c r="D1344" s="114">
        <v>100</v>
      </c>
      <c r="E1344" s="154" cm="1">
        <f t="array" ref="E1344">IF(ISBLANK(MainData[[#This Row],[EventID]]),0,IFERROR(INDEX(MainData[],MATCH(MainData[[#This Row],[EventID]],IF(MainData[Product]="Date",MainData[EventID],0),0),12),0))</f>
        <v>44614</v>
      </c>
      <c r="F1344" s="155" cm="1">
        <f t="array" ref="F1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4" s="155" cm="1">
        <f t="array" ref="G1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4" s="2" t="str" cm="1">
        <f t="array" ref="H1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4" s="157" t="s">
        <v>84</v>
      </c>
      <c r="J1344" t="s">
        <v>187</v>
      </c>
      <c r="K1344" s="2" t="s">
        <v>157</v>
      </c>
      <c r="L1344" s="2" t="s">
        <v>20</v>
      </c>
      <c r="M1344" s="2" t="s">
        <v>353</v>
      </c>
      <c r="N1344" s="2"/>
      <c r="O1344" s="109"/>
      <c r="P1344" s="109"/>
      <c r="Q1344" s="109"/>
    </row>
    <row r="1345" spans="2:17" x14ac:dyDescent="0.25">
      <c r="B1345" s="114">
        <v>41</v>
      </c>
      <c r="C1345" s="114">
        <v>101</v>
      </c>
      <c r="D1345" s="114">
        <v>100</v>
      </c>
      <c r="E1345" s="154" cm="1">
        <f t="array" ref="E1345">IF(ISBLANK(MainData[[#This Row],[EventID]]),0,IFERROR(INDEX(MainData[],MATCH(MainData[[#This Row],[EventID]],IF(MainData[Product]="Date",MainData[EventID],0),0),12),0))</f>
        <v>44614</v>
      </c>
      <c r="F1345" s="155" cm="1">
        <f t="array" ref="F1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5" s="155" cm="1">
        <f t="array" ref="G1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5" s="2" t="str" cm="1">
        <f t="array" ref="H1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5" s="157" t="s">
        <v>84</v>
      </c>
      <c r="J1345" t="s">
        <v>187</v>
      </c>
      <c r="K1345" s="2" t="s">
        <v>157</v>
      </c>
      <c r="L1345" s="2" t="s">
        <v>138</v>
      </c>
      <c r="M1345" s="2">
        <v>60</v>
      </c>
      <c r="N1345" s="2"/>
      <c r="O1345" s="109"/>
      <c r="P1345" s="109"/>
      <c r="Q1345" s="109"/>
    </row>
    <row r="1346" spans="2:17" x14ac:dyDescent="0.25">
      <c r="B1346" s="114">
        <v>41</v>
      </c>
      <c r="C1346" s="114">
        <v>101</v>
      </c>
      <c r="D1346" s="114">
        <v>100</v>
      </c>
      <c r="E1346" s="154" cm="1">
        <f t="array" ref="E1346">IF(ISBLANK(MainData[[#This Row],[EventID]]),0,IFERROR(INDEX(MainData[],MATCH(MainData[[#This Row],[EventID]],IF(MainData[Product]="Date",MainData[EventID],0),0),12),0))</f>
        <v>44614</v>
      </c>
      <c r="F1346" s="155" cm="1">
        <f t="array" ref="F1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6" s="155" cm="1">
        <f t="array" ref="G1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6" s="2" t="str" cm="1">
        <f t="array" ref="H1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6" s="157" t="s">
        <v>84</v>
      </c>
      <c r="J1346" t="s">
        <v>187</v>
      </c>
      <c r="K1346" s="2" t="s">
        <v>157</v>
      </c>
      <c r="L1346" s="2" t="s">
        <v>86</v>
      </c>
      <c r="M1346" s="2">
        <v>2</v>
      </c>
      <c r="N1346" s="2"/>
      <c r="O1346" s="109"/>
      <c r="P1346" s="109"/>
      <c r="Q1346" s="109"/>
    </row>
    <row r="1347" spans="2:17" x14ac:dyDescent="0.25">
      <c r="B1347" s="114">
        <v>41</v>
      </c>
      <c r="C1347" s="114">
        <v>101</v>
      </c>
      <c r="D1347" s="114">
        <v>100</v>
      </c>
      <c r="E1347" s="154" cm="1">
        <f t="array" ref="E1347">IF(ISBLANK(MainData[[#This Row],[EventID]]),0,IFERROR(INDEX(MainData[],MATCH(MainData[[#This Row],[EventID]],IF(MainData[Product]="Date",MainData[EventID],0),0),12),0))</f>
        <v>44614</v>
      </c>
      <c r="F1347" s="155" cm="1">
        <f t="array" ref="F1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7" s="155" cm="1">
        <f t="array" ref="G1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7" s="2" t="str" cm="1">
        <f t="array" ref="H1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7" s="157" t="s">
        <v>84</v>
      </c>
      <c r="J1347" t="s">
        <v>187</v>
      </c>
      <c r="K1347" s="2" t="s">
        <v>157</v>
      </c>
      <c r="L1347" s="2" t="s">
        <v>118</v>
      </c>
      <c r="M1347" s="2" t="s">
        <v>488</v>
      </c>
      <c r="N1347" s="2"/>
      <c r="O1347" s="109"/>
      <c r="P1347" s="109"/>
      <c r="Q1347" s="109"/>
    </row>
    <row r="1348" spans="2:17" x14ac:dyDescent="0.25">
      <c r="B1348" s="114">
        <v>41</v>
      </c>
      <c r="C1348" s="114">
        <v>101</v>
      </c>
      <c r="D1348" s="114">
        <v>100</v>
      </c>
      <c r="E1348" s="154" cm="1">
        <f t="array" ref="E1348">IF(ISBLANK(MainData[[#This Row],[EventID]]),0,IFERROR(INDEX(MainData[],MATCH(MainData[[#This Row],[EventID]],IF(MainData[Product]="Date",MainData[EventID],0),0),12),0))</f>
        <v>44614</v>
      </c>
      <c r="F1348" s="155" cm="1">
        <f t="array" ref="F1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8" s="155" cm="1">
        <f t="array" ref="G1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8" s="2" t="str" cm="1">
        <f t="array" ref="H1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8" s="157" t="s">
        <v>84</v>
      </c>
      <c r="J1348" t="s">
        <v>187</v>
      </c>
      <c r="K1348" s="2" t="s">
        <v>157</v>
      </c>
      <c r="L1348" s="2" t="s">
        <v>165</v>
      </c>
      <c r="M1348" s="2" t="s">
        <v>401</v>
      </c>
      <c r="N1348" s="2"/>
      <c r="O1348" s="109"/>
      <c r="P1348" s="109"/>
      <c r="Q1348" s="109"/>
    </row>
    <row r="1349" spans="2:17" x14ac:dyDescent="0.25">
      <c r="B1349" s="114">
        <v>41</v>
      </c>
      <c r="C1349" s="114">
        <v>101</v>
      </c>
      <c r="D1349" s="114">
        <v>100</v>
      </c>
      <c r="E1349" s="154" cm="1">
        <f t="array" ref="E1349">IF(ISBLANK(MainData[[#This Row],[EventID]]),0,IFERROR(INDEX(MainData[],MATCH(MainData[[#This Row],[EventID]],IF(MainData[Product]="Date",MainData[EventID],0),0),12),0))</f>
        <v>44614</v>
      </c>
      <c r="F1349" s="155" cm="1">
        <f t="array" ref="F1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9" s="155" cm="1">
        <f t="array" ref="G1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9" s="2" t="str" cm="1">
        <f t="array" ref="H1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9" s="20" t="s">
        <v>85</v>
      </c>
      <c r="J1349" t="s">
        <v>20</v>
      </c>
      <c r="K1349" s="2" t="s">
        <v>116</v>
      </c>
      <c r="L1349" s="2" t="s">
        <v>88</v>
      </c>
      <c r="M1349" s="2" t="s">
        <v>189</v>
      </c>
      <c r="N1349" s="2" t="s">
        <v>233</v>
      </c>
      <c r="O1349" s="109">
        <v>1</v>
      </c>
      <c r="P1349" s="109"/>
      <c r="Q1349" s="109"/>
    </row>
    <row r="1350" spans="2:17" x14ac:dyDescent="0.25">
      <c r="B1350" s="114">
        <v>41</v>
      </c>
      <c r="C1350" s="114">
        <v>101</v>
      </c>
      <c r="D1350" s="114">
        <v>100</v>
      </c>
      <c r="E1350" s="154" cm="1">
        <f t="array" ref="E1350">IF(ISBLANK(MainData[[#This Row],[EventID]]),0,IFERROR(INDEX(MainData[],MATCH(MainData[[#This Row],[EventID]],IF(MainData[Product]="Date",MainData[EventID],0),0),12),0))</f>
        <v>44614</v>
      </c>
      <c r="F1350" s="155" cm="1">
        <f t="array" ref="F1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0" s="155" cm="1">
        <f t="array" ref="G1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0" s="2" t="str" cm="1">
        <f t="array" ref="H1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0" s="20" t="s">
        <v>85</v>
      </c>
      <c r="J1350" t="s">
        <v>20</v>
      </c>
      <c r="K1350" s="2" t="s">
        <v>116</v>
      </c>
      <c r="L1350" s="2" t="s">
        <v>87</v>
      </c>
      <c r="M1350" s="2" t="s">
        <v>188</v>
      </c>
      <c r="N1350" s="2" t="s">
        <v>233</v>
      </c>
      <c r="O1350" s="109">
        <v>1</v>
      </c>
      <c r="P1350" s="109"/>
      <c r="Q1350" s="109">
        <v>100</v>
      </c>
    </row>
    <row r="1351" spans="2:17" x14ac:dyDescent="0.25">
      <c r="B1351" s="114">
        <v>41</v>
      </c>
      <c r="C1351" s="114">
        <v>101</v>
      </c>
      <c r="D1351" s="114">
        <v>100</v>
      </c>
      <c r="E1351" s="154" cm="1">
        <f t="array" ref="E1351">IF(ISBLANK(MainData[[#This Row],[EventID]]),0,IFERROR(INDEX(MainData[],MATCH(MainData[[#This Row],[EventID]],IF(MainData[Product]="Date",MainData[EventID],0),0),12),0))</f>
        <v>44614</v>
      </c>
      <c r="F1351" s="155" cm="1">
        <f t="array" ref="F1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1" s="155" cm="1">
        <f t="array" ref="G1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1" s="2" t="str" cm="1">
        <f t="array" ref="H1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1" s="157" t="s">
        <v>85</v>
      </c>
      <c r="J1351" t="s">
        <v>20</v>
      </c>
      <c r="K1351" s="2" t="s">
        <v>29</v>
      </c>
      <c r="L1351" s="2" t="s">
        <v>35</v>
      </c>
      <c r="M1351" s="2" t="s">
        <v>382</v>
      </c>
      <c r="N1351" s="2" t="s">
        <v>234</v>
      </c>
      <c r="O1351" s="109">
        <v>1</v>
      </c>
      <c r="P1351" s="109">
        <v>7</v>
      </c>
      <c r="Q1351" s="109">
        <v>70</v>
      </c>
    </row>
    <row r="1352" spans="2:17" x14ac:dyDescent="0.25">
      <c r="B1352" s="114">
        <v>41</v>
      </c>
      <c r="C1352" s="114">
        <v>101</v>
      </c>
      <c r="D1352" s="114">
        <v>100</v>
      </c>
      <c r="E1352" s="154" cm="1">
        <f t="array" ref="E1352">IF(ISBLANK(MainData[[#This Row],[EventID]]),0,IFERROR(INDEX(MainData[],MATCH(MainData[[#This Row],[EventID]],IF(MainData[Product]="Date",MainData[EventID],0),0),12),0))</f>
        <v>44614</v>
      </c>
      <c r="F1352" s="155" cm="1">
        <f t="array" ref="F1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2" s="155" cm="1">
        <f t="array" ref="G1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2" s="2" t="str" cm="1">
        <f t="array" ref="H1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2" s="20" t="s">
        <v>85</v>
      </c>
      <c r="J1352" t="s">
        <v>20</v>
      </c>
      <c r="K1352" s="2" t="s">
        <v>29</v>
      </c>
      <c r="L1352" s="2" t="s">
        <v>36</v>
      </c>
      <c r="M1352" s="2" t="s">
        <v>387</v>
      </c>
      <c r="N1352" s="2" t="s">
        <v>234</v>
      </c>
      <c r="O1352" s="109">
        <v>1</v>
      </c>
      <c r="P1352" s="109">
        <v>18.149999999999999</v>
      </c>
      <c r="Q1352" s="109">
        <v>225</v>
      </c>
    </row>
    <row r="1353" spans="2:17" x14ac:dyDescent="0.25">
      <c r="B1353" s="114">
        <v>41</v>
      </c>
      <c r="C1353" s="114">
        <v>101</v>
      </c>
      <c r="D1353" s="114">
        <v>100</v>
      </c>
      <c r="E1353" s="154" cm="1">
        <f t="array" ref="E1353">IF(ISBLANK(MainData[[#This Row],[EventID]]),0,IFERROR(INDEX(MainData[],MATCH(MainData[[#This Row],[EventID]],IF(MainData[Product]="Date",MainData[EventID],0),0),12),0))</f>
        <v>44614</v>
      </c>
      <c r="F1353" s="155" cm="1">
        <f t="array" ref="F1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3" s="155" cm="1">
        <f t="array" ref="G1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3" s="2" t="str" cm="1">
        <f t="array" ref="H1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3" s="157" t="s">
        <v>85</v>
      </c>
      <c r="J1353" t="s">
        <v>20</v>
      </c>
      <c r="K1353" s="2" t="s">
        <v>29</v>
      </c>
      <c r="L1353" s="2" t="s">
        <v>65</v>
      </c>
      <c r="M1353" s="2" t="s">
        <v>383</v>
      </c>
      <c r="N1353" s="2" t="s">
        <v>234</v>
      </c>
      <c r="O1353" s="109">
        <v>1</v>
      </c>
      <c r="P1353" s="109">
        <v>0.75</v>
      </c>
      <c r="Q1353" s="109">
        <v>15</v>
      </c>
    </row>
    <row r="1354" spans="2:17" x14ac:dyDescent="0.25">
      <c r="B1354" s="114">
        <v>41</v>
      </c>
      <c r="C1354" s="114">
        <v>101</v>
      </c>
      <c r="D1354" s="114">
        <v>100</v>
      </c>
      <c r="E1354" s="154" cm="1">
        <f t="array" ref="E1354">IF(ISBLANK(MainData[[#This Row],[EventID]]),0,IFERROR(INDEX(MainData[],MATCH(MainData[[#This Row],[EventID]],IF(MainData[Product]="Date",MainData[EventID],0),0),12),0))</f>
        <v>44614</v>
      </c>
      <c r="F1354" s="155" cm="1">
        <f t="array" ref="F1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4" s="155" cm="1">
        <f t="array" ref="G1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4" s="2" t="str" cm="1">
        <f t="array" ref="H1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4" s="157" t="s">
        <v>85</v>
      </c>
      <c r="J1354" t="s">
        <v>20</v>
      </c>
      <c r="K1354" s="2" t="s">
        <v>29</v>
      </c>
      <c r="L1354" s="2" t="s">
        <v>25</v>
      </c>
      <c r="M1354" s="2" t="s">
        <v>388</v>
      </c>
      <c r="N1354" s="2" t="s">
        <v>234</v>
      </c>
      <c r="O1354" s="109">
        <v>1</v>
      </c>
      <c r="P1354" s="109">
        <v>3</v>
      </c>
      <c r="Q1354" s="109">
        <v>30</v>
      </c>
    </row>
    <row r="1355" spans="2:17" x14ac:dyDescent="0.25">
      <c r="B1355" s="114">
        <v>22</v>
      </c>
      <c r="C1355" s="114">
        <v>52</v>
      </c>
      <c r="D1355" s="114">
        <v>104</v>
      </c>
      <c r="E1355" s="154" cm="1">
        <f t="array" ref="E1355">IF(ISBLANK(MainData[[#This Row],[EventID]]),0,IFERROR(INDEX(MainData[],MATCH(MainData[[#This Row],[EventID]],IF(MainData[Product]="Date",MainData[EventID],0),0),12),0))</f>
        <v>44615</v>
      </c>
      <c r="F1355" s="155" cm="1">
        <f t="array" ref="F1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5" s="155" cm="1">
        <f t="array" ref="G1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5" s="2" t="str" cm="1">
        <f t="array" ref="H1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5" s="157" t="s">
        <v>84</v>
      </c>
      <c r="J1355" t="s">
        <v>187</v>
      </c>
      <c r="K1355" s="2" t="s">
        <v>157</v>
      </c>
      <c r="L1355" s="2" t="s">
        <v>81</v>
      </c>
      <c r="M1355" s="2">
        <v>1</v>
      </c>
      <c r="N1355" s="2"/>
      <c r="O1355" s="109"/>
      <c r="P1355" s="109"/>
      <c r="Q1355" s="109"/>
    </row>
    <row r="1356" spans="2:17" x14ac:dyDescent="0.25">
      <c r="B1356" s="114">
        <v>22</v>
      </c>
      <c r="C1356" s="114">
        <v>52</v>
      </c>
      <c r="D1356" s="114">
        <v>125</v>
      </c>
      <c r="E1356" s="154" cm="1">
        <f t="array" ref="E1356">IF(ISBLANK(MainData[[#This Row],[EventID]]),0,IFERROR(INDEX(MainData[],MATCH(MainData[[#This Row],[EventID]],IF(MainData[Product]="Date",MainData[EventID],0),0),12),0))</f>
        <v>44615</v>
      </c>
      <c r="F1356" s="155" cm="1">
        <f t="array" ref="F1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6" s="155" cm="1">
        <f t="array" ref="G1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6" s="2" t="str" cm="1">
        <f t="array" ref="H1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6" s="157" t="s">
        <v>84</v>
      </c>
      <c r="J1356" t="s">
        <v>187</v>
      </c>
      <c r="K1356" s="2" t="s">
        <v>157</v>
      </c>
      <c r="L1356" s="2" t="s">
        <v>81</v>
      </c>
      <c r="M1356" s="2">
        <v>2</v>
      </c>
      <c r="N1356" s="2"/>
      <c r="O1356" s="109"/>
      <c r="P1356" s="109"/>
      <c r="Q1356" s="109"/>
    </row>
    <row r="1357" spans="2:17" x14ac:dyDescent="0.25">
      <c r="B1357" s="114">
        <v>22</v>
      </c>
      <c r="C1357" s="114">
        <v>52</v>
      </c>
      <c r="D1357" s="114">
        <v>104</v>
      </c>
      <c r="E1357" s="154" cm="1">
        <f t="array" ref="E1357">IF(ISBLANK(MainData[[#This Row],[EventID]]),0,IFERROR(INDEX(MainData[],MATCH(MainData[[#This Row],[EventID]],IF(MainData[Product]="Date",MainData[EventID],0),0),12),0))</f>
        <v>44615</v>
      </c>
      <c r="F1357" s="155" cm="1">
        <f t="array" ref="F1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7" s="155" cm="1">
        <f t="array" ref="G1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7" s="2" t="str" cm="1">
        <f t="array" ref="H1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7" s="157" t="s">
        <v>84</v>
      </c>
      <c r="J1357" t="s">
        <v>187</v>
      </c>
      <c r="K1357" s="2" t="s">
        <v>157</v>
      </c>
      <c r="L1357" s="2" t="s">
        <v>0</v>
      </c>
      <c r="M1357" s="158">
        <v>44615</v>
      </c>
      <c r="N1357" s="2"/>
      <c r="O1357" s="109"/>
      <c r="P1357" s="109"/>
      <c r="Q1357" s="109"/>
    </row>
    <row r="1358" spans="2:17" x14ac:dyDescent="0.25">
      <c r="B1358" s="114">
        <v>22</v>
      </c>
      <c r="C1358" s="114">
        <v>52</v>
      </c>
      <c r="D1358" s="114">
        <v>104</v>
      </c>
      <c r="E1358" s="154" cm="1">
        <f t="array" ref="E1358">IF(ISBLANK(MainData[[#This Row],[EventID]]),0,IFERROR(INDEX(MainData[],MATCH(MainData[[#This Row],[EventID]],IF(MainData[Product]="Date",MainData[EventID],0),0),12),0))</f>
        <v>44615</v>
      </c>
      <c r="F1358" s="155" cm="1">
        <f t="array" ref="F1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8" s="155" cm="1">
        <f t="array" ref="G1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8" s="2" t="str" cm="1">
        <f t="array" ref="H1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8" s="157" t="s">
        <v>84</v>
      </c>
      <c r="J1358" t="s">
        <v>187</v>
      </c>
      <c r="K1358" s="2" t="s">
        <v>157</v>
      </c>
      <c r="L1358" s="2" t="s">
        <v>82</v>
      </c>
      <c r="M1358" s="2">
        <v>125319</v>
      </c>
      <c r="N1358" s="2"/>
      <c r="O1358" s="109"/>
      <c r="P1358" s="109"/>
      <c r="Q1358" s="109"/>
    </row>
    <row r="1359" spans="2:17" x14ac:dyDescent="0.25">
      <c r="B1359" s="114">
        <v>22</v>
      </c>
      <c r="C1359" s="114">
        <v>52</v>
      </c>
      <c r="D1359" s="114">
        <v>104</v>
      </c>
      <c r="E1359" s="154" cm="1">
        <f t="array" ref="E1359">IF(ISBLANK(MainData[[#This Row],[EventID]]),0,IFERROR(INDEX(MainData[],MATCH(MainData[[#This Row],[EventID]],IF(MainData[Product]="Date",MainData[EventID],0),0),12),0))</f>
        <v>44615</v>
      </c>
      <c r="F1359" s="155" cm="1">
        <f t="array" ref="F1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9" s="155" cm="1">
        <f t="array" ref="G1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9" s="2" t="str" cm="1">
        <f t="array" ref="H1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9" s="157" t="s">
        <v>84</v>
      </c>
      <c r="J1359" t="s">
        <v>187</v>
      </c>
      <c r="K1359" s="2" t="s">
        <v>157</v>
      </c>
      <c r="L1359" s="2" t="s">
        <v>175</v>
      </c>
      <c r="M1359" s="2" t="s">
        <v>481</v>
      </c>
      <c r="N1359" s="2"/>
      <c r="O1359" s="109"/>
      <c r="P1359" s="109"/>
      <c r="Q1359" s="109"/>
    </row>
    <row r="1360" spans="2:17" x14ac:dyDescent="0.25">
      <c r="B1360" s="114">
        <v>22</v>
      </c>
      <c r="C1360" s="114">
        <v>52</v>
      </c>
      <c r="D1360" s="114">
        <v>104</v>
      </c>
      <c r="E1360" s="154" cm="1">
        <f t="array" ref="E1360">IF(ISBLANK(MainData[[#This Row],[EventID]]),0,IFERROR(INDEX(MainData[],MATCH(MainData[[#This Row],[EventID]],IF(MainData[Product]="Date",MainData[EventID],0),0),12),0))</f>
        <v>44615</v>
      </c>
      <c r="F1360" s="155" cm="1">
        <f t="array" ref="F1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0" s="155" cm="1">
        <f t="array" ref="G1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0" s="2" t="str" cm="1">
        <f t="array" ref="H1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0" s="157" t="s">
        <v>84</v>
      </c>
      <c r="J1360" t="s">
        <v>187</v>
      </c>
      <c r="K1360" s="2" t="s">
        <v>157</v>
      </c>
      <c r="L1360" s="2" t="s">
        <v>138</v>
      </c>
      <c r="M1360" s="2">
        <v>400</v>
      </c>
      <c r="N1360" s="2"/>
      <c r="O1360" s="109"/>
      <c r="P1360" s="109"/>
      <c r="Q1360" s="109"/>
    </row>
    <row r="1361" spans="2:17" x14ac:dyDescent="0.25">
      <c r="B1361" s="114">
        <v>22</v>
      </c>
      <c r="C1361" s="114">
        <v>52</v>
      </c>
      <c r="D1361" s="114">
        <v>104</v>
      </c>
      <c r="E1361" s="154" cm="1">
        <f t="array" ref="E1361">IF(ISBLANK(MainData[[#This Row],[EventID]]),0,IFERROR(INDEX(MainData[],MATCH(MainData[[#This Row],[EventID]],IF(MainData[Product]="Date",MainData[EventID],0),0),12),0))</f>
        <v>44615</v>
      </c>
      <c r="F1361" s="155" cm="1">
        <f t="array" ref="F1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1" s="155" cm="1">
        <f t="array" ref="G1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1" s="2" t="str" cm="1">
        <f t="array" ref="H1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1" s="157" t="s">
        <v>84</v>
      </c>
      <c r="J1361" t="s">
        <v>187</v>
      </c>
      <c r="K1361" s="2" t="s">
        <v>157</v>
      </c>
      <c r="L1361" s="2" t="s">
        <v>86</v>
      </c>
      <c r="M1361" s="2">
        <v>6</v>
      </c>
      <c r="N1361" s="2"/>
      <c r="O1361" s="109"/>
      <c r="P1361" s="109"/>
      <c r="Q1361" s="109"/>
    </row>
    <row r="1362" spans="2:17" x14ac:dyDescent="0.25">
      <c r="B1362" s="114">
        <v>22</v>
      </c>
      <c r="C1362" s="114">
        <v>52</v>
      </c>
      <c r="D1362" s="114">
        <v>104</v>
      </c>
      <c r="E1362" s="154" cm="1">
        <f t="array" ref="E1362">IF(ISBLANK(MainData[[#This Row],[EventID]]),0,IFERROR(INDEX(MainData[],MATCH(MainData[[#This Row],[EventID]],IF(MainData[Product]="Date",MainData[EventID],0),0),12),0))</f>
        <v>44615</v>
      </c>
      <c r="F1362" s="155" cm="1">
        <f t="array" ref="F1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2" s="155" cm="1">
        <f t="array" ref="G1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2" s="2" t="str" cm="1">
        <f t="array" ref="H1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2" s="157" t="s">
        <v>84</v>
      </c>
      <c r="J1362" t="s">
        <v>187</v>
      </c>
      <c r="K1362" s="2" t="s">
        <v>157</v>
      </c>
      <c r="L1362" s="2" t="s">
        <v>118</v>
      </c>
      <c r="M1362" s="2" t="s">
        <v>461</v>
      </c>
      <c r="N1362" s="2"/>
      <c r="O1362" s="109"/>
      <c r="P1362" s="109"/>
      <c r="Q1362" s="109"/>
    </row>
    <row r="1363" spans="2:17" x14ac:dyDescent="0.25">
      <c r="B1363" s="114">
        <v>22</v>
      </c>
      <c r="C1363" s="114">
        <v>52</v>
      </c>
      <c r="D1363" s="114">
        <v>125</v>
      </c>
      <c r="E1363" s="154" cm="1">
        <f t="array" ref="E1363">IF(ISBLANK(MainData[[#This Row],[EventID]]),0,IFERROR(INDEX(MainData[],MATCH(MainData[[#This Row],[EventID]],IF(MainData[Product]="Date",MainData[EventID],0),0),12),0))</f>
        <v>44615</v>
      </c>
      <c r="F1363" s="155" cm="1">
        <f t="array" ref="F1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3" s="155" cm="1">
        <f t="array" ref="G1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3" s="2" t="str" cm="1">
        <f t="array" ref="H1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3" s="157" t="s">
        <v>85</v>
      </c>
      <c r="J1363" t="s">
        <v>22</v>
      </c>
      <c r="K1363" s="2" t="s">
        <v>29</v>
      </c>
      <c r="L1363" s="2" t="s">
        <v>35</v>
      </c>
      <c r="M1363" s="2" t="s">
        <v>382</v>
      </c>
      <c r="N1363" s="2" t="s">
        <v>234</v>
      </c>
      <c r="O1363" s="109">
        <v>2</v>
      </c>
      <c r="P1363" s="109">
        <v>3</v>
      </c>
      <c r="Q1363" s="109">
        <v>29.58</v>
      </c>
    </row>
    <row r="1364" spans="2:17" x14ac:dyDescent="0.25">
      <c r="B1364" s="114">
        <v>22</v>
      </c>
      <c r="C1364" s="114">
        <v>52</v>
      </c>
      <c r="D1364" s="114">
        <v>125</v>
      </c>
      <c r="E1364" s="154" cm="1">
        <f t="array" ref="E1364">IF(ISBLANK(MainData[[#This Row],[EventID]]),0,IFERROR(INDEX(MainData[],MATCH(MainData[[#This Row],[EventID]],IF(MainData[Product]="Date",MainData[EventID],0),0),12),0))</f>
        <v>44615</v>
      </c>
      <c r="F1364" s="155" cm="1">
        <f t="array" ref="F1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4" s="155" cm="1">
        <f t="array" ref="G1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4" s="2" t="str" cm="1">
        <f t="array" ref="H1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4" s="20" t="s">
        <v>85</v>
      </c>
      <c r="J1364" t="s">
        <v>22</v>
      </c>
      <c r="K1364" s="2" t="s">
        <v>29</v>
      </c>
      <c r="L1364" s="2" t="s">
        <v>36</v>
      </c>
      <c r="M1364" s="2" t="s">
        <v>390</v>
      </c>
      <c r="N1364" s="2" t="s">
        <v>234</v>
      </c>
      <c r="O1364" s="109">
        <v>2</v>
      </c>
      <c r="P1364" s="109">
        <v>46.44</v>
      </c>
      <c r="Q1364" s="109">
        <v>361.82</v>
      </c>
    </row>
    <row r="1365" spans="2:17" x14ac:dyDescent="0.25">
      <c r="B1365" s="114">
        <v>22</v>
      </c>
      <c r="C1365" s="114">
        <v>52</v>
      </c>
      <c r="D1365" s="114">
        <v>125</v>
      </c>
      <c r="E1365" s="154" cm="1">
        <f t="array" ref="E1365">IF(ISBLANK(MainData[[#This Row],[EventID]]),0,IFERROR(INDEX(MainData[],MATCH(MainData[[#This Row],[EventID]],IF(MainData[Product]="Date",MainData[EventID],0),0),12),0))</f>
        <v>44615</v>
      </c>
      <c r="F1365" s="155" cm="1">
        <f t="array" ref="F1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5" s="155" cm="1">
        <f t="array" ref="G1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5" s="2" t="str" cm="1">
        <f t="array" ref="H1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5" s="157" t="s">
        <v>85</v>
      </c>
      <c r="J1365" t="s">
        <v>22</v>
      </c>
      <c r="K1365" s="2" t="s">
        <v>29</v>
      </c>
      <c r="L1365" s="2" t="s">
        <v>65</v>
      </c>
      <c r="M1365" s="2" t="s">
        <v>383</v>
      </c>
      <c r="N1365" s="2" t="s">
        <v>234</v>
      </c>
      <c r="O1365" s="109">
        <v>2</v>
      </c>
      <c r="P1365" s="109">
        <v>3.2</v>
      </c>
      <c r="Q1365" s="109">
        <v>64.03</v>
      </c>
    </row>
    <row r="1366" spans="2:17" x14ac:dyDescent="0.25">
      <c r="B1366" s="114">
        <v>22</v>
      </c>
      <c r="C1366" s="114">
        <v>52</v>
      </c>
      <c r="D1366" s="114">
        <v>125</v>
      </c>
      <c r="E1366" s="154" cm="1">
        <f t="array" ref="E1366">IF(ISBLANK(MainData[[#This Row],[EventID]]),0,IFERROR(INDEX(MainData[],MATCH(MainData[[#This Row],[EventID]],IF(MainData[Product]="Date",MainData[EventID],0),0),12),0))</f>
        <v>44615</v>
      </c>
      <c r="F1366" s="155" cm="1">
        <f t="array" ref="F1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6" s="155" cm="1">
        <f t="array" ref="G1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6" s="2" t="str" cm="1">
        <f t="array" ref="H1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6" s="157" t="s">
        <v>85</v>
      </c>
      <c r="J1366" t="s">
        <v>22</v>
      </c>
      <c r="K1366" s="2" t="s">
        <v>29</v>
      </c>
      <c r="L1366" s="2" t="s">
        <v>25</v>
      </c>
      <c r="M1366" s="2" t="s">
        <v>385</v>
      </c>
      <c r="N1366" s="2" t="s">
        <v>234</v>
      </c>
      <c r="O1366" s="109">
        <v>2</v>
      </c>
      <c r="P1366" s="109">
        <v>4.2</v>
      </c>
      <c r="Q1366" s="109">
        <v>41.89</v>
      </c>
    </row>
    <row r="1367" spans="2:17" x14ac:dyDescent="0.25">
      <c r="B1367" s="114">
        <v>22</v>
      </c>
      <c r="C1367" s="114">
        <v>52</v>
      </c>
      <c r="D1367" s="114">
        <v>104</v>
      </c>
      <c r="E1367" s="154" cm="1">
        <f t="array" ref="E1367">IF(ISBLANK(MainData[[#This Row],[EventID]]),0,IFERROR(INDEX(MainData[],MATCH(MainData[[#This Row],[EventID]],IF(MainData[Product]="Date",MainData[EventID],0),0),12),0))</f>
        <v>44615</v>
      </c>
      <c r="F1367" s="155" cm="1">
        <f t="array" ref="F1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7" s="155" cm="1">
        <f t="array" ref="G1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7" s="2" t="str" cm="1">
        <f t="array" ref="H1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7" s="20" t="s">
        <v>85</v>
      </c>
      <c r="J1367" t="s">
        <v>20</v>
      </c>
      <c r="K1367" s="2" t="s">
        <v>116</v>
      </c>
      <c r="L1367" s="2" t="s">
        <v>88</v>
      </c>
      <c r="M1367" s="2" t="s">
        <v>189</v>
      </c>
      <c r="N1367" s="2" t="s">
        <v>233</v>
      </c>
      <c r="O1367" s="109">
        <v>1</v>
      </c>
      <c r="P1367" s="109"/>
      <c r="Q1367" s="109"/>
    </row>
    <row r="1368" spans="2:17" x14ac:dyDescent="0.25">
      <c r="B1368" s="114">
        <v>22</v>
      </c>
      <c r="C1368" s="114">
        <v>52</v>
      </c>
      <c r="D1368" s="114">
        <v>104</v>
      </c>
      <c r="E1368" s="154" cm="1">
        <f t="array" ref="E1368">IF(ISBLANK(MainData[[#This Row],[EventID]]),0,IFERROR(INDEX(MainData[],MATCH(MainData[[#This Row],[EventID]],IF(MainData[Product]="Date",MainData[EventID],0),0),12),0))</f>
        <v>44615</v>
      </c>
      <c r="F1368" s="155" cm="1">
        <f t="array" ref="F1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8" s="155" cm="1">
        <f t="array" ref="G1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8" s="2" t="str" cm="1">
        <f t="array" ref="H1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8" s="20" t="s">
        <v>85</v>
      </c>
      <c r="J1368" t="s">
        <v>20</v>
      </c>
      <c r="K1368" s="2" t="s">
        <v>116</v>
      </c>
      <c r="L1368" s="2" t="s">
        <v>87</v>
      </c>
      <c r="M1368" s="2" t="s">
        <v>188</v>
      </c>
      <c r="N1368" s="2" t="s">
        <v>233</v>
      </c>
      <c r="O1368" s="109">
        <v>2</v>
      </c>
      <c r="P1368" s="109"/>
      <c r="Q1368" s="109">
        <v>200</v>
      </c>
    </row>
    <row r="1369" spans="2:17" x14ac:dyDescent="0.25">
      <c r="B1369" s="114">
        <v>22</v>
      </c>
      <c r="C1369" s="114">
        <v>53</v>
      </c>
      <c r="D1369" s="114">
        <v>105</v>
      </c>
      <c r="E1369" s="154" cm="1">
        <f t="array" ref="E1369">IF(ISBLANK(MainData[[#This Row],[EventID]]),0,IFERROR(INDEX(MainData[],MATCH(MainData[[#This Row],[EventID]],IF(MainData[Product]="Date",MainData[EventID],0),0),12),0))</f>
        <v>44615</v>
      </c>
      <c r="F1369" s="155" cm="1">
        <f t="array" ref="F1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9" s="155" cm="1">
        <f t="array" ref="G1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9" s="2" t="str" cm="1">
        <f t="array" ref="H1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9" s="157" t="s">
        <v>84</v>
      </c>
      <c r="J1369" t="s">
        <v>187</v>
      </c>
      <c r="K1369" s="2" t="s">
        <v>157</v>
      </c>
      <c r="L1369" s="2" t="s">
        <v>81</v>
      </c>
      <c r="M1369" s="2">
        <v>1</v>
      </c>
      <c r="N1369" s="2"/>
      <c r="O1369" s="109"/>
      <c r="P1369" s="109"/>
      <c r="Q1369" s="109"/>
    </row>
    <row r="1370" spans="2:17" x14ac:dyDescent="0.25">
      <c r="B1370" s="114">
        <v>22</v>
      </c>
      <c r="C1370" s="114">
        <v>53</v>
      </c>
      <c r="D1370" s="114">
        <v>126</v>
      </c>
      <c r="E1370" s="154" cm="1">
        <f t="array" ref="E1370">IF(ISBLANK(MainData[[#This Row],[EventID]]),0,IFERROR(INDEX(MainData[],MATCH(MainData[[#This Row],[EventID]],IF(MainData[Product]="Date",MainData[EventID],0),0),12),0))</f>
        <v>44615</v>
      </c>
      <c r="F1370" s="155" cm="1">
        <f t="array" ref="F1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0" s="155" cm="1">
        <f t="array" ref="G1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0" s="2" t="str" cm="1">
        <f t="array" ref="H1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0" s="157" t="s">
        <v>84</v>
      </c>
      <c r="J1370" t="s">
        <v>187</v>
      </c>
      <c r="K1370" s="2" t="s">
        <v>157</v>
      </c>
      <c r="L1370" s="2" t="s">
        <v>81</v>
      </c>
      <c r="M1370" s="2">
        <v>2</v>
      </c>
      <c r="N1370" s="2"/>
      <c r="O1370" s="109"/>
      <c r="P1370" s="109"/>
      <c r="Q1370" s="109"/>
    </row>
    <row r="1371" spans="2:17" x14ac:dyDescent="0.25">
      <c r="B1371" s="114">
        <v>22</v>
      </c>
      <c r="C1371" s="114">
        <v>53</v>
      </c>
      <c r="D1371" s="114">
        <v>105</v>
      </c>
      <c r="E1371" s="154" cm="1">
        <f t="array" ref="E1371">IF(ISBLANK(MainData[[#This Row],[EventID]]),0,IFERROR(INDEX(MainData[],MATCH(MainData[[#This Row],[EventID]],IF(MainData[Product]="Date",MainData[EventID],0),0),12),0))</f>
        <v>44615</v>
      </c>
      <c r="F1371" s="155" cm="1">
        <f t="array" ref="F1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1" s="155" cm="1">
        <f t="array" ref="G1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1" s="2" t="str" cm="1">
        <f t="array" ref="H1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1" s="157" t="s">
        <v>84</v>
      </c>
      <c r="J1371" t="s">
        <v>187</v>
      </c>
      <c r="K1371" s="2" t="s">
        <v>157</v>
      </c>
      <c r="L1371" s="2" t="s">
        <v>0</v>
      </c>
      <c r="M1371" s="158">
        <v>44615</v>
      </c>
      <c r="N1371" s="2"/>
      <c r="O1371" s="109"/>
      <c r="P1371" s="109"/>
      <c r="Q1371" s="109"/>
    </row>
    <row r="1372" spans="2:17" x14ac:dyDescent="0.25">
      <c r="B1372" s="114">
        <v>22</v>
      </c>
      <c r="C1372" s="114">
        <v>53</v>
      </c>
      <c r="D1372" s="114">
        <v>105</v>
      </c>
      <c r="E1372" s="154" cm="1">
        <f t="array" ref="E1372">IF(ISBLANK(MainData[[#This Row],[EventID]]),0,IFERROR(INDEX(MainData[],MATCH(MainData[[#This Row],[EventID]],IF(MainData[Product]="Date",MainData[EventID],0),0),12),0))</f>
        <v>44615</v>
      </c>
      <c r="F1372" s="155" cm="1">
        <f t="array" ref="F1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2" s="155" cm="1">
        <f t="array" ref="G1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2" s="2" t="str" cm="1">
        <f t="array" ref="H1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2" s="157" t="s">
        <v>84</v>
      </c>
      <c r="J1372" t="s">
        <v>187</v>
      </c>
      <c r="K1372" s="2" t="s">
        <v>157</v>
      </c>
      <c r="L1372" s="2" t="s">
        <v>82</v>
      </c>
      <c r="M1372" s="2">
        <v>125382</v>
      </c>
      <c r="N1372" s="2"/>
      <c r="O1372" s="109"/>
      <c r="P1372" s="109"/>
      <c r="Q1372" s="109"/>
    </row>
    <row r="1373" spans="2:17" x14ac:dyDescent="0.25">
      <c r="B1373" s="114">
        <v>22</v>
      </c>
      <c r="C1373" s="114">
        <v>53</v>
      </c>
      <c r="D1373" s="114">
        <v>105</v>
      </c>
      <c r="E1373" s="154" cm="1">
        <f t="array" ref="E1373">IF(ISBLANK(MainData[[#This Row],[EventID]]),0,IFERROR(INDEX(MainData[],MATCH(MainData[[#This Row],[EventID]],IF(MainData[Product]="Date",MainData[EventID],0),0),12),0))</f>
        <v>44615</v>
      </c>
      <c r="F1373" s="155" cm="1">
        <f t="array" ref="F1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3" s="155" cm="1">
        <f t="array" ref="G1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3" s="2" t="str" cm="1">
        <f t="array" ref="H1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3" s="157" t="s">
        <v>84</v>
      </c>
      <c r="J1373" t="s">
        <v>187</v>
      </c>
      <c r="K1373" s="2" t="s">
        <v>157</v>
      </c>
      <c r="L1373" s="2" t="s">
        <v>175</v>
      </c>
      <c r="M1373" s="2" t="s">
        <v>481</v>
      </c>
      <c r="N1373" s="2"/>
      <c r="O1373" s="109"/>
      <c r="P1373" s="109"/>
      <c r="Q1373" s="109"/>
    </row>
    <row r="1374" spans="2:17" x14ac:dyDescent="0.25">
      <c r="B1374" s="114">
        <v>22</v>
      </c>
      <c r="C1374" s="114">
        <v>53</v>
      </c>
      <c r="D1374" s="114">
        <v>105</v>
      </c>
      <c r="E1374" s="154" cm="1">
        <f t="array" ref="E1374">IF(ISBLANK(MainData[[#This Row],[EventID]]),0,IFERROR(INDEX(MainData[],MATCH(MainData[[#This Row],[EventID]],IF(MainData[Product]="Date",MainData[EventID],0),0),12),0))</f>
        <v>44615</v>
      </c>
      <c r="F1374" s="155" cm="1">
        <f t="array" ref="F1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4" s="155" cm="1">
        <f t="array" ref="G1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4" s="2" t="str" cm="1">
        <f t="array" ref="H1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4" s="157" t="s">
        <v>84</v>
      </c>
      <c r="J1374" t="s">
        <v>187</v>
      </c>
      <c r="K1374" s="2" t="s">
        <v>157</v>
      </c>
      <c r="L1374" s="2" t="s">
        <v>138</v>
      </c>
      <c r="M1374" s="2">
        <v>1200</v>
      </c>
      <c r="N1374" s="2"/>
      <c r="O1374" s="109"/>
      <c r="P1374" s="109"/>
      <c r="Q1374" s="109"/>
    </row>
    <row r="1375" spans="2:17" x14ac:dyDescent="0.25">
      <c r="B1375" s="114">
        <v>22</v>
      </c>
      <c r="C1375" s="114">
        <v>53</v>
      </c>
      <c r="D1375" s="114">
        <v>105</v>
      </c>
      <c r="E1375" s="154" cm="1">
        <f t="array" ref="E1375">IF(ISBLANK(MainData[[#This Row],[EventID]]),0,IFERROR(INDEX(MainData[],MATCH(MainData[[#This Row],[EventID]],IF(MainData[Product]="Date",MainData[EventID],0),0),12),0))</f>
        <v>44615</v>
      </c>
      <c r="F1375" s="155" cm="1">
        <f t="array" ref="F1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5" s="155" cm="1">
        <f t="array" ref="G1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5" s="2" t="str" cm="1">
        <f t="array" ref="H1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5" s="157" t="s">
        <v>84</v>
      </c>
      <c r="J1375" t="s">
        <v>187</v>
      </c>
      <c r="K1375" s="2" t="s">
        <v>157</v>
      </c>
      <c r="L1375" s="2" t="s">
        <v>86</v>
      </c>
      <c r="M1375" s="2">
        <v>4</v>
      </c>
      <c r="N1375" s="2"/>
      <c r="O1375" s="109"/>
      <c r="P1375" s="109"/>
      <c r="Q1375" s="109"/>
    </row>
    <row r="1376" spans="2:17" x14ac:dyDescent="0.25">
      <c r="B1376" s="114">
        <v>22</v>
      </c>
      <c r="C1376" s="114">
        <v>53</v>
      </c>
      <c r="D1376" s="114">
        <v>105</v>
      </c>
      <c r="E1376" s="154" cm="1">
        <f t="array" ref="E1376">IF(ISBLANK(MainData[[#This Row],[EventID]]),0,IFERROR(INDEX(MainData[],MATCH(MainData[[#This Row],[EventID]],IF(MainData[Product]="Date",MainData[EventID],0),0),12),0))</f>
        <v>44615</v>
      </c>
      <c r="F1376" s="155" cm="1">
        <f t="array" ref="F1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6" s="155" cm="1">
        <f t="array" ref="G1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6" s="2" t="str" cm="1">
        <f t="array" ref="H1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6" s="157" t="s">
        <v>84</v>
      </c>
      <c r="J1376" t="s">
        <v>187</v>
      </c>
      <c r="K1376" s="2" t="s">
        <v>157</v>
      </c>
      <c r="L1376" s="2" t="s">
        <v>118</v>
      </c>
      <c r="M1376" s="2" t="s">
        <v>463</v>
      </c>
      <c r="N1376" s="2"/>
      <c r="O1376" s="109"/>
      <c r="P1376" s="109"/>
      <c r="Q1376" s="109"/>
    </row>
    <row r="1377" spans="2:17" x14ac:dyDescent="0.25">
      <c r="B1377" s="114">
        <v>22</v>
      </c>
      <c r="C1377" s="114">
        <v>53</v>
      </c>
      <c r="D1377" s="114">
        <v>126</v>
      </c>
      <c r="E1377" s="154" cm="1">
        <f t="array" ref="E1377">IF(ISBLANK(MainData[[#This Row],[EventID]]),0,IFERROR(INDEX(MainData[],MATCH(MainData[[#This Row],[EventID]],IF(MainData[Product]="Date",MainData[EventID],0),0),12),0))</f>
        <v>44615</v>
      </c>
      <c r="F1377" s="155" cm="1">
        <f t="array" ref="F1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7" s="155" cm="1">
        <f t="array" ref="G1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7" s="2" t="str" cm="1">
        <f t="array" ref="H1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7" s="157" t="s">
        <v>85</v>
      </c>
      <c r="J1377" t="s">
        <v>22</v>
      </c>
      <c r="K1377" s="2" t="s">
        <v>29</v>
      </c>
      <c r="L1377" s="2" t="s">
        <v>35</v>
      </c>
      <c r="M1377" s="2" t="s">
        <v>382</v>
      </c>
      <c r="N1377" s="2" t="s">
        <v>234</v>
      </c>
      <c r="O1377" s="109">
        <v>1</v>
      </c>
      <c r="P1377" s="109">
        <v>4</v>
      </c>
      <c r="Q1377" s="109">
        <v>39.479999999999997</v>
      </c>
    </row>
    <row r="1378" spans="2:17" x14ac:dyDescent="0.25">
      <c r="B1378" s="114">
        <v>22</v>
      </c>
      <c r="C1378" s="114">
        <v>53</v>
      </c>
      <c r="D1378" s="114">
        <v>126</v>
      </c>
      <c r="E1378" s="154" cm="1">
        <f t="array" ref="E1378">IF(ISBLANK(MainData[[#This Row],[EventID]]),0,IFERROR(INDEX(MainData[],MATCH(MainData[[#This Row],[EventID]],IF(MainData[Product]="Date",MainData[EventID],0),0),12),0))</f>
        <v>44615</v>
      </c>
      <c r="F1378" s="155" cm="1">
        <f t="array" ref="F1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8" s="155" cm="1">
        <f t="array" ref="G1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8" s="2" t="str" cm="1">
        <f t="array" ref="H1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8" s="20" t="s">
        <v>85</v>
      </c>
      <c r="J1378" t="s">
        <v>22</v>
      </c>
      <c r="K1378" s="2" t="s">
        <v>29</v>
      </c>
      <c r="L1378" s="2" t="s">
        <v>36</v>
      </c>
      <c r="M1378" s="2" t="s">
        <v>390</v>
      </c>
      <c r="N1378" s="2" t="s">
        <v>234</v>
      </c>
      <c r="O1378" s="109">
        <v>1</v>
      </c>
      <c r="P1378" s="109">
        <v>42.63</v>
      </c>
      <c r="Q1378" s="109">
        <v>213.42</v>
      </c>
    </row>
    <row r="1379" spans="2:17" x14ac:dyDescent="0.25">
      <c r="B1379" s="114">
        <v>22</v>
      </c>
      <c r="C1379" s="114">
        <v>53</v>
      </c>
      <c r="D1379" s="114">
        <v>126</v>
      </c>
      <c r="E1379" s="154" cm="1">
        <f t="array" ref="E1379">IF(ISBLANK(MainData[[#This Row],[EventID]]),0,IFERROR(INDEX(MainData[],MATCH(MainData[[#This Row],[EventID]],IF(MainData[Product]="Date",MainData[EventID],0),0),12),0))</f>
        <v>44615</v>
      </c>
      <c r="F1379" s="155" cm="1">
        <f t="array" ref="F1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9" s="155" cm="1">
        <f t="array" ref="G1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9" s="2" t="str" cm="1">
        <f t="array" ref="H1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9" s="157" t="s">
        <v>85</v>
      </c>
      <c r="J1379" t="s">
        <v>22</v>
      </c>
      <c r="K1379" s="2" t="s">
        <v>29</v>
      </c>
      <c r="L1379" s="2" t="s">
        <v>65</v>
      </c>
      <c r="M1379" s="2" t="s">
        <v>383</v>
      </c>
      <c r="N1379" s="2" t="s">
        <v>234</v>
      </c>
      <c r="O1379" s="109">
        <v>1</v>
      </c>
      <c r="P1379" s="109">
        <v>0.7</v>
      </c>
      <c r="Q1379" s="109">
        <v>13.57</v>
      </c>
    </row>
    <row r="1380" spans="2:17" x14ac:dyDescent="0.25">
      <c r="B1380" s="114">
        <v>22</v>
      </c>
      <c r="C1380" s="114">
        <v>53</v>
      </c>
      <c r="D1380" s="114">
        <v>126</v>
      </c>
      <c r="E1380" s="154" cm="1">
        <f t="array" ref="E1380">IF(ISBLANK(MainData[[#This Row],[EventID]]),0,IFERROR(INDEX(MainData[],MATCH(MainData[[#This Row],[EventID]],IF(MainData[Product]="Date",MainData[EventID],0),0),12),0))</f>
        <v>44615</v>
      </c>
      <c r="F1380" s="155" cm="1">
        <f t="array" ref="F1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0" s="155" cm="1">
        <f t="array" ref="G1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80" s="2" t="str" cm="1">
        <f t="array" ref="H1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0" s="157" t="s">
        <v>85</v>
      </c>
      <c r="J1380" t="s">
        <v>22</v>
      </c>
      <c r="K1380" s="2" t="s">
        <v>29</v>
      </c>
      <c r="L1380" s="2" t="s">
        <v>25</v>
      </c>
      <c r="M1380" s="2" t="s">
        <v>385</v>
      </c>
      <c r="N1380" s="2" t="s">
        <v>234</v>
      </c>
      <c r="O1380" s="109">
        <v>1</v>
      </c>
      <c r="P1380" s="109">
        <v>4</v>
      </c>
      <c r="Q1380" s="109">
        <v>40.229999999999997</v>
      </c>
    </row>
    <row r="1381" spans="2:17" x14ac:dyDescent="0.25">
      <c r="B1381" s="114">
        <v>22</v>
      </c>
      <c r="C1381" s="114">
        <v>53</v>
      </c>
      <c r="D1381" s="114">
        <v>105</v>
      </c>
      <c r="E1381" s="154" cm="1">
        <f t="array" ref="E1381">IF(ISBLANK(MainData[[#This Row],[EventID]]),0,IFERROR(INDEX(MainData[],MATCH(MainData[[#This Row],[EventID]],IF(MainData[Product]="Date",MainData[EventID],0),0),12),0))</f>
        <v>44615</v>
      </c>
      <c r="F1381" s="155" cm="1">
        <f t="array" ref="F1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1" s="155" cm="1">
        <f t="array" ref="G1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1" s="2" t="str" cm="1">
        <f t="array" ref="H1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1" s="20" t="s">
        <v>85</v>
      </c>
      <c r="J1381" t="s">
        <v>20</v>
      </c>
      <c r="K1381" s="2" t="s">
        <v>116</v>
      </c>
      <c r="L1381" s="2" t="s">
        <v>88</v>
      </c>
      <c r="M1381" s="2" t="s">
        <v>189</v>
      </c>
      <c r="N1381" s="2" t="s">
        <v>233</v>
      </c>
      <c r="O1381" s="109">
        <v>1</v>
      </c>
      <c r="P1381" s="109"/>
      <c r="Q1381" s="109"/>
    </row>
    <row r="1382" spans="2:17" x14ac:dyDescent="0.25">
      <c r="B1382" s="114">
        <v>22</v>
      </c>
      <c r="C1382" s="114">
        <v>53</v>
      </c>
      <c r="D1382" s="114">
        <v>105</v>
      </c>
      <c r="E1382" s="154" cm="1">
        <f t="array" ref="E1382">IF(ISBLANK(MainData[[#This Row],[EventID]]),0,IFERROR(INDEX(MainData[],MATCH(MainData[[#This Row],[EventID]],IF(MainData[Product]="Date",MainData[EventID],0),0),12),0))</f>
        <v>44615</v>
      </c>
      <c r="F1382" s="155" cm="1">
        <f t="array" ref="F1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2" s="155" cm="1">
        <f t="array" ref="G1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2" s="2" t="str" cm="1">
        <f t="array" ref="H1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2" s="20" t="s">
        <v>85</v>
      </c>
      <c r="J1382" t="s">
        <v>20</v>
      </c>
      <c r="K1382" s="2" t="s">
        <v>116</v>
      </c>
      <c r="L1382" s="2" t="s">
        <v>87</v>
      </c>
      <c r="M1382" s="2" t="s">
        <v>188</v>
      </c>
      <c r="N1382" s="2" t="s">
        <v>233</v>
      </c>
      <c r="O1382" s="109">
        <v>1</v>
      </c>
      <c r="P1382" s="109"/>
      <c r="Q1382" s="109">
        <v>100</v>
      </c>
    </row>
    <row r="1383" spans="2:17" x14ac:dyDescent="0.25">
      <c r="B1383" s="114">
        <v>14</v>
      </c>
      <c r="C1383" s="114">
        <v>35</v>
      </c>
      <c r="D1383" s="114">
        <v>101</v>
      </c>
      <c r="E1383" s="154" cm="1">
        <f t="array" ref="E1383">IF(ISBLANK(MainData[[#This Row],[EventID]]),0,IFERROR(INDEX(MainData[],MATCH(MainData[[#This Row],[EventID]],IF(MainData[Product]="Date",MainData[EventID],0),0),12),0))</f>
        <v>44615</v>
      </c>
      <c r="F1383" s="155" cm="1">
        <f t="array" ref="F1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3" s="155" cm="1">
        <f t="array" ref="G1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3" s="2" t="str" cm="1">
        <f t="array" ref="H1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3" s="157" t="s">
        <v>84</v>
      </c>
      <c r="J1383" t="s">
        <v>187</v>
      </c>
      <c r="K1383" s="2" t="s">
        <v>157</v>
      </c>
      <c r="L1383" s="2" t="s">
        <v>81</v>
      </c>
      <c r="M1383" s="2">
        <v>1</v>
      </c>
      <c r="N1383" s="2"/>
      <c r="O1383" s="109"/>
      <c r="P1383" s="109"/>
      <c r="Q1383" s="109"/>
    </row>
    <row r="1384" spans="2:17" x14ac:dyDescent="0.25">
      <c r="B1384" s="114">
        <v>14</v>
      </c>
      <c r="C1384" s="114">
        <v>35</v>
      </c>
      <c r="D1384" s="114">
        <v>101</v>
      </c>
      <c r="E1384" s="154" cm="1">
        <f t="array" ref="E1384">IF(ISBLANK(MainData[[#This Row],[EventID]]),0,IFERROR(INDEX(MainData[],MATCH(MainData[[#This Row],[EventID]],IF(MainData[Product]="Date",MainData[EventID],0),0),12),0))</f>
        <v>44615</v>
      </c>
      <c r="F1384" s="155" cm="1">
        <f t="array" ref="F1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4" s="155" cm="1">
        <f t="array" ref="G1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4" s="2" t="str" cm="1">
        <f t="array" ref="H1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4" s="157" t="s">
        <v>84</v>
      </c>
      <c r="J1384" t="s">
        <v>187</v>
      </c>
      <c r="K1384" s="2" t="s">
        <v>157</v>
      </c>
      <c r="L1384" s="2" t="s">
        <v>164</v>
      </c>
      <c r="M1384" s="2" t="s">
        <v>420</v>
      </c>
      <c r="N1384" s="2"/>
      <c r="O1384" s="109"/>
      <c r="P1384" s="109"/>
      <c r="Q1384" s="109"/>
    </row>
    <row r="1385" spans="2:17" x14ac:dyDescent="0.25">
      <c r="B1385" s="114">
        <v>14</v>
      </c>
      <c r="C1385" s="114">
        <v>35</v>
      </c>
      <c r="D1385" s="114">
        <v>101</v>
      </c>
      <c r="E1385" s="154" cm="1">
        <f t="array" ref="E1385">IF(ISBLANK(MainData[[#This Row],[EventID]]),0,IFERROR(INDEX(MainData[],MATCH(MainData[[#This Row],[EventID]],IF(MainData[Product]="Date",MainData[EventID],0),0),12),0))</f>
        <v>44615</v>
      </c>
      <c r="F1385" s="155" cm="1">
        <f t="array" ref="F1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5" s="155" cm="1">
        <f t="array" ref="G1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5" s="2" t="str" cm="1">
        <f t="array" ref="H1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5" s="157" t="s">
        <v>84</v>
      </c>
      <c r="J1385" t="s">
        <v>187</v>
      </c>
      <c r="K1385" s="2" t="s">
        <v>157</v>
      </c>
      <c r="L1385" s="2" t="s">
        <v>0</v>
      </c>
      <c r="M1385" s="158">
        <v>44615</v>
      </c>
      <c r="N1385" s="2"/>
      <c r="O1385" s="109"/>
      <c r="P1385" s="109"/>
      <c r="Q1385" s="109"/>
    </row>
    <row r="1386" spans="2:17" x14ac:dyDescent="0.25">
      <c r="B1386" s="114">
        <v>14</v>
      </c>
      <c r="C1386" s="114">
        <v>35</v>
      </c>
      <c r="D1386" s="114">
        <v>101</v>
      </c>
      <c r="E1386" s="154" cm="1">
        <f t="array" ref="E1386">IF(ISBLANK(MainData[[#This Row],[EventID]]),0,IFERROR(INDEX(MainData[],MATCH(MainData[[#This Row],[EventID]],IF(MainData[Product]="Date",MainData[EventID],0),0),12),0))</f>
        <v>44615</v>
      </c>
      <c r="F1386" s="155" cm="1">
        <f t="array" ref="F1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6" s="155" cm="1">
        <f t="array" ref="G1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6" s="2" t="str" cm="1">
        <f t="array" ref="H1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6" s="157" t="s">
        <v>84</v>
      </c>
      <c r="J1386" t="s">
        <v>187</v>
      </c>
      <c r="K1386" s="2" t="s">
        <v>157</v>
      </c>
      <c r="L1386" s="2" t="s">
        <v>82</v>
      </c>
      <c r="M1386" s="2">
        <v>243317</v>
      </c>
      <c r="N1386" s="2"/>
      <c r="O1386" s="109"/>
      <c r="P1386" s="109"/>
      <c r="Q1386" s="109"/>
    </row>
    <row r="1387" spans="2:17" x14ac:dyDescent="0.25">
      <c r="B1387" s="114">
        <v>14</v>
      </c>
      <c r="C1387" s="114">
        <v>35</v>
      </c>
      <c r="D1387" s="114">
        <v>101</v>
      </c>
      <c r="E1387" s="154" cm="1">
        <f t="array" ref="E1387">IF(ISBLANK(MainData[[#This Row],[EventID]]),0,IFERROR(INDEX(MainData[],MATCH(MainData[[#This Row],[EventID]],IF(MainData[Product]="Date",MainData[EventID],0),0),12),0))</f>
        <v>44615</v>
      </c>
      <c r="F1387" s="155" cm="1">
        <f t="array" ref="F1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7" s="155" cm="1">
        <f t="array" ref="G1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7" s="2" t="str" cm="1">
        <f t="array" ref="H1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7" s="157" t="s">
        <v>84</v>
      </c>
      <c r="J1387" t="s">
        <v>187</v>
      </c>
      <c r="K1387" s="2" t="s">
        <v>157</v>
      </c>
      <c r="L1387" s="2" t="s">
        <v>175</v>
      </c>
      <c r="M1387" s="2" t="s">
        <v>482</v>
      </c>
      <c r="N1387" s="2"/>
      <c r="O1387" s="109"/>
      <c r="P1387" s="109"/>
      <c r="Q1387" s="109"/>
    </row>
    <row r="1388" spans="2:17" x14ac:dyDescent="0.25">
      <c r="B1388" s="114">
        <v>14</v>
      </c>
      <c r="C1388" s="114">
        <v>35</v>
      </c>
      <c r="D1388" s="114">
        <v>101</v>
      </c>
      <c r="E1388" s="154" cm="1">
        <f t="array" ref="E1388">IF(ISBLANK(MainData[[#This Row],[EventID]]),0,IFERROR(INDEX(MainData[],MATCH(MainData[[#This Row],[EventID]],IF(MainData[Product]="Date",MainData[EventID],0),0),12),0))</f>
        <v>44615</v>
      </c>
      <c r="F1388" s="155" cm="1">
        <f t="array" ref="F1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8" s="155" cm="1">
        <f t="array" ref="G1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8" s="2" t="str" cm="1">
        <f t="array" ref="H1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8" s="157" t="s">
        <v>84</v>
      </c>
      <c r="J1388" t="s">
        <v>187</v>
      </c>
      <c r="K1388" s="2" t="s">
        <v>157</v>
      </c>
      <c r="L1388" s="2" t="s">
        <v>20</v>
      </c>
      <c r="M1388" s="2" t="s">
        <v>368</v>
      </c>
      <c r="N1388" s="2"/>
      <c r="O1388" s="109"/>
      <c r="P1388" s="109"/>
      <c r="Q1388" s="109"/>
    </row>
    <row r="1389" spans="2:17" x14ac:dyDescent="0.25">
      <c r="B1389" s="114">
        <v>14</v>
      </c>
      <c r="C1389" s="114">
        <v>35</v>
      </c>
      <c r="D1389" s="114">
        <v>101</v>
      </c>
      <c r="E1389" s="154" cm="1">
        <f t="array" ref="E1389">IF(ISBLANK(MainData[[#This Row],[EventID]]),0,IFERROR(INDEX(MainData[],MATCH(MainData[[#This Row],[EventID]],IF(MainData[Product]="Date",MainData[EventID],0),0),12),0))</f>
        <v>44615</v>
      </c>
      <c r="F1389" s="155" cm="1">
        <f t="array" ref="F1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9" s="155" cm="1">
        <f t="array" ref="G1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9" s="2" t="str" cm="1">
        <f t="array" ref="H1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9" s="157" t="s">
        <v>84</v>
      </c>
      <c r="J1389" t="s">
        <v>187</v>
      </c>
      <c r="K1389" s="2" t="s">
        <v>157</v>
      </c>
      <c r="L1389" s="2" t="s">
        <v>138</v>
      </c>
      <c r="M1389" s="2">
        <v>35</v>
      </c>
      <c r="N1389" s="2"/>
      <c r="O1389" s="109"/>
      <c r="P1389" s="109"/>
      <c r="Q1389" s="109"/>
    </row>
    <row r="1390" spans="2:17" x14ac:dyDescent="0.25">
      <c r="B1390" s="114">
        <v>14</v>
      </c>
      <c r="C1390" s="114">
        <v>35</v>
      </c>
      <c r="D1390" s="114">
        <v>101</v>
      </c>
      <c r="E1390" s="154" cm="1">
        <f t="array" ref="E1390">IF(ISBLANK(MainData[[#This Row],[EventID]]),0,IFERROR(INDEX(MainData[],MATCH(MainData[[#This Row],[EventID]],IF(MainData[Product]="Date",MainData[EventID],0),0),12),0))</f>
        <v>44615</v>
      </c>
      <c r="F1390" s="155" cm="1">
        <f t="array" ref="F1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0" s="155" cm="1">
        <f t="array" ref="G1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0" s="2" t="str" cm="1">
        <f t="array" ref="H1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0" s="157" t="s">
        <v>84</v>
      </c>
      <c r="J1390" t="s">
        <v>187</v>
      </c>
      <c r="K1390" s="2" t="s">
        <v>157</v>
      </c>
      <c r="L1390" s="2" t="s">
        <v>86</v>
      </c>
      <c r="M1390" s="2">
        <v>2</v>
      </c>
      <c r="N1390" s="2"/>
      <c r="O1390" s="109"/>
      <c r="P1390" s="109"/>
      <c r="Q1390" s="109"/>
    </row>
    <row r="1391" spans="2:17" x14ac:dyDescent="0.25">
      <c r="B1391" s="114">
        <v>14</v>
      </c>
      <c r="C1391" s="114">
        <v>35</v>
      </c>
      <c r="D1391" s="114">
        <v>101</v>
      </c>
      <c r="E1391" s="154" cm="1">
        <f t="array" ref="E1391">IF(ISBLANK(MainData[[#This Row],[EventID]]),0,IFERROR(INDEX(MainData[],MATCH(MainData[[#This Row],[EventID]],IF(MainData[Product]="Date",MainData[EventID],0),0),12),0))</f>
        <v>44615</v>
      </c>
      <c r="F1391" s="155" cm="1">
        <f t="array" ref="F1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1" s="155" cm="1">
        <f t="array" ref="G1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1" s="2" t="str" cm="1">
        <f t="array" ref="H1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1" s="157" t="s">
        <v>84</v>
      </c>
      <c r="J1391" t="s">
        <v>187</v>
      </c>
      <c r="K1391" s="2" t="s">
        <v>157</v>
      </c>
      <c r="L1391" s="2" t="s">
        <v>118</v>
      </c>
      <c r="M1391" s="2" t="s">
        <v>489</v>
      </c>
      <c r="N1391" s="2"/>
      <c r="O1391" s="109"/>
      <c r="P1391" s="109"/>
      <c r="Q1391" s="109"/>
    </row>
    <row r="1392" spans="2:17" x14ac:dyDescent="0.25">
      <c r="B1392" s="114">
        <v>14</v>
      </c>
      <c r="C1392" s="114">
        <v>35</v>
      </c>
      <c r="D1392" s="114">
        <v>101</v>
      </c>
      <c r="E1392" s="154" cm="1">
        <f t="array" ref="E1392">IF(ISBLANK(MainData[[#This Row],[EventID]]),0,IFERROR(INDEX(MainData[],MATCH(MainData[[#This Row],[EventID]],IF(MainData[Product]="Date",MainData[EventID],0),0),12),0))</f>
        <v>44615</v>
      </c>
      <c r="F1392" s="155" cm="1">
        <f t="array" ref="F1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2" s="155" cm="1">
        <f t="array" ref="G1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2" s="2" t="str" cm="1">
        <f t="array" ref="H1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2" s="157" t="s">
        <v>84</v>
      </c>
      <c r="J1392" t="s">
        <v>187</v>
      </c>
      <c r="K1392" s="2" t="s">
        <v>157</v>
      </c>
      <c r="L1392" s="2" t="s">
        <v>165</v>
      </c>
      <c r="M1392" s="2" t="s">
        <v>410</v>
      </c>
      <c r="N1392" s="2"/>
      <c r="O1392" s="109"/>
      <c r="P1392" s="109"/>
      <c r="Q1392" s="109"/>
    </row>
    <row r="1393" spans="2:17" x14ac:dyDescent="0.25">
      <c r="B1393" s="114">
        <v>14</v>
      </c>
      <c r="C1393" s="114">
        <v>35</v>
      </c>
      <c r="D1393" s="114">
        <v>101</v>
      </c>
      <c r="E1393" s="154" cm="1">
        <f t="array" ref="E1393">IF(ISBLANK(MainData[[#This Row],[EventID]]),0,IFERROR(INDEX(MainData[],MATCH(MainData[[#This Row],[EventID]],IF(MainData[Product]="Date",MainData[EventID],0),0),12),0))</f>
        <v>44615</v>
      </c>
      <c r="F1393" s="155" cm="1">
        <f t="array" ref="F1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3" s="155" cm="1">
        <f t="array" ref="G1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3" s="2" t="str" cm="1">
        <f t="array" ref="H1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3" s="20" t="s">
        <v>85</v>
      </c>
      <c r="J1393" t="s">
        <v>20</v>
      </c>
      <c r="K1393" s="2" t="s">
        <v>116</v>
      </c>
      <c r="L1393" s="2" t="s">
        <v>88</v>
      </c>
      <c r="M1393" s="2" t="s">
        <v>189</v>
      </c>
      <c r="N1393" s="2" t="s">
        <v>233</v>
      </c>
      <c r="O1393" s="109">
        <v>1</v>
      </c>
      <c r="P1393" s="109"/>
      <c r="Q1393" s="109"/>
    </row>
    <row r="1394" spans="2:17" x14ac:dyDescent="0.25">
      <c r="B1394" s="114">
        <v>14</v>
      </c>
      <c r="C1394" s="114">
        <v>35</v>
      </c>
      <c r="D1394" s="114">
        <v>101</v>
      </c>
      <c r="E1394" s="154" cm="1">
        <f t="array" ref="E1394">IF(ISBLANK(MainData[[#This Row],[EventID]]),0,IFERROR(INDEX(MainData[],MATCH(MainData[[#This Row],[EventID]],IF(MainData[Product]="Date",MainData[EventID],0),0),12),0))</f>
        <v>44615</v>
      </c>
      <c r="F1394" s="155" cm="1">
        <f t="array" ref="F1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4" s="155" cm="1">
        <f t="array" ref="G1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4" s="2" t="str" cm="1">
        <f t="array" ref="H1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4" s="20" t="s">
        <v>85</v>
      </c>
      <c r="J1394" t="s">
        <v>20</v>
      </c>
      <c r="K1394" s="2" t="s">
        <v>116</v>
      </c>
      <c r="L1394" s="2" t="s">
        <v>87</v>
      </c>
      <c r="M1394" s="2" t="s">
        <v>188</v>
      </c>
      <c r="N1394" s="2" t="s">
        <v>233</v>
      </c>
      <c r="O1394" s="109">
        <v>1</v>
      </c>
      <c r="P1394" s="109"/>
      <c r="Q1394" s="109">
        <v>100</v>
      </c>
    </row>
    <row r="1395" spans="2:17" x14ac:dyDescent="0.25">
      <c r="B1395" s="114">
        <v>14</v>
      </c>
      <c r="C1395" s="114">
        <v>35</v>
      </c>
      <c r="D1395" s="114">
        <v>101</v>
      </c>
      <c r="E1395" s="154" cm="1">
        <f t="array" ref="E1395">IF(ISBLANK(MainData[[#This Row],[EventID]]),0,IFERROR(INDEX(MainData[],MATCH(MainData[[#This Row],[EventID]],IF(MainData[Product]="Date",MainData[EventID],0),0),12),0))</f>
        <v>44615</v>
      </c>
      <c r="F1395" s="155" cm="1">
        <f t="array" ref="F1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5" s="155" cm="1">
        <f t="array" ref="G1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5" s="2" t="str" cm="1">
        <f t="array" ref="H1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5" s="20" t="s">
        <v>85</v>
      </c>
      <c r="J1395" t="s">
        <v>20</v>
      </c>
      <c r="K1395" s="2" t="s">
        <v>29</v>
      </c>
      <c r="L1395" s="2" t="s">
        <v>25</v>
      </c>
      <c r="M1395" s="2" t="s">
        <v>12</v>
      </c>
      <c r="N1395" s="2" t="s">
        <v>234</v>
      </c>
      <c r="O1395" s="109">
        <v>1</v>
      </c>
      <c r="P1395" s="109">
        <v>91.72</v>
      </c>
      <c r="Q1395" s="109">
        <v>405</v>
      </c>
    </row>
    <row r="1396" spans="2:17" x14ac:dyDescent="0.25">
      <c r="B1396" s="114">
        <v>14</v>
      </c>
      <c r="C1396" s="114">
        <v>38</v>
      </c>
      <c r="D1396" s="114">
        <v>102</v>
      </c>
      <c r="E1396" s="154" cm="1">
        <f t="array" ref="E1396">IF(ISBLANK(MainData[[#This Row],[EventID]]),0,IFERROR(INDEX(MainData[],MATCH(MainData[[#This Row],[EventID]],IF(MainData[Product]="Date",MainData[EventID],0),0),12),0))</f>
        <v>44615</v>
      </c>
      <c r="F1396" s="155" cm="1">
        <f t="array" ref="F1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6" s="155" cm="1">
        <f t="array" ref="G1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6" s="2" t="str" cm="1">
        <f t="array" ref="H1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6" s="157" t="s">
        <v>84</v>
      </c>
      <c r="J1396" t="s">
        <v>187</v>
      </c>
      <c r="K1396" s="2" t="s">
        <v>157</v>
      </c>
      <c r="L1396" s="2" t="s">
        <v>81</v>
      </c>
      <c r="M1396" s="2">
        <v>1</v>
      </c>
      <c r="N1396" s="2"/>
      <c r="O1396" s="109"/>
      <c r="P1396" s="109"/>
      <c r="Q1396" s="109"/>
    </row>
    <row r="1397" spans="2:17" x14ac:dyDescent="0.25">
      <c r="B1397" s="114">
        <v>14</v>
      </c>
      <c r="C1397" s="114">
        <v>38</v>
      </c>
      <c r="D1397" s="114">
        <v>102</v>
      </c>
      <c r="E1397" s="154" cm="1">
        <f t="array" ref="E1397">IF(ISBLANK(MainData[[#This Row],[EventID]]),0,IFERROR(INDEX(MainData[],MATCH(MainData[[#This Row],[EventID]],IF(MainData[Product]="Date",MainData[EventID],0),0),12),0))</f>
        <v>44615</v>
      </c>
      <c r="F1397" s="155" cm="1">
        <f t="array" ref="F1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7" s="155" cm="1">
        <f t="array" ref="G1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7" s="2" t="str" cm="1">
        <f t="array" ref="H1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7" s="157" t="s">
        <v>84</v>
      </c>
      <c r="J1397" t="s">
        <v>187</v>
      </c>
      <c r="K1397" s="2" t="s">
        <v>157</v>
      </c>
      <c r="L1397" s="2" t="s">
        <v>0</v>
      </c>
      <c r="M1397" s="158">
        <v>44615</v>
      </c>
      <c r="N1397" s="2"/>
      <c r="O1397" s="109"/>
      <c r="P1397" s="109"/>
      <c r="Q1397" s="109"/>
    </row>
    <row r="1398" spans="2:17" x14ac:dyDescent="0.25">
      <c r="B1398" s="114">
        <v>14</v>
      </c>
      <c r="C1398" s="114">
        <v>38</v>
      </c>
      <c r="D1398" s="114">
        <v>102</v>
      </c>
      <c r="E1398" s="154" cm="1">
        <f t="array" ref="E1398">IF(ISBLANK(MainData[[#This Row],[EventID]]),0,IFERROR(INDEX(MainData[],MATCH(MainData[[#This Row],[EventID]],IF(MainData[Product]="Date",MainData[EventID],0),0),12),0))</f>
        <v>44615</v>
      </c>
      <c r="F1398" s="155" cm="1">
        <f t="array" ref="F1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8" s="155" cm="1">
        <f t="array" ref="G1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8" s="2" t="str" cm="1">
        <f t="array" ref="H1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8" s="157" t="s">
        <v>84</v>
      </c>
      <c r="J1398" t="s">
        <v>187</v>
      </c>
      <c r="K1398" s="2" t="s">
        <v>157</v>
      </c>
      <c r="L1398" s="2" t="s">
        <v>82</v>
      </c>
      <c r="M1398" s="2">
        <v>443073</v>
      </c>
      <c r="N1398" s="2"/>
      <c r="O1398" s="109"/>
      <c r="P1398" s="109"/>
      <c r="Q1398" s="109"/>
    </row>
    <row r="1399" spans="2:17" x14ac:dyDescent="0.25">
      <c r="B1399" s="114">
        <v>14</v>
      </c>
      <c r="C1399" s="114">
        <v>38</v>
      </c>
      <c r="D1399" s="114">
        <v>102</v>
      </c>
      <c r="E1399" s="154" cm="1">
        <f t="array" ref="E1399">IF(ISBLANK(MainData[[#This Row],[EventID]]),0,IFERROR(INDEX(MainData[],MATCH(MainData[[#This Row],[EventID]],IF(MainData[Product]="Date",MainData[EventID],0),0),12),0))</f>
        <v>44615</v>
      </c>
      <c r="F1399" s="155" cm="1">
        <f t="array" ref="F1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9" s="155" cm="1">
        <f t="array" ref="G1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9" s="2" t="str" cm="1">
        <f t="array" ref="H1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9" s="157" t="s">
        <v>84</v>
      </c>
      <c r="J1399" t="s">
        <v>187</v>
      </c>
      <c r="K1399" s="2" t="s">
        <v>157</v>
      </c>
      <c r="L1399" s="2" t="s">
        <v>175</v>
      </c>
      <c r="M1399" s="2" t="s">
        <v>457</v>
      </c>
      <c r="N1399" s="2"/>
      <c r="O1399" s="109"/>
      <c r="P1399" s="109"/>
      <c r="Q1399" s="109"/>
    </row>
    <row r="1400" spans="2:17" x14ac:dyDescent="0.25">
      <c r="B1400" s="114">
        <v>14</v>
      </c>
      <c r="C1400" s="114">
        <v>38</v>
      </c>
      <c r="D1400" s="114">
        <v>102</v>
      </c>
      <c r="E1400" s="154" cm="1">
        <f t="array" ref="E1400">IF(ISBLANK(MainData[[#This Row],[EventID]]),0,IFERROR(INDEX(MainData[],MATCH(MainData[[#This Row],[EventID]],IF(MainData[Product]="Date",MainData[EventID],0),0),12),0))</f>
        <v>44615</v>
      </c>
      <c r="F1400" s="155" cm="1">
        <f t="array" ref="F1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0" s="155" cm="1">
        <f t="array" ref="G1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0" s="2" t="str" cm="1">
        <f t="array" ref="H1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0" s="157" t="s">
        <v>84</v>
      </c>
      <c r="J1400" t="s">
        <v>187</v>
      </c>
      <c r="K1400" s="2" t="s">
        <v>157</v>
      </c>
      <c r="L1400" s="2" t="s">
        <v>138</v>
      </c>
      <c r="M1400" s="2">
        <v>55</v>
      </c>
      <c r="N1400" s="2"/>
      <c r="O1400" s="109"/>
      <c r="P1400" s="109"/>
      <c r="Q1400" s="109"/>
    </row>
    <row r="1401" spans="2:17" x14ac:dyDescent="0.25">
      <c r="B1401" s="114">
        <v>14</v>
      </c>
      <c r="C1401" s="114">
        <v>38</v>
      </c>
      <c r="D1401" s="114">
        <v>102</v>
      </c>
      <c r="E1401" s="154" cm="1">
        <f t="array" ref="E1401">IF(ISBLANK(MainData[[#This Row],[EventID]]),0,IFERROR(INDEX(MainData[],MATCH(MainData[[#This Row],[EventID]],IF(MainData[Product]="Date",MainData[EventID],0),0),12),0))</f>
        <v>44615</v>
      </c>
      <c r="F1401" s="155" cm="1">
        <f t="array" ref="F1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1" s="155" cm="1">
        <f t="array" ref="G1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1" s="2" t="str" cm="1">
        <f t="array" ref="H1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1" s="157" t="s">
        <v>84</v>
      </c>
      <c r="J1401" t="s">
        <v>187</v>
      </c>
      <c r="K1401" s="2" t="s">
        <v>157</v>
      </c>
      <c r="L1401" s="2" t="s">
        <v>86</v>
      </c>
      <c r="M1401" s="2">
        <v>2</v>
      </c>
      <c r="N1401" s="2"/>
      <c r="O1401" s="109"/>
      <c r="P1401" s="109"/>
      <c r="Q1401" s="109"/>
    </row>
    <row r="1402" spans="2:17" x14ac:dyDescent="0.25">
      <c r="B1402" s="114">
        <v>14</v>
      </c>
      <c r="C1402" s="114">
        <v>38</v>
      </c>
      <c r="D1402" s="114">
        <v>102</v>
      </c>
      <c r="E1402" s="154" cm="1">
        <f t="array" ref="E1402">IF(ISBLANK(MainData[[#This Row],[EventID]]),0,IFERROR(INDEX(MainData[],MATCH(MainData[[#This Row],[EventID]],IF(MainData[Product]="Date",MainData[EventID],0),0),12),0))</f>
        <v>44615</v>
      </c>
      <c r="F1402" s="155" cm="1">
        <f t="array" ref="F1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2" s="155" cm="1">
        <f t="array" ref="G1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2" s="2" t="str" cm="1">
        <f t="array" ref="H1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2" s="157" t="s">
        <v>84</v>
      </c>
      <c r="J1402" t="s">
        <v>187</v>
      </c>
      <c r="K1402" s="2" t="s">
        <v>157</v>
      </c>
      <c r="L1402" s="2" t="s">
        <v>118</v>
      </c>
      <c r="M1402" s="2" t="s">
        <v>490</v>
      </c>
      <c r="N1402" s="2"/>
      <c r="O1402" s="109"/>
      <c r="P1402" s="109"/>
      <c r="Q1402" s="109"/>
    </row>
    <row r="1403" spans="2:17" x14ac:dyDescent="0.25">
      <c r="B1403" s="114">
        <v>14</v>
      </c>
      <c r="C1403" s="114">
        <v>38</v>
      </c>
      <c r="D1403" s="114">
        <v>102</v>
      </c>
      <c r="E1403" s="154" cm="1">
        <f t="array" ref="E1403">IF(ISBLANK(MainData[[#This Row],[EventID]]),0,IFERROR(INDEX(MainData[],MATCH(MainData[[#This Row],[EventID]],IF(MainData[Product]="Date",MainData[EventID],0),0),12),0))</f>
        <v>44615</v>
      </c>
      <c r="F1403" s="155" cm="1">
        <f t="array" ref="F1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3" s="155" cm="1">
        <f t="array" ref="G1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3" s="2" t="str" cm="1">
        <f t="array" ref="H1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3" s="20" t="s">
        <v>85</v>
      </c>
      <c r="J1403" t="s">
        <v>20</v>
      </c>
      <c r="K1403" s="2" t="s">
        <v>116</v>
      </c>
      <c r="L1403" s="2" t="s">
        <v>88</v>
      </c>
      <c r="M1403" s="2" t="s">
        <v>189</v>
      </c>
      <c r="N1403" s="2" t="s">
        <v>233</v>
      </c>
      <c r="O1403" s="109">
        <v>1</v>
      </c>
      <c r="P1403" s="109"/>
      <c r="Q1403" s="109"/>
    </row>
    <row r="1404" spans="2:17" x14ac:dyDescent="0.25">
      <c r="B1404" s="114">
        <v>14</v>
      </c>
      <c r="C1404" s="114">
        <v>38</v>
      </c>
      <c r="D1404" s="114">
        <v>102</v>
      </c>
      <c r="E1404" s="154" cm="1">
        <f t="array" ref="E1404">IF(ISBLANK(MainData[[#This Row],[EventID]]),0,IFERROR(INDEX(MainData[],MATCH(MainData[[#This Row],[EventID]],IF(MainData[Product]="Date",MainData[EventID],0),0),12),0))</f>
        <v>44615</v>
      </c>
      <c r="F1404" s="155" cm="1">
        <f t="array" ref="F1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4" s="155" cm="1">
        <f t="array" ref="G1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4" s="2" t="str" cm="1">
        <f t="array" ref="H1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4" s="20" t="s">
        <v>85</v>
      </c>
      <c r="J1404" t="s">
        <v>20</v>
      </c>
      <c r="K1404" s="2" t="s">
        <v>116</v>
      </c>
      <c r="L1404" s="2" t="s">
        <v>87</v>
      </c>
      <c r="M1404" s="2" t="s">
        <v>188</v>
      </c>
      <c r="N1404" s="2" t="s">
        <v>233</v>
      </c>
      <c r="O1404" s="109">
        <v>1</v>
      </c>
      <c r="P1404" s="109"/>
      <c r="Q1404" s="109">
        <v>100</v>
      </c>
    </row>
    <row r="1405" spans="2:17" x14ac:dyDescent="0.25">
      <c r="B1405" s="114">
        <v>14</v>
      </c>
      <c r="C1405" s="114">
        <v>38</v>
      </c>
      <c r="D1405" s="114">
        <v>102</v>
      </c>
      <c r="E1405" s="154" cm="1">
        <f t="array" ref="E1405">IF(ISBLANK(MainData[[#This Row],[EventID]]),0,IFERROR(INDEX(MainData[],MATCH(MainData[[#This Row],[EventID]],IF(MainData[Product]="Date",MainData[EventID],0),0),12),0))</f>
        <v>44615</v>
      </c>
      <c r="F1405" s="155" cm="1">
        <f t="array" ref="F1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5" s="155" cm="1">
        <f t="array" ref="G1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5" s="2" t="str" cm="1">
        <f t="array" ref="H1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5" s="157" t="s">
        <v>85</v>
      </c>
      <c r="J1405" t="s">
        <v>20</v>
      </c>
      <c r="K1405" s="2" t="s">
        <v>29</v>
      </c>
      <c r="L1405" s="2" t="s">
        <v>35</v>
      </c>
      <c r="M1405" s="2" t="s">
        <v>382</v>
      </c>
      <c r="N1405" s="2" t="s">
        <v>234</v>
      </c>
      <c r="O1405" s="109">
        <v>1</v>
      </c>
      <c r="P1405" s="109">
        <v>44</v>
      </c>
      <c r="Q1405" s="109">
        <v>440</v>
      </c>
    </row>
    <row r="1406" spans="2:17" x14ac:dyDescent="0.25">
      <c r="B1406" s="114">
        <v>14</v>
      </c>
      <c r="C1406" s="114">
        <v>38</v>
      </c>
      <c r="D1406" s="114">
        <v>102</v>
      </c>
      <c r="E1406" s="154" cm="1">
        <f t="array" ref="E1406">IF(ISBLANK(MainData[[#This Row],[EventID]]),0,IFERROR(INDEX(MainData[],MATCH(MainData[[#This Row],[EventID]],IF(MainData[Product]="Date",MainData[EventID],0),0),12),0))</f>
        <v>44615</v>
      </c>
      <c r="F1406" s="155" cm="1">
        <f t="array" ref="F1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6" s="155" cm="1">
        <f t="array" ref="G1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6" s="2" t="str" cm="1">
        <f t="array" ref="H1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6" s="157" t="s">
        <v>85</v>
      </c>
      <c r="J1406" t="s">
        <v>20</v>
      </c>
      <c r="K1406" s="2" t="s">
        <v>29</v>
      </c>
      <c r="L1406" s="2" t="s">
        <v>65</v>
      </c>
      <c r="M1406" s="2" t="s">
        <v>383</v>
      </c>
      <c r="N1406" s="2" t="s">
        <v>234</v>
      </c>
      <c r="O1406" s="109">
        <v>1</v>
      </c>
      <c r="P1406" s="109">
        <v>3.5</v>
      </c>
      <c r="Q1406" s="109">
        <v>70</v>
      </c>
    </row>
    <row r="1407" spans="2:17" x14ac:dyDescent="0.25">
      <c r="B1407" s="114">
        <v>14</v>
      </c>
      <c r="C1407" s="114">
        <v>38</v>
      </c>
      <c r="D1407" s="114">
        <v>102</v>
      </c>
      <c r="E1407" s="154" cm="1">
        <f t="array" ref="E1407">IF(ISBLANK(MainData[[#This Row],[EventID]]),0,IFERROR(INDEX(MainData[],MATCH(MainData[[#This Row],[EventID]],IF(MainData[Product]="Date",MainData[EventID],0),0),12),0))</f>
        <v>44615</v>
      </c>
      <c r="F1407" s="155" cm="1">
        <f t="array" ref="F1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7" s="155" cm="1">
        <f t="array" ref="G1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7" s="2" t="str" cm="1">
        <f t="array" ref="H1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7" s="20" t="s">
        <v>85</v>
      </c>
      <c r="J1407" t="s">
        <v>20</v>
      </c>
      <c r="K1407" s="2" t="s">
        <v>29</v>
      </c>
      <c r="L1407" s="2" t="s">
        <v>25</v>
      </c>
      <c r="M1407" s="2" t="s">
        <v>12</v>
      </c>
      <c r="N1407" s="2" t="s">
        <v>234</v>
      </c>
      <c r="O1407" s="109">
        <v>1</v>
      </c>
      <c r="P1407" s="109">
        <v>181.57</v>
      </c>
      <c r="Q1407" s="109">
        <v>465</v>
      </c>
    </row>
    <row r="1408" spans="2:17" x14ac:dyDescent="0.25">
      <c r="B1408" s="114">
        <v>14</v>
      </c>
      <c r="C1408" s="114">
        <v>39</v>
      </c>
      <c r="D1408" s="114">
        <v>103</v>
      </c>
      <c r="E1408" s="154" cm="1">
        <f t="array" ref="E1408">IF(ISBLANK(MainData[[#This Row],[EventID]]),0,IFERROR(INDEX(MainData[],MATCH(MainData[[#This Row],[EventID]],IF(MainData[Product]="Date",MainData[EventID],0),0),12),0))</f>
        <v>44615</v>
      </c>
      <c r="F1408" s="155" cm="1">
        <f t="array" ref="F1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8" s="155" cm="1">
        <f t="array" ref="G1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8" s="2" t="str" cm="1">
        <f t="array" ref="H1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8" s="157" t="s">
        <v>84</v>
      </c>
      <c r="J1408" t="s">
        <v>187</v>
      </c>
      <c r="K1408" s="2" t="s">
        <v>157</v>
      </c>
      <c r="L1408" s="2" t="s">
        <v>81</v>
      </c>
      <c r="M1408" s="2">
        <v>1</v>
      </c>
      <c r="N1408" s="2"/>
      <c r="O1408" s="109"/>
      <c r="P1408" s="109"/>
      <c r="Q1408" s="109"/>
    </row>
    <row r="1409" spans="2:17" x14ac:dyDescent="0.25">
      <c r="B1409" s="114">
        <v>14</v>
      </c>
      <c r="C1409" s="114">
        <v>39</v>
      </c>
      <c r="D1409" s="114">
        <v>103</v>
      </c>
      <c r="E1409" s="154" cm="1">
        <f t="array" ref="E1409">IF(ISBLANK(MainData[[#This Row],[EventID]]),0,IFERROR(INDEX(MainData[],MATCH(MainData[[#This Row],[EventID]],IF(MainData[Product]="Date",MainData[EventID],0),0),12),0))</f>
        <v>44615</v>
      </c>
      <c r="F1409" s="155" cm="1">
        <f t="array" ref="F1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9" s="155" cm="1">
        <f t="array" ref="G1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9" s="2" t="str" cm="1">
        <f t="array" ref="H1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9" s="157" t="s">
        <v>84</v>
      </c>
      <c r="J1409" t="s">
        <v>187</v>
      </c>
      <c r="K1409" s="2" t="s">
        <v>157</v>
      </c>
      <c r="L1409" s="2" t="s">
        <v>0</v>
      </c>
      <c r="M1409" s="158">
        <v>44615</v>
      </c>
      <c r="N1409" s="2"/>
      <c r="O1409" s="109"/>
      <c r="P1409" s="109"/>
      <c r="Q1409" s="109"/>
    </row>
    <row r="1410" spans="2:17" x14ac:dyDescent="0.25">
      <c r="B1410" s="114">
        <v>14</v>
      </c>
      <c r="C1410" s="114">
        <v>39</v>
      </c>
      <c r="D1410" s="114">
        <v>103</v>
      </c>
      <c r="E1410" s="154" cm="1">
        <f t="array" ref="E1410">IF(ISBLANK(MainData[[#This Row],[EventID]]),0,IFERROR(INDEX(MainData[],MATCH(MainData[[#This Row],[EventID]],IF(MainData[Product]="Date",MainData[EventID],0),0),12),0))</f>
        <v>44615</v>
      </c>
      <c r="F1410" s="155" cm="1">
        <f t="array" ref="F1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0" s="155" cm="1">
        <f t="array" ref="G1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0" s="2" t="str" cm="1">
        <f t="array" ref="H1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0" s="157" t="s">
        <v>84</v>
      </c>
      <c r="J1410" t="s">
        <v>187</v>
      </c>
      <c r="K1410" s="2" t="s">
        <v>157</v>
      </c>
      <c r="L1410" s="2" t="s">
        <v>82</v>
      </c>
      <c r="M1410" s="2">
        <v>659326</v>
      </c>
      <c r="N1410" s="2"/>
      <c r="O1410" s="109"/>
      <c r="P1410" s="109"/>
      <c r="Q1410" s="109"/>
    </row>
    <row r="1411" spans="2:17" x14ac:dyDescent="0.25">
      <c r="B1411" s="114">
        <v>14</v>
      </c>
      <c r="C1411" s="114">
        <v>39</v>
      </c>
      <c r="D1411" s="114">
        <v>103</v>
      </c>
      <c r="E1411" s="154" cm="1">
        <f t="array" ref="E1411">IF(ISBLANK(MainData[[#This Row],[EventID]]),0,IFERROR(INDEX(MainData[],MATCH(MainData[[#This Row],[EventID]],IF(MainData[Product]="Date",MainData[EventID],0),0),12),0))</f>
        <v>44615</v>
      </c>
      <c r="F1411" s="155" cm="1">
        <f t="array" ref="F1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1" s="155" cm="1">
        <f t="array" ref="G1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1" s="2" t="str" cm="1">
        <f t="array" ref="H1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1" s="157" t="s">
        <v>84</v>
      </c>
      <c r="J1411" t="s">
        <v>187</v>
      </c>
      <c r="K1411" s="2" t="s">
        <v>157</v>
      </c>
      <c r="L1411" s="2" t="s">
        <v>175</v>
      </c>
      <c r="M1411" s="2" t="s">
        <v>457</v>
      </c>
      <c r="N1411" s="2"/>
      <c r="O1411" s="109"/>
      <c r="P1411" s="109"/>
      <c r="Q1411" s="109"/>
    </row>
    <row r="1412" spans="2:17" x14ac:dyDescent="0.25">
      <c r="B1412" s="114">
        <v>14</v>
      </c>
      <c r="C1412" s="114">
        <v>39</v>
      </c>
      <c r="D1412" s="114">
        <v>103</v>
      </c>
      <c r="E1412" s="154" cm="1">
        <f t="array" ref="E1412">IF(ISBLANK(MainData[[#This Row],[EventID]]),0,IFERROR(INDEX(MainData[],MATCH(MainData[[#This Row],[EventID]],IF(MainData[Product]="Date",MainData[EventID],0),0),12),0))</f>
        <v>44615</v>
      </c>
      <c r="F1412" s="155" cm="1">
        <f t="array" ref="F1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2" s="155" cm="1">
        <f t="array" ref="G1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2" s="2" t="str" cm="1">
        <f t="array" ref="H1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2" s="157" t="s">
        <v>84</v>
      </c>
      <c r="J1412" t="s">
        <v>187</v>
      </c>
      <c r="K1412" s="2" t="s">
        <v>157</v>
      </c>
      <c r="L1412" s="2" t="s">
        <v>138</v>
      </c>
      <c r="M1412" s="2">
        <v>20</v>
      </c>
      <c r="N1412" s="2"/>
      <c r="O1412" s="109"/>
      <c r="P1412" s="109"/>
      <c r="Q1412" s="109"/>
    </row>
    <row r="1413" spans="2:17" x14ac:dyDescent="0.25">
      <c r="B1413" s="114">
        <v>14</v>
      </c>
      <c r="C1413" s="114">
        <v>39</v>
      </c>
      <c r="D1413" s="114">
        <v>103</v>
      </c>
      <c r="E1413" s="154" cm="1">
        <f t="array" ref="E1413">IF(ISBLANK(MainData[[#This Row],[EventID]]),0,IFERROR(INDEX(MainData[],MATCH(MainData[[#This Row],[EventID]],IF(MainData[Product]="Date",MainData[EventID],0),0),12),0))</f>
        <v>44615</v>
      </c>
      <c r="F1413" s="155" cm="1">
        <f t="array" ref="F1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3" s="155" cm="1">
        <f t="array" ref="G1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3" s="2" t="str" cm="1">
        <f t="array" ref="H1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3" s="157" t="s">
        <v>84</v>
      </c>
      <c r="J1413" t="s">
        <v>187</v>
      </c>
      <c r="K1413" s="2" t="s">
        <v>157</v>
      </c>
      <c r="L1413" s="2" t="s">
        <v>86</v>
      </c>
      <c r="M1413" s="2">
        <v>2</v>
      </c>
      <c r="N1413" s="2"/>
      <c r="O1413" s="109"/>
      <c r="P1413" s="109"/>
      <c r="Q1413" s="109"/>
    </row>
    <row r="1414" spans="2:17" x14ac:dyDescent="0.25">
      <c r="B1414" s="114">
        <v>14</v>
      </c>
      <c r="C1414" s="114">
        <v>39</v>
      </c>
      <c r="D1414" s="114">
        <v>103</v>
      </c>
      <c r="E1414" s="154" cm="1">
        <f t="array" ref="E1414">IF(ISBLANK(MainData[[#This Row],[EventID]]),0,IFERROR(INDEX(MainData[],MATCH(MainData[[#This Row],[EventID]],IF(MainData[Product]="Date",MainData[EventID],0),0),12),0))</f>
        <v>44615</v>
      </c>
      <c r="F1414" s="155" cm="1">
        <f t="array" ref="F1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4" s="155" cm="1">
        <f t="array" ref="G1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4" s="2" t="str" cm="1">
        <f t="array" ref="H1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4" s="157" t="s">
        <v>84</v>
      </c>
      <c r="J1414" t="s">
        <v>187</v>
      </c>
      <c r="K1414" s="2" t="s">
        <v>157</v>
      </c>
      <c r="L1414" s="2" t="s">
        <v>118</v>
      </c>
      <c r="M1414" s="2" t="s">
        <v>464</v>
      </c>
      <c r="N1414" s="2"/>
      <c r="O1414" s="109"/>
      <c r="P1414" s="109"/>
      <c r="Q1414" s="109"/>
    </row>
    <row r="1415" spans="2:17" x14ac:dyDescent="0.25">
      <c r="B1415" s="114">
        <v>14</v>
      </c>
      <c r="C1415" s="114">
        <v>39</v>
      </c>
      <c r="D1415" s="114">
        <v>103</v>
      </c>
      <c r="E1415" s="154" cm="1">
        <f t="array" ref="E1415">IF(ISBLANK(MainData[[#This Row],[EventID]]),0,IFERROR(INDEX(MainData[],MATCH(MainData[[#This Row],[EventID]],IF(MainData[Product]="Date",MainData[EventID],0),0),12),0))</f>
        <v>44615</v>
      </c>
      <c r="F1415" s="155" cm="1">
        <f t="array" ref="F1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5" s="155" cm="1">
        <f t="array" ref="G1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5" s="2" t="str" cm="1">
        <f t="array" ref="H1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5" s="20" t="s">
        <v>85</v>
      </c>
      <c r="J1415" t="s">
        <v>20</v>
      </c>
      <c r="K1415" s="2" t="s">
        <v>116</v>
      </c>
      <c r="L1415" s="2" t="s">
        <v>88</v>
      </c>
      <c r="M1415" s="2" t="s">
        <v>189</v>
      </c>
      <c r="N1415" s="2" t="s">
        <v>233</v>
      </c>
      <c r="O1415" s="109">
        <v>1</v>
      </c>
      <c r="P1415" s="109"/>
      <c r="Q1415" s="109"/>
    </row>
    <row r="1416" spans="2:17" x14ac:dyDescent="0.25">
      <c r="B1416" s="114">
        <v>14</v>
      </c>
      <c r="C1416" s="114">
        <v>39</v>
      </c>
      <c r="D1416" s="114">
        <v>103</v>
      </c>
      <c r="E1416" s="154" cm="1">
        <f t="array" ref="E1416">IF(ISBLANK(MainData[[#This Row],[EventID]]),0,IFERROR(INDEX(MainData[],MATCH(MainData[[#This Row],[EventID]],IF(MainData[Product]="Date",MainData[EventID],0),0),12),0))</f>
        <v>44615</v>
      </c>
      <c r="F1416" s="155" cm="1">
        <f t="array" ref="F1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6" s="155" cm="1">
        <f t="array" ref="G1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6" s="2" t="str" cm="1">
        <f t="array" ref="H1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6" s="20" t="s">
        <v>85</v>
      </c>
      <c r="J1416" t="s">
        <v>20</v>
      </c>
      <c r="K1416" s="2" t="s">
        <v>116</v>
      </c>
      <c r="L1416" s="2" t="s">
        <v>87</v>
      </c>
      <c r="M1416" s="2" t="s">
        <v>188</v>
      </c>
      <c r="N1416" s="2" t="s">
        <v>233</v>
      </c>
      <c r="O1416" s="109">
        <v>1</v>
      </c>
      <c r="P1416" s="109"/>
      <c r="Q1416" s="109">
        <v>100</v>
      </c>
    </row>
    <row r="1417" spans="2:17" x14ac:dyDescent="0.25">
      <c r="B1417" s="114">
        <v>14</v>
      </c>
      <c r="C1417" s="114">
        <v>39</v>
      </c>
      <c r="D1417" s="114">
        <v>103</v>
      </c>
      <c r="E1417" s="154" cm="1">
        <f t="array" ref="E1417">IF(ISBLANK(MainData[[#This Row],[EventID]]),0,IFERROR(INDEX(MainData[],MATCH(MainData[[#This Row],[EventID]],IF(MainData[Product]="Date",MainData[EventID],0),0),12),0))</f>
        <v>44615</v>
      </c>
      <c r="F1417" s="155" cm="1">
        <f t="array" ref="F1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7" s="155" cm="1">
        <f t="array" ref="G1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7" s="2" t="str" cm="1">
        <f t="array" ref="H1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7" s="157" t="s">
        <v>85</v>
      </c>
      <c r="J1417" t="s">
        <v>20</v>
      </c>
      <c r="K1417" s="2" t="s">
        <v>29</v>
      </c>
      <c r="L1417" s="2" t="s">
        <v>35</v>
      </c>
      <c r="M1417" s="2" t="s">
        <v>382</v>
      </c>
      <c r="N1417" s="2" t="s">
        <v>234</v>
      </c>
      <c r="O1417" s="109">
        <v>1</v>
      </c>
      <c r="P1417" s="109">
        <v>6</v>
      </c>
      <c r="Q1417" s="109">
        <v>60</v>
      </c>
    </row>
    <row r="1418" spans="2:17" x14ac:dyDescent="0.25">
      <c r="B1418" s="114">
        <v>14</v>
      </c>
      <c r="C1418" s="114">
        <v>39</v>
      </c>
      <c r="D1418" s="114">
        <v>103</v>
      </c>
      <c r="E1418" s="154" cm="1">
        <f t="array" ref="E1418">IF(ISBLANK(MainData[[#This Row],[EventID]]),0,IFERROR(INDEX(MainData[],MATCH(MainData[[#This Row],[EventID]],IF(MainData[Product]="Date",MainData[EventID],0),0),12),0))</f>
        <v>44615</v>
      </c>
      <c r="F1418" s="155" cm="1">
        <f t="array" ref="F1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8" s="155" cm="1">
        <f t="array" ref="G1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8" s="2" t="str" cm="1">
        <f t="array" ref="H1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8" s="157" t="s">
        <v>85</v>
      </c>
      <c r="J1418" t="s">
        <v>20</v>
      </c>
      <c r="K1418" s="2" t="s">
        <v>29</v>
      </c>
      <c r="L1418" s="2" t="s">
        <v>65</v>
      </c>
      <c r="M1418" s="2" t="s">
        <v>383</v>
      </c>
      <c r="N1418" s="2" t="s">
        <v>234</v>
      </c>
      <c r="O1418" s="109">
        <v>1</v>
      </c>
      <c r="P1418" s="109">
        <v>1</v>
      </c>
      <c r="Q1418" s="109">
        <v>20</v>
      </c>
    </row>
    <row r="1419" spans="2:17" x14ac:dyDescent="0.25">
      <c r="B1419" s="114">
        <v>14</v>
      </c>
      <c r="C1419" s="114">
        <v>39</v>
      </c>
      <c r="D1419" s="114">
        <v>103</v>
      </c>
      <c r="E1419" s="154" cm="1">
        <f t="array" ref="E1419">IF(ISBLANK(MainData[[#This Row],[EventID]]),0,IFERROR(INDEX(MainData[],MATCH(MainData[[#This Row],[EventID]],IF(MainData[Product]="Date",MainData[EventID],0),0),12),0))</f>
        <v>44615</v>
      </c>
      <c r="F1419" s="155" cm="1">
        <f t="array" ref="F1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9" s="155" cm="1">
        <f t="array" ref="G1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9" s="2" t="str" cm="1">
        <f t="array" ref="H1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9" s="20" t="s">
        <v>85</v>
      </c>
      <c r="J1419" t="s">
        <v>20</v>
      </c>
      <c r="K1419" s="2" t="s">
        <v>29</v>
      </c>
      <c r="L1419" s="2" t="s">
        <v>25</v>
      </c>
      <c r="M1419" s="2" t="s">
        <v>12</v>
      </c>
      <c r="N1419" s="2" t="s">
        <v>234</v>
      </c>
      <c r="O1419" s="109">
        <v>1</v>
      </c>
      <c r="P1419" s="109">
        <v>5.5</v>
      </c>
      <c r="Q1419" s="109">
        <v>40</v>
      </c>
    </row>
    <row r="1420" spans="2:17" x14ac:dyDescent="0.25">
      <c r="B1420" s="114">
        <v>14</v>
      </c>
      <c r="C1420" s="114">
        <v>36</v>
      </c>
      <c r="D1420" s="114">
        <v>106</v>
      </c>
      <c r="E1420" s="154" cm="1">
        <f t="array" ref="E1420">IF(ISBLANK(MainData[[#This Row],[EventID]]),0,IFERROR(INDEX(MainData[],MATCH(MainData[[#This Row],[EventID]],IF(MainData[Product]="Date",MainData[EventID],0),0),12),0))</f>
        <v>44616</v>
      </c>
      <c r="F1420" s="155" cm="1">
        <f t="array" ref="F1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0" s="155" cm="1">
        <f t="array" ref="G1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0" s="2" t="str" cm="1">
        <f t="array" ref="H1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0" s="157" t="s">
        <v>84</v>
      </c>
      <c r="J1420" t="s">
        <v>187</v>
      </c>
      <c r="K1420" s="2" t="s">
        <v>157</v>
      </c>
      <c r="L1420" s="2" t="s">
        <v>81</v>
      </c>
      <c r="M1420" s="2">
        <v>1</v>
      </c>
      <c r="N1420" s="2"/>
      <c r="O1420" s="109"/>
      <c r="P1420" s="109"/>
      <c r="Q1420" s="109"/>
    </row>
    <row r="1421" spans="2:17" x14ac:dyDescent="0.25">
      <c r="B1421" s="114">
        <v>14</v>
      </c>
      <c r="C1421" s="114">
        <v>36</v>
      </c>
      <c r="D1421" s="114">
        <v>106</v>
      </c>
      <c r="E1421" s="154" cm="1">
        <f t="array" ref="E1421">IF(ISBLANK(MainData[[#This Row],[EventID]]),0,IFERROR(INDEX(MainData[],MATCH(MainData[[#This Row],[EventID]],IF(MainData[Product]="Date",MainData[EventID],0),0),12),0))</f>
        <v>44616</v>
      </c>
      <c r="F1421" s="155" cm="1">
        <f t="array" ref="F1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1" s="155" cm="1">
        <f t="array" ref="G1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1" s="2" t="str" cm="1">
        <f t="array" ref="H1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1" s="157" t="s">
        <v>84</v>
      </c>
      <c r="J1421" t="s">
        <v>187</v>
      </c>
      <c r="K1421" s="2" t="s">
        <v>157</v>
      </c>
      <c r="L1421" s="2" t="s">
        <v>0</v>
      </c>
      <c r="M1421" s="158">
        <v>44616</v>
      </c>
      <c r="N1421" s="2"/>
      <c r="O1421" s="109"/>
      <c r="P1421" s="109"/>
      <c r="Q1421" s="109"/>
    </row>
    <row r="1422" spans="2:17" x14ac:dyDescent="0.25">
      <c r="B1422" s="114">
        <v>14</v>
      </c>
      <c r="C1422" s="114">
        <v>36</v>
      </c>
      <c r="D1422" s="114">
        <v>106</v>
      </c>
      <c r="E1422" s="154" cm="1">
        <f t="array" ref="E1422">IF(ISBLANK(MainData[[#This Row],[EventID]]),0,IFERROR(INDEX(MainData[],MATCH(MainData[[#This Row],[EventID]],IF(MainData[Product]="Date",MainData[EventID],0),0),12),0))</f>
        <v>44616</v>
      </c>
      <c r="F1422" s="155" cm="1">
        <f t="array" ref="F1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2" s="155" cm="1">
        <f t="array" ref="G1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2" s="2" t="str" cm="1">
        <f t="array" ref="H1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2" s="157" t="s">
        <v>84</v>
      </c>
      <c r="J1422" t="s">
        <v>187</v>
      </c>
      <c r="K1422" s="2" t="s">
        <v>157</v>
      </c>
      <c r="L1422" s="2" t="s">
        <v>82</v>
      </c>
      <c r="M1422" s="2">
        <v>244230</v>
      </c>
      <c r="N1422" s="2"/>
      <c r="O1422" s="109"/>
      <c r="P1422" s="109"/>
      <c r="Q1422" s="109"/>
    </row>
    <row r="1423" spans="2:17" x14ac:dyDescent="0.25">
      <c r="B1423" s="114">
        <v>14</v>
      </c>
      <c r="C1423" s="114">
        <v>36</v>
      </c>
      <c r="D1423" s="114">
        <v>106</v>
      </c>
      <c r="E1423" s="154" cm="1">
        <f t="array" ref="E1423">IF(ISBLANK(MainData[[#This Row],[EventID]]),0,IFERROR(INDEX(MainData[],MATCH(MainData[[#This Row],[EventID]],IF(MainData[Product]="Date",MainData[EventID],0),0),12),0))</f>
        <v>44616</v>
      </c>
      <c r="F1423" s="155" cm="1">
        <f t="array" ref="F1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3" s="155" cm="1">
        <f t="array" ref="G1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3" s="2" t="str" cm="1">
        <f t="array" ref="H1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3" s="157" t="s">
        <v>84</v>
      </c>
      <c r="J1423" t="s">
        <v>187</v>
      </c>
      <c r="K1423" s="2" t="s">
        <v>157</v>
      </c>
      <c r="L1423" s="2" t="s">
        <v>175</v>
      </c>
      <c r="M1423" s="2" t="s">
        <v>457</v>
      </c>
      <c r="N1423" s="2"/>
      <c r="O1423" s="109"/>
      <c r="P1423" s="109"/>
      <c r="Q1423" s="109"/>
    </row>
    <row r="1424" spans="2:17" x14ac:dyDescent="0.25">
      <c r="B1424" s="114">
        <v>14</v>
      </c>
      <c r="C1424" s="114">
        <v>36</v>
      </c>
      <c r="D1424" s="114">
        <v>106</v>
      </c>
      <c r="E1424" s="154" cm="1">
        <f t="array" ref="E1424">IF(ISBLANK(MainData[[#This Row],[EventID]]),0,IFERROR(INDEX(MainData[],MATCH(MainData[[#This Row],[EventID]],IF(MainData[Product]="Date",MainData[EventID],0),0),12),0))</f>
        <v>44616</v>
      </c>
      <c r="F1424" s="155" cm="1">
        <f t="array" ref="F1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4" s="155" cm="1">
        <f t="array" ref="G1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4" s="2" t="str" cm="1">
        <f t="array" ref="H1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4" s="157" t="s">
        <v>84</v>
      </c>
      <c r="J1424" t="s">
        <v>187</v>
      </c>
      <c r="K1424" s="2" t="s">
        <v>157</v>
      </c>
      <c r="L1424" s="2" t="s">
        <v>138</v>
      </c>
      <c r="M1424" s="2">
        <v>45</v>
      </c>
      <c r="N1424" s="2"/>
      <c r="O1424" s="109"/>
      <c r="P1424" s="109"/>
      <c r="Q1424" s="109"/>
    </row>
    <row r="1425" spans="2:17" x14ac:dyDescent="0.25">
      <c r="B1425" s="114">
        <v>14</v>
      </c>
      <c r="C1425" s="114">
        <v>36</v>
      </c>
      <c r="D1425" s="114">
        <v>106</v>
      </c>
      <c r="E1425" s="154" cm="1">
        <f t="array" ref="E1425">IF(ISBLANK(MainData[[#This Row],[EventID]]),0,IFERROR(INDEX(MainData[],MATCH(MainData[[#This Row],[EventID]],IF(MainData[Product]="Date",MainData[EventID],0),0),12),0))</f>
        <v>44616</v>
      </c>
      <c r="F1425" s="155" cm="1">
        <f t="array" ref="F1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5" s="155" cm="1">
        <f t="array" ref="G1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5" s="2" t="str" cm="1">
        <f t="array" ref="H1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5" s="157" t="s">
        <v>84</v>
      </c>
      <c r="J1425" t="s">
        <v>187</v>
      </c>
      <c r="K1425" s="2" t="s">
        <v>157</v>
      </c>
      <c r="L1425" s="2" t="s">
        <v>86</v>
      </c>
      <c r="M1425" s="2">
        <v>2</v>
      </c>
      <c r="N1425" s="2"/>
      <c r="O1425" s="109"/>
      <c r="P1425" s="109"/>
      <c r="Q1425" s="109"/>
    </row>
    <row r="1426" spans="2:17" x14ac:dyDescent="0.25">
      <c r="B1426" s="114">
        <v>14</v>
      </c>
      <c r="C1426" s="114">
        <v>36</v>
      </c>
      <c r="D1426" s="114">
        <v>106</v>
      </c>
      <c r="E1426" s="154" cm="1">
        <f t="array" ref="E1426">IF(ISBLANK(MainData[[#This Row],[EventID]]),0,IFERROR(INDEX(MainData[],MATCH(MainData[[#This Row],[EventID]],IF(MainData[Product]="Date",MainData[EventID],0),0),12),0))</f>
        <v>44616</v>
      </c>
      <c r="F1426" s="155" cm="1">
        <f t="array" ref="F1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6" s="155" cm="1">
        <f t="array" ref="G1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6" s="2" t="str" cm="1">
        <f t="array" ref="H1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6" s="157" t="s">
        <v>84</v>
      </c>
      <c r="J1426" t="s">
        <v>187</v>
      </c>
      <c r="K1426" s="2" t="s">
        <v>157</v>
      </c>
      <c r="L1426" s="2" t="s">
        <v>118</v>
      </c>
      <c r="M1426" s="2" t="s">
        <v>489</v>
      </c>
      <c r="N1426" s="2"/>
      <c r="O1426" s="109"/>
      <c r="P1426" s="109"/>
      <c r="Q1426" s="109"/>
    </row>
    <row r="1427" spans="2:17" x14ac:dyDescent="0.25">
      <c r="B1427" s="114">
        <v>14</v>
      </c>
      <c r="C1427" s="114">
        <v>36</v>
      </c>
      <c r="D1427" s="114">
        <v>106</v>
      </c>
      <c r="E1427" s="154" cm="1">
        <f t="array" ref="E1427">IF(ISBLANK(MainData[[#This Row],[EventID]]),0,IFERROR(INDEX(MainData[],MATCH(MainData[[#This Row],[EventID]],IF(MainData[Product]="Date",MainData[EventID],0),0),12),0))</f>
        <v>44616</v>
      </c>
      <c r="F1427" s="155" cm="1">
        <f t="array" ref="F1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7" s="155" cm="1">
        <f t="array" ref="G1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7" s="2" t="str" cm="1">
        <f t="array" ref="H1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7" s="20" t="s">
        <v>85</v>
      </c>
      <c r="J1427" t="s">
        <v>20</v>
      </c>
      <c r="K1427" s="2" t="s">
        <v>116</v>
      </c>
      <c r="L1427" s="2" t="s">
        <v>88</v>
      </c>
      <c r="M1427" s="2" t="s">
        <v>189</v>
      </c>
      <c r="N1427" s="2" t="s">
        <v>233</v>
      </c>
      <c r="O1427" s="109">
        <v>1</v>
      </c>
      <c r="P1427" s="109"/>
      <c r="Q1427" s="109"/>
    </row>
    <row r="1428" spans="2:17" x14ac:dyDescent="0.25">
      <c r="B1428" s="114">
        <v>14</v>
      </c>
      <c r="C1428" s="114">
        <v>36</v>
      </c>
      <c r="D1428" s="114">
        <v>106</v>
      </c>
      <c r="E1428" s="154" cm="1">
        <f t="array" ref="E1428">IF(ISBLANK(MainData[[#This Row],[EventID]]),0,IFERROR(INDEX(MainData[],MATCH(MainData[[#This Row],[EventID]],IF(MainData[Product]="Date",MainData[EventID],0),0),12),0))</f>
        <v>44616</v>
      </c>
      <c r="F1428" s="155" cm="1">
        <f t="array" ref="F1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8" s="155" cm="1">
        <f t="array" ref="G1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8" s="2" t="str" cm="1">
        <f t="array" ref="H1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8" s="20" t="s">
        <v>85</v>
      </c>
      <c r="J1428" t="s">
        <v>20</v>
      </c>
      <c r="K1428" s="2" t="s">
        <v>116</v>
      </c>
      <c r="L1428" s="2" t="s">
        <v>87</v>
      </c>
      <c r="M1428" s="2" t="s">
        <v>188</v>
      </c>
      <c r="N1428" s="2" t="s">
        <v>233</v>
      </c>
      <c r="O1428" s="109">
        <v>1</v>
      </c>
      <c r="P1428" s="109"/>
      <c r="Q1428" s="109">
        <v>100</v>
      </c>
    </row>
    <row r="1429" spans="2:17" x14ac:dyDescent="0.25">
      <c r="B1429" s="114">
        <v>14</v>
      </c>
      <c r="C1429" s="114">
        <v>36</v>
      </c>
      <c r="D1429" s="114">
        <v>106</v>
      </c>
      <c r="E1429" s="154" cm="1">
        <f t="array" ref="E1429">IF(ISBLANK(MainData[[#This Row],[EventID]]),0,IFERROR(INDEX(MainData[],MATCH(MainData[[#This Row],[EventID]],IF(MainData[Product]="Date",MainData[EventID],0),0),12),0))</f>
        <v>44616</v>
      </c>
      <c r="F1429" s="155" cm="1">
        <f t="array" ref="F1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9" s="155" cm="1">
        <f t="array" ref="G1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9" s="2" t="str" cm="1">
        <f t="array" ref="H1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9" s="157" t="s">
        <v>85</v>
      </c>
      <c r="J1429" t="s">
        <v>20</v>
      </c>
      <c r="K1429" s="2" t="s">
        <v>29</v>
      </c>
      <c r="L1429" s="2" t="s">
        <v>35</v>
      </c>
      <c r="M1429" s="2" t="s">
        <v>382</v>
      </c>
      <c r="N1429" s="2" t="s">
        <v>234</v>
      </c>
      <c r="O1429" s="109">
        <v>1</v>
      </c>
      <c r="P1429" s="109">
        <v>4</v>
      </c>
      <c r="Q1429" s="109">
        <v>39</v>
      </c>
    </row>
    <row r="1430" spans="2:17" x14ac:dyDescent="0.25">
      <c r="B1430" s="114">
        <v>14</v>
      </c>
      <c r="C1430" s="114">
        <v>36</v>
      </c>
      <c r="D1430" s="114">
        <v>106</v>
      </c>
      <c r="E1430" s="154" cm="1">
        <f t="array" ref="E1430">IF(ISBLANK(MainData[[#This Row],[EventID]]),0,IFERROR(INDEX(MainData[],MATCH(MainData[[#This Row],[EventID]],IF(MainData[Product]="Date",MainData[EventID],0),0),12),0))</f>
        <v>44616</v>
      </c>
      <c r="F1430" s="155" cm="1">
        <f t="array" ref="F1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30" s="155" cm="1">
        <f t="array" ref="G1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0" s="2" t="str" cm="1">
        <f t="array" ref="H1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0" s="157" t="s">
        <v>85</v>
      </c>
      <c r="J1430" t="s">
        <v>20</v>
      </c>
      <c r="K1430" s="2" t="s">
        <v>29</v>
      </c>
      <c r="L1430" s="2" t="s">
        <v>65</v>
      </c>
      <c r="M1430" s="2" t="s">
        <v>383</v>
      </c>
      <c r="N1430" s="2" t="s">
        <v>234</v>
      </c>
      <c r="O1430" s="109">
        <v>1</v>
      </c>
      <c r="P1430" s="109">
        <v>2</v>
      </c>
      <c r="Q1430" s="109">
        <v>39</v>
      </c>
    </row>
    <row r="1431" spans="2:17" x14ac:dyDescent="0.25">
      <c r="B1431" s="114">
        <v>14</v>
      </c>
      <c r="C1431" s="114">
        <v>36</v>
      </c>
      <c r="D1431" s="114">
        <v>106</v>
      </c>
      <c r="E1431" s="154" cm="1">
        <f t="array" ref="E1431">IF(ISBLANK(MainData[[#This Row],[EventID]]),0,IFERROR(INDEX(MainData[],MATCH(MainData[[#This Row],[EventID]],IF(MainData[Product]="Date",MainData[EventID],0),0),12),0))</f>
        <v>44616</v>
      </c>
      <c r="F1431" s="155" cm="1">
        <f t="array" ref="F1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31" s="155" cm="1">
        <f t="array" ref="G1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1" s="2" t="str" cm="1">
        <f t="array" ref="H1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1" s="20" t="s">
        <v>85</v>
      </c>
      <c r="J1431" t="s">
        <v>20</v>
      </c>
      <c r="K1431" s="2" t="s">
        <v>29</v>
      </c>
      <c r="L1431" s="2" t="s">
        <v>25</v>
      </c>
      <c r="M1431" s="2" t="s">
        <v>12</v>
      </c>
      <c r="N1431" s="2" t="s">
        <v>234</v>
      </c>
      <c r="O1431" s="109">
        <v>1</v>
      </c>
      <c r="P1431" s="109">
        <v>66.489999999999995</v>
      </c>
      <c r="Q1431" s="109">
        <v>261</v>
      </c>
    </row>
    <row r="1432" spans="2:17" x14ac:dyDescent="0.25">
      <c r="B1432" s="114">
        <v>14</v>
      </c>
      <c r="C1432" s="114">
        <v>40</v>
      </c>
      <c r="D1432" s="114">
        <v>107</v>
      </c>
      <c r="E1432" s="154" cm="1">
        <f t="array" ref="E1432">IF(ISBLANK(MainData[[#This Row],[EventID]]),0,IFERROR(INDEX(MainData[],MATCH(MainData[[#This Row],[EventID]],IF(MainData[Product]="Date",MainData[EventID],0),0),12),0))</f>
        <v>44616</v>
      </c>
      <c r="F1432" s="155" cm="1">
        <f t="array" ref="F1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2" s="155" cm="1">
        <f t="array" ref="G1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2" s="2" t="str" cm="1">
        <f t="array" ref="H1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2" s="157" t="s">
        <v>84</v>
      </c>
      <c r="J1432" t="s">
        <v>187</v>
      </c>
      <c r="K1432" s="2" t="s">
        <v>157</v>
      </c>
      <c r="L1432" s="2" t="s">
        <v>81</v>
      </c>
      <c r="M1432" s="2">
        <v>1</v>
      </c>
      <c r="N1432" s="2"/>
      <c r="O1432" s="109"/>
      <c r="P1432" s="109"/>
      <c r="Q1432" s="109"/>
    </row>
    <row r="1433" spans="2:17" x14ac:dyDescent="0.25">
      <c r="B1433" s="114">
        <v>14</v>
      </c>
      <c r="C1433" s="114">
        <v>40</v>
      </c>
      <c r="D1433" s="114">
        <v>107</v>
      </c>
      <c r="E1433" s="154" cm="1">
        <f t="array" ref="E1433">IF(ISBLANK(MainData[[#This Row],[EventID]]),0,IFERROR(INDEX(MainData[],MATCH(MainData[[#This Row],[EventID]],IF(MainData[Product]="Date",MainData[EventID],0),0),12),0))</f>
        <v>44616</v>
      </c>
      <c r="F1433" s="155" cm="1">
        <f t="array" ref="F1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3" s="155" cm="1">
        <f t="array" ref="G1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3" s="2" t="str" cm="1">
        <f t="array" ref="H1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3" s="157" t="s">
        <v>84</v>
      </c>
      <c r="J1433" t="s">
        <v>187</v>
      </c>
      <c r="K1433" s="2" t="s">
        <v>157</v>
      </c>
      <c r="L1433" s="2" t="s">
        <v>0</v>
      </c>
      <c r="M1433" s="158">
        <v>44616</v>
      </c>
      <c r="N1433" s="2"/>
      <c r="O1433" s="109"/>
      <c r="P1433" s="109"/>
      <c r="Q1433" s="109"/>
    </row>
    <row r="1434" spans="2:17" x14ac:dyDescent="0.25">
      <c r="B1434" s="114">
        <v>14</v>
      </c>
      <c r="C1434" s="114">
        <v>40</v>
      </c>
      <c r="D1434" s="114">
        <v>107</v>
      </c>
      <c r="E1434" s="154" cm="1">
        <f t="array" ref="E1434">IF(ISBLANK(MainData[[#This Row],[EventID]]),0,IFERROR(INDEX(MainData[],MATCH(MainData[[#This Row],[EventID]],IF(MainData[Product]="Date",MainData[EventID],0),0),12),0))</f>
        <v>44616</v>
      </c>
      <c r="F1434" s="155" cm="1">
        <f t="array" ref="F1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4" s="155" cm="1">
        <f t="array" ref="G1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4" s="2" t="str" cm="1">
        <f t="array" ref="H1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4" s="157" t="s">
        <v>84</v>
      </c>
      <c r="J1434" t="s">
        <v>187</v>
      </c>
      <c r="K1434" s="2" t="s">
        <v>157</v>
      </c>
      <c r="L1434" s="2" t="s">
        <v>82</v>
      </c>
      <c r="M1434" s="2">
        <v>659783</v>
      </c>
      <c r="N1434" s="2"/>
      <c r="O1434" s="109"/>
      <c r="P1434" s="109"/>
      <c r="Q1434" s="109"/>
    </row>
    <row r="1435" spans="2:17" x14ac:dyDescent="0.25">
      <c r="B1435" s="114">
        <v>14</v>
      </c>
      <c r="C1435" s="114">
        <v>40</v>
      </c>
      <c r="D1435" s="114">
        <v>107</v>
      </c>
      <c r="E1435" s="154" cm="1">
        <f t="array" ref="E1435">IF(ISBLANK(MainData[[#This Row],[EventID]]),0,IFERROR(INDEX(MainData[],MATCH(MainData[[#This Row],[EventID]],IF(MainData[Product]="Date",MainData[EventID],0),0),12),0))</f>
        <v>44616</v>
      </c>
      <c r="F1435" s="155" cm="1">
        <f t="array" ref="F1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5" s="155" cm="1">
        <f t="array" ref="G1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5" s="2" t="str" cm="1">
        <f t="array" ref="H1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5" s="157" t="s">
        <v>84</v>
      </c>
      <c r="J1435" t="s">
        <v>187</v>
      </c>
      <c r="K1435" s="2" t="s">
        <v>157</v>
      </c>
      <c r="L1435" s="2" t="s">
        <v>175</v>
      </c>
      <c r="M1435" s="2" t="s">
        <v>457</v>
      </c>
      <c r="N1435" s="2"/>
      <c r="O1435" s="109"/>
      <c r="P1435" s="109"/>
      <c r="Q1435" s="109"/>
    </row>
    <row r="1436" spans="2:17" x14ac:dyDescent="0.25">
      <c r="B1436" s="114">
        <v>14</v>
      </c>
      <c r="C1436" s="114">
        <v>40</v>
      </c>
      <c r="D1436" s="114">
        <v>107</v>
      </c>
      <c r="E1436" s="154" cm="1">
        <f t="array" ref="E1436">IF(ISBLANK(MainData[[#This Row],[EventID]]),0,IFERROR(INDEX(MainData[],MATCH(MainData[[#This Row],[EventID]],IF(MainData[Product]="Date",MainData[EventID],0),0),12),0))</f>
        <v>44616</v>
      </c>
      <c r="F1436" s="155" cm="1">
        <f t="array" ref="F1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6" s="155" cm="1">
        <f t="array" ref="G1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6" s="2" t="str" cm="1">
        <f t="array" ref="H1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6" s="157" t="s">
        <v>84</v>
      </c>
      <c r="J1436" t="s">
        <v>187</v>
      </c>
      <c r="K1436" s="2" t="s">
        <v>157</v>
      </c>
      <c r="L1436" s="2" t="s">
        <v>138</v>
      </c>
      <c r="M1436" s="2">
        <v>40</v>
      </c>
      <c r="N1436" s="2"/>
      <c r="O1436" s="109"/>
      <c r="P1436" s="109"/>
      <c r="Q1436" s="109"/>
    </row>
    <row r="1437" spans="2:17" x14ac:dyDescent="0.25">
      <c r="B1437" s="114">
        <v>14</v>
      </c>
      <c r="C1437" s="114">
        <v>40</v>
      </c>
      <c r="D1437" s="114">
        <v>107</v>
      </c>
      <c r="E1437" s="154" cm="1">
        <f t="array" ref="E1437">IF(ISBLANK(MainData[[#This Row],[EventID]]),0,IFERROR(INDEX(MainData[],MATCH(MainData[[#This Row],[EventID]],IF(MainData[Product]="Date",MainData[EventID],0),0),12),0))</f>
        <v>44616</v>
      </c>
      <c r="F1437" s="155" cm="1">
        <f t="array" ref="F1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7" s="155" cm="1">
        <f t="array" ref="G1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7" s="2" t="str" cm="1">
        <f t="array" ref="H1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7" s="157" t="s">
        <v>84</v>
      </c>
      <c r="J1437" t="s">
        <v>187</v>
      </c>
      <c r="K1437" s="2" t="s">
        <v>157</v>
      </c>
      <c r="L1437" s="2" t="s">
        <v>86</v>
      </c>
      <c r="M1437" s="2">
        <v>2</v>
      </c>
      <c r="N1437" s="2"/>
      <c r="O1437" s="109"/>
      <c r="P1437" s="109"/>
      <c r="Q1437" s="109"/>
    </row>
    <row r="1438" spans="2:17" x14ac:dyDescent="0.25">
      <c r="B1438" s="114">
        <v>14</v>
      </c>
      <c r="C1438" s="114">
        <v>40</v>
      </c>
      <c r="D1438" s="114">
        <v>107</v>
      </c>
      <c r="E1438" s="154" cm="1">
        <f t="array" ref="E1438">IF(ISBLANK(MainData[[#This Row],[EventID]]),0,IFERROR(INDEX(MainData[],MATCH(MainData[[#This Row],[EventID]],IF(MainData[Product]="Date",MainData[EventID],0),0),12),0))</f>
        <v>44616</v>
      </c>
      <c r="F1438" s="155" cm="1">
        <f t="array" ref="F1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8" s="155" cm="1">
        <f t="array" ref="G1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8" s="2" t="str" cm="1">
        <f t="array" ref="H1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8" s="157" t="s">
        <v>84</v>
      </c>
      <c r="J1438" t="s">
        <v>187</v>
      </c>
      <c r="K1438" s="2" t="s">
        <v>157</v>
      </c>
      <c r="L1438" s="2" t="s">
        <v>118</v>
      </c>
      <c r="M1438" s="2" t="s">
        <v>456</v>
      </c>
      <c r="N1438" s="2"/>
      <c r="O1438" s="109"/>
      <c r="P1438" s="109"/>
      <c r="Q1438" s="109"/>
    </row>
    <row r="1439" spans="2:17" x14ac:dyDescent="0.25">
      <c r="B1439" s="114">
        <v>14</v>
      </c>
      <c r="C1439" s="114">
        <v>40</v>
      </c>
      <c r="D1439" s="114">
        <v>107</v>
      </c>
      <c r="E1439" s="154" cm="1">
        <f t="array" ref="E1439">IF(ISBLANK(MainData[[#This Row],[EventID]]),0,IFERROR(INDEX(MainData[],MATCH(MainData[[#This Row],[EventID]],IF(MainData[Product]="Date",MainData[EventID],0),0),12),0))</f>
        <v>44616</v>
      </c>
      <c r="F1439" s="155" cm="1">
        <f t="array" ref="F1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9" s="155" cm="1">
        <f t="array" ref="G1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9" s="2" t="str" cm="1">
        <f t="array" ref="H1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9" s="20" t="s">
        <v>85</v>
      </c>
      <c r="J1439" t="s">
        <v>20</v>
      </c>
      <c r="K1439" s="2" t="s">
        <v>116</v>
      </c>
      <c r="L1439" s="2" t="s">
        <v>88</v>
      </c>
      <c r="M1439" s="2" t="s">
        <v>189</v>
      </c>
      <c r="N1439" s="2" t="s">
        <v>233</v>
      </c>
      <c r="O1439" s="109">
        <v>1</v>
      </c>
      <c r="P1439" s="109"/>
      <c r="Q1439" s="109"/>
    </row>
    <row r="1440" spans="2:17" x14ac:dyDescent="0.25">
      <c r="B1440" s="114">
        <v>14</v>
      </c>
      <c r="C1440" s="114">
        <v>40</v>
      </c>
      <c r="D1440" s="114">
        <v>107</v>
      </c>
      <c r="E1440" s="154" cm="1">
        <f t="array" ref="E1440">IF(ISBLANK(MainData[[#This Row],[EventID]]),0,IFERROR(INDEX(MainData[],MATCH(MainData[[#This Row],[EventID]],IF(MainData[Product]="Date",MainData[EventID],0),0),12),0))</f>
        <v>44616</v>
      </c>
      <c r="F1440" s="155" cm="1">
        <f t="array" ref="F1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0" s="155" cm="1">
        <f t="array" ref="G1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0" s="2" t="str" cm="1">
        <f t="array" ref="H1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0" s="20" t="s">
        <v>85</v>
      </c>
      <c r="J1440" t="s">
        <v>20</v>
      </c>
      <c r="K1440" s="2" t="s">
        <v>116</v>
      </c>
      <c r="L1440" s="2" t="s">
        <v>87</v>
      </c>
      <c r="M1440" s="2" t="s">
        <v>188</v>
      </c>
      <c r="N1440" s="2" t="s">
        <v>233</v>
      </c>
      <c r="O1440" s="109">
        <v>1</v>
      </c>
      <c r="P1440" s="109"/>
      <c r="Q1440" s="109">
        <v>100</v>
      </c>
    </row>
    <row r="1441" spans="2:17" x14ac:dyDescent="0.25">
      <c r="B1441" s="114">
        <v>14</v>
      </c>
      <c r="C1441" s="114">
        <v>40</v>
      </c>
      <c r="D1441" s="114">
        <v>107</v>
      </c>
      <c r="E1441" s="154" cm="1">
        <f t="array" ref="E1441">IF(ISBLANK(MainData[[#This Row],[EventID]]),0,IFERROR(INDEX(MainData[],MATCH(MainData[[#This Row],[EventID]],IF(MainData[Product]="Date",MainData[EventID],0),0),12),0))</f>
        <v>44616</v>
      </c>
      <c r="F1441" s="155" cm="1">
        <f t="array" ref="F1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1" s="155" cm="1">
        <f t="array" ref="G1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1" s="2" t="str" cm="1">
        <f t="array" ref="H1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1" s="157" t="s">
        <v>85</v>
      </c>
      <c r="J1441" t="s">
        <v>20</v>
      </c>
      <c r="K1441" s="2" t="s">
        <v>29</v>
      </c>
      <c r="L1441" s="2" t="s">
        <v>35</v>
      </c>
      <c r="M1441" s="2" t="s">
        <v>382</v>
      </c>
      <c r="N1441" s="2" t="s">
        <v>234</v>
      </c>
      <c r="O1441" s="109">
        <v>1</v>
      </c>
      <c r="P1441" s="109">
        <v>5.6</v>
      </c>
      <c r="Q1441" s="109">
        <v>56</v>
      </c>
    </row>
    <row r="1442" spans="2:17" x14ac:dyDescent="0.25">
      <c r="B1442" s="114">
        <v>14</v>
      </c>
      <c r="C1442" s="114">
        <v>40</v>
      </c>
      <c r="D1442" s="114">
        <v>107</v>
      </c>
      <c r="E1442" s="154" cm="1">
        <f t="array" ref="E1442">IF(ISBLANK(MainData[[#This Row],[EventID]]),0,IFERROR(INDEX(MainData[],MATCH(MainData[[#This Row],[EventID]],IF(MainData[Product]="Date",MainData[EventID],0),0),12),0))</f>
        <v>44616</v>
      </c>
      <c r="F1442" s="155" cm="1">
        <f t="array" ref="F1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2" s="155" cm="1">
        <f t="array" ref="G1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2" s="2" t="str" cm="1">
        <f t="array" ref="H1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2" s="157" t="s">
        <v>85</v>
      </c>
      <c r="J1442" t="s">
        <v>20</v>
      </c>
      <c r="K1442" s="2" t="s">
        <v>29</v>
      </c>
      <c r="L1442" s="2" t="s">
        <v>65</v>
      </c>
      <c r="M1442" s="2" t="s">
        <v>383</v>
      </c>
      <c r="N1442" s="2" t="s">
        <v>234</v>
      </c>
      <c r="O1442" s="109">
        <v>1</v>
      </c>
      <c r="P1442" s="109">
        <v>0.25</v>
      </c>
      <c r="Q1442" s="109">
        <v>5</v>
      </c>
    </row>
    <row r="1443" spans="2:17" x14ac:dyDescent="0.25">
      <c r="B1443" s="114">
        <v>14</v>
      </c>
      <c r="C1443" s="114">
        <v>40</v>
      </c>
      <c r="D1443" s="114">
        <v>107</v>
      </c>
      <c r="E1443" s="154" cm="1">
        <f t="array" ref="E1443">IF(ISBLANK(MainData[[#This Row],[EventID]]),0,IFERROR(INDEX(MainData[],MATCH(MainData[[#This Row],[EventID]],IF(MainData[Product]="Date",MainData[EventID],0),0),12),0))</f>
        <v>44616</v>
      </c>
      <c r="F1443" s="155" cm="1">
        <f t="array" ref="F1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3" s="155" cm="1">
        <f t="array" ref="G1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3" s="2" t="str" cm="1">
        <f t="array" ref="H1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3" s="20" t="s">
        <v>85</v>
      </c>
      <c r="J1443" t="s">
        <v>20</v>
      </c>
      <c r="K1443" s="2" t="s">
        <v>29</v>
      </c>
      <c r="L1443" s="2" t="s">
        <v>25</v>
      </c>
      <c r="M1443" s="2" t="s">
        <v>12</v>
      </c>
      <c r="N1443" s="2" t="s">
        <v>234</v>
      </c>
      <c r="O1443" s="109">
        <v>1</v>
      </c>
      <c r="P1443" s="109">
        <v>7.9</v>
      </c>
      <c r="Q1443" s="109">
        <v>71</v>
      </c>
    </row>
    <row r="1444" spans="2:17" x14ac:dyDescent="0.25">
      <c r="B1444" s="114">
        <v>14</v>
      </c>
      <c r="C1444" s="114">
        <v>41</v>
      </c>
      <c r="D1444" s="114">
        <v>108</v>
      </c>
      <c r="E1444" s="154" cm="1">
        <f t="array" ref="E1444">IF(ISBLANK(MainData[[#This Row],[EventID]]),0,IFERROR(INDEX(MainData[],MATCH(MainData[[#This Row],[EventID]],IF(MainData[Product]="Date",MainData[EventID],0),0),12),0))</f>
        <v>44616</v>
      </c>
      <c r="F1444" s="155" cm="1">
        <f t="array" ref="F1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4" s="155" cm="1">
        <f t="array" ref="G1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4" s="2" t="str" cm="1">
        <f t="array" ref="H1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4" s="157" t="s">
        <v>84</v>
      </c>
      <c r="J1444" t="s">
        <v>187</v>
      </c>
      <c r="K1444" s="2" t="s">
        <v>157</v>
      </c>
      <c r="L1444" s="2" t="s">
        <v>81</v>
      </c>
      <c r="M1444" s="2">
        <v>1</v>
      </c>
      <c r="N1444" s="2"/>
      <c r="O1444" s="109"/>
      <c r="P1444" s="109"/>
      <c r="Q1444" s="109"/>
    </row>
    <row r="1445" spans="2:17" x14ac:dyDescent="0.25">
      <c r="B1445" s="114">
        <v>14</v>
      </c>
      <c r="C1445" s="114">
        <v>41</v>
      </c>
      <c r="D1445" s="114">
        <v>108</v>
      </c>
      <c r="E1445" s="154" cm="1">
        <f t="array" ref="E1445">IF(ISBLANK(MainData[[#This Row],[EventID]]),0,IFERROR(INDEX(MainData[],MATCH(MainData[[#This Row],[EventID]],IF(MainData[Product]="Date",MainData[EventID],0),0),12),0))</f>
        <v>44616</v>
      </c>
      <c r="F1445" s="155" cm="1">
        <f t="array" ref="F1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5" s="155" cm="1">
        <f t="array" ref="G1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5" s="2" t="str" cm="1">
        <f t="array" ref="H1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5" s="157" t="s">
        <v>84</v>
      </c>
      <c r="J1445" t="s">
        <v>187</v>
      </c>
      <c r="K1445" s="2" t="s">
        <v>157</v>
      </c>
      <c r="L1445" s="2" t="s">
        <v>0</v>
      </c>
      <c r="M1445" s="158">
        <v>44616</v>
      </c>
      <c r="N1445" s="2"/>
      <c r="O1445" s="109"/>
      <c r="P1445" s="109"/>
      <c r="Q1445" s="109"/>
    </row>
    <row r="1446" spans="2:17" x14ac:dyDescent="0.25">
      <c r="B1446" s="114">
        <v>14</v>
      </c>
      <c r="C1446" s="114">
        <v>41</v>
      </c>
      <c r="D1446" s="114">
        <v>108</v>
      </c>
      <c r="E1446" s="154" cm="1">
        <f t="array" ref="E1446">IF(ISBLANK(MainData[[#This Row],[EventID]]),0,IFERROR(INDEX(MainData[],MATCH(MainData[[#This Row],[EventID]],IF(MainData[Product]="Date",MainData[EventID],0),0),12),0))</f>
        <v>44616</v>
      </c>
      <c r="F1446" s="155" cm="1">
        <f t="array" ref="F1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6" s="155" cm="1">
        <f t="array" ref="G1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6" s="2" t="str" cm="1">
        <f t="array" ref="H1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6" s="157" t="s">
        <v>84</v>
      </c>
      <c r="J1446" t="s">
        <v>187</v>
      </c>
      <c r="K1446" s="2" t="s">
        <v>157</v>
      </c>
      <c r="L1446" s="2" t="s">
        <v>82</v>
      </c>
      <c r="M1446" s="2">
        <v>873044</v>
      </c>
      <c r="N1446" s="2"/>
      <c r="O1446" s="109"/>
      <c r="P1446" s="109"/>
      <c r="Q1446" s="109"/>
    </row>
    <row r="1447" spans="2:17" x14ac:dyDescent="0.25">
      <c r="B1447" s="114">
        <v>14</v>
      </c>
      <c r="C1447" s="114">
        <v>41</v>
      </c>
      <c r="D1447" s="114">
        <v>108</v>
      </c>
      <c r="E1447" s="154" cm="1">
        <f t="array" ref="E1447">IF(ISBLANK(MainData[[#This Row],[EventID]]),0,IFERROR(INDEX(MainData[],MATCH(MainData[[#This Row],[EventID]],IF(MainData[Product]="Date",MainData[EventID],0),0),12),0))</f>
        <v>44616</v>
      </c>
      <c r="F1447" s="155" cm="1">
        <f t="array" ref="F1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7" s="155" cm="1">
        <f t="array" ref="G1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7" s="2" t="str" cm="1">
        <f t="array" ref="H1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7" s="157" t="s">
        <v>84</v>
      </c>
      <c r="J1447" t="s">
        <v>187</v>
      </c>
      <c r="K1447" s="2" t="s">
        <v>157</v>
      </c>
      <c r="L1447" s="2" t="s">
        <v>175</v>
      </c>
      <c r="M1447" s="2" t="s">
        <v>457</v>
      </c>
      <c r="N1447" s="2"/>
      <c r="O1447" s="109"/>
      <c r="P1447" s="109"/>
      <c r="Q1447" s="109"/>
    </row>
    <row r="1448" spans="2:17" x14ac:dyDescent="0.25">
      <c r="B1448" s="114">
        <v>14</v>
      </c>
      <c r="C1448" s="114">
        <v>41</v>
      </c>
      <c r="D1448" s="114">
        <v>108</v>
      </c>
      <c r="E1448" s="154" cm="1">
        <f t="array" ref="E1448">IF(ISBLANK(MainData[[#This Row],[EventID]]),0,IFERROR(INDEX(MainData[],MATCH(MainData[[#This Row],[EventID]],IF(MainData[Product]="Date",MainData[EventID],0),0),12),0))</f>
        <v>44616</v>
      </c>
      <c r="F1448" s="155" cm="1">
        <f t="array" ref="F1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8" s="155" cm="1">
        <f t="array" ref="G1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8" s="2" t="str" cm="1">
        <f t="array" ref="H1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8" s="157" t="s">
        <v>84</v>
      </c>
      <c r="J1448" t="s">
        <v>187</v>
      </c>
      <c r="K1448" s="2" t="s">
        <v>157</v>
      </c>
      <c r="L1448" s="2" t="s">
        <v>138</v>
      </c>
      <c r="M1448" s="2">
        <v>40</v>
      </c>
      <c r="N1448" s="2"/>
      <c r="O1448" s="109"/>
      <c r="P1448" s="109"/>
      <c r="Q1448" s="109"/>
    </row>
    <row r="1449" spans="2:17" x14ac:dyDescent="0.25">
      <c r="B1449" s="114">
        <v>14</v>
      </c>
      <c r="C1449" s="114">
        <v>41</v>
      </c>
      <c r="D1449" s="114">
        <v>108</v>
      </c>
      <c r="E1449" s="154" cm="1">
        <f t="array" ref="E1449">IF(ISBLANK(MainData[[#This Row],[EventID]]),0,IFERROR(INDEX(MainData[],MATCH(MainData[[#This Row],[EventID]],IF(MainData[Product]="Date",MainData[EventID],0),0),12),0))</f>
        <v>44616</v>
      </c>
      <c r="F1449" s="155" cm="1">
        <f t="array" ref="F1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9" s="155" cm="1">
        <f t="array" ref="G1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9" s="2" t="str" cm="1">
        <f t="array" ref="H1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9" s="157" t="s">
        <v>84</v>
      </c>
      <c r="J1449" t="s">
        <v>187</v>
      </c>
      <c r="K1449" s="2" t="s">
        <v>157</v>
      </c>
      <c r="L1449" s="2" t="s">
        <v>86</v>
      </c>
      <c r="M1449" s="2">
        <v>2</v>
      </c>
      <c r="N1449" s="2"/>
      <c r="O1449" s="109"/>
      <c r="P1449" s="109"/>
      <c r="Q1449" s="109"/>
    </row>
    <row r="1450" spans="2:17" x14ac:dyDescent="0.25">
      <c r="B1450" s="114">
        <v>14</v>
      </c>
      <c r="C1450" s="114">
        <v>41</v>
      </c>
      <c r="D1450" s="114">
        <v>108</v>
      </c>
      <c r="E1450" s="154" cm="1">
        <f t="array" ref="E1450">IF(ISBLANK(MainData[[#This Row],[EventID]]),0,IFERROR(INDEX(MainData[],MATCH(MainData[[#This Row],[EventID]],IF(MainData[Product]="Date",MainData[EventID],0),0),12),0))</f>
        <v>44616</v>
      </c>
      <c r="F1450" s="155" cm="1">
        <f t="array" ref="F1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0" s="155" cm="1">
        <f t="array" ref="G1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0" s="2" t="str" cm="1">
        <f t="array" ref="H1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0" s="157" t="s">
        <v>84</v>
      </c>
      <c r="J1450" t="s">
        <v>187</v>
      </c>
      <c r="K1450" s="2" t="s">
        <v>157</v>
      </c>
      <c r="L1450" s="2" t="s">
        <v>118</v>
      </c>
      <c r="M1450" s="2" t="s">
        <v>491</v>
      </c>
      <c r="N1450" s="2"/>
      <c r="O1450" s="109"/>
      <c r="P1450" s="109"/>
      <c r="Q1450" s="109"/>
    </row>
    <row r="1451" spans="2:17" x14ac:dyDescent="0.25">
      <c r="B1451" s="114">
        <v>14</v>
      </c>
      <c r="C1451" s="114">
        <v>41</v>
      </c>
      <c r="D1451" s="114">
        <v>108</v>
      </c>
      <c r="E1451" s="154" cm="1">
        <f t="array" ref="E1451">IF(ISBLANK(MainData[[#This Row],[EventID]]),0,IFERROR(INDEX(MainData[],MATCH(MainData[[#This Row],[EventID]],IF(MainData[Product]="Date",MainData[EventID],0),0),12),0))</f>
        <v>44616</v>
      </c>
      <c r="F1451" s="155" cm="1">
        <f t="array" ref="F1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1" s="155" cm="1">
        <f t="array" ref="G1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1" s="2" t="str" cm="1">
        <f t="array" ref="H1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1" s="20" t="s">
        <v>85</v>
      </c>
      <c r="J1451" t="s">
        <v>20</v>
      </c>
      <c r="K1451" s="2" t="s">
        <v>116</v>
      </c>
      <c r="L1451" s="2" t="s">
        <v>88</v>
      </c>
      <c r="M1451" s="2" t="s">
        <v>189</v>
      </c>
      <c r="N1451" s="2" t="s">
        <v>233</v>
      </c>
      <c r="O1451" s="109">
        <v>1</v>
      </c>
      <c r="P1451" s="109"/>
      <c r="Q1451" s="109"/>
    </row>
    <row r="1452" spans="2:17" x14ac:dyDescent="0.25">
      <c r="B1452" s="114">
        <v>14</v>
      </c>
      <c r="C1452" s="114">
        <v>41</v>
      </c>
      <c r="D1452" s="114">
        <v>108</v>
      </c>
      <c r="E1452" s="154" cm="1">
        <f t="array" ref="E1452">IF(ISBLANK(MainData[[#This Row],[EventID]]),0,IFERROR(INDEX(MainData[],MATCH(MainData[[#This Row],[EventID]],IF(MainData[Product]="Date",MainData[EventID],0),0),12),0))</f>
        <v>44616</v>
      </c>
      <c r="F1452" s="155" cm="1">
        <f t="array" ref="F1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2" s="155" cm="1">
        <f t="array" ref="G1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2" s="2" t="str" cm="1">
        <f t="array" ref="H1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2" s="20" t="s">
        <v>85</v>
      </c>
      <c r="J1452" t="s">
        <v>20</v>
      </c>
      <c r="K1452" s="2" t="s">
        <v>116</v>
      </c>
      <c r="L1452" s="2" t="s">
        <v>87</v>
      </c>
      <c r="M1452" s="2" t="s">
        <v>188</v>
      </c>
      <c r="N1452" s="2" t="s">
        <v>233</v>
      </c>
      <c r="O1452" s="109">
        <v>1</v>
      </c>
      <c r="P1452" s="109"/>
      <c r="Q1452" s="109">
        <v>100</v>
      </c>
    </row>
    <row r="1453" spans="2:17" x14ac:dyDescent="0.25">
      <c r="B1453" s="114">
        <v>14</v>
      </c>
      <c r="C1453" s="114">
        <v>41</v>
      </c>
      <c r="D1453" s="114">
        <v>108</v>
      </c>
      <c r="E1453" s="154" cm="1">
        <f t="array" ref="E1453">IF(ISBLANK(MainData[[#This Row],[EventID]]),0,IFERROR(INDEX(MainData[],MATCH(MainData[[#This Row],[EventID]],IF(MainData[Product]="Date",MainData[EventID],0),0),12),0))</f>
        <v>44616</v>
      </c>
      <c r="F1453" s="155" cm="1">
        <f t="array" ref="F1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3" s="155" cm="1">
        <f t="array" ref="G1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3" s="2" t="str" cm="1">
        <f t="array" ref="H1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3" s="157" t="s">
        <v>85</v>
      </c>
      <c r="J1453" t="s">
        <v>20</v>
      </c>
      <c r="K1453" s="2" t="s">
        <v>29</v>
      </c>
      <c r="L1453" s="2" t="s">
        <v>35</v>
      </c>
      <c r="M1453" s="2" t="s">
        <v>382</v>
      </c>
      <c r="N1453" s="2" t="s">
        <v>234</v>
      </c>
      <c r="O1453" s="109">
        <v>1</v>
      </c>
      <c r="P1453" s="109">
        <v>12</v>
      </c>
      <c r="Q1453" s="109">
        <v>120</v>
      </c>
    </row>
    <row r="1454" spans="2:17" x14ac:dyDescent="0.25">
      <c r="B1454" s="114">
        <v>14</v>
      </c>
      <c r="C1454" s="114">
        <v>41</v>
      </c>
      <c r="D1454" s="114">
        <v>108</v>
      </c>
      <c r="E1454" s="154" cm="1">
        <f t="array" ref="E1454">IF(ISBLANK(MainData[[#This Row],[EventID]]),0,IFERROR(INDEX(MainData[],MATCH(MainData[[#This Row],[EventID]],IF(MainData[Product]="Date",MainData[EventID],0),0),12),0))</f>
        <v>44616</v>
      </c>
      <c r="F1454" s="155" cm="1">
        <f t="array" ref="F1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4" s="155" cm="1">
        <f t="array" ref="G1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4" s="2" t="str" cm="1">
        <f t="array" ref="H1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4" s="157" t="s">
        <v>85</v>
      </c>
      <c r="J1454" t="s">
        <v>20</v>
      </c>
      <c r="K1454" s="2" t="s">
        <v>29</v>
      </c>
      <c r="L1454" s="2" t="s">
        <v>65</v>
      </c>
      <c r="M1454" s="2" t="s">
        <v>383</v>
      </c>
      <c r="N1454" s="2" t="s">
        <v>234</v>
      </c>
      <c r="O1454" s="109">
        <v>1</v>
      </c>
      <c r="P1454" s="109">
        <v>0.75</v>
      </c>
      <c r="Q1454" s="109">
        <v>15</v>
      </c>
    </row>
    <row r="1455" spans="2:17" x14ac:dyDescent="0.25">
      <c r="B1455" s="114">
        <v>14</v>
      </c>
      <c r="C1455" s="114">
        <v>41</v>
      </c>
      <c r="D1455" s="114">
        <v>108</v>
      </c>
      <c r="E1455" s="154" cm="1">
        <f t="array" ref="E1455">IF(ISBLANK(MainData[[#This Row],[EventID]]),0,IFERROR(INDEX(MainData[],MATCH(MainData[[#This Row],[EventID]],IF(MainData[Product]="Date",MainData[EventID],0),0),12),0))</f>
        <v>44616</v>
      </c>
      <c r="F1455" s="155" cm="1">
        <f t="array" ref="F1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5" s="155" cm="1">
        <f t="array" ref="G1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5" s="2" t="str" cm="1">
        <f t="array" ref="H1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5" s="20" t="s">
        <v>85</v>
      </c>
      <c r="J1455" t="s">
        <v>20</v>
      </c>
      <c r="K1455" s="2" t="s">
        <v>29</v>
      </c>
      <c r="L1455" s="2" t="s">
        <v>25</v>
      </c>
      <c r="M1455" s="2" t="s">
        <v>12</v>
      </c>
      <c r="N1455" s="2" t="s">
        <v>234</v>
      </c>
      <c r="O1455" s="109">
        <v>1</v>
      </c>
      <c r="P1455" s="109">
        <v>79.11</v>
      </c>
      <c r="Q1455" s="109">
        <v>322</v>
      </c>
    </row>
    <row r="1456" spans="2:17" x14ac:dyDescent="0.25">
      <c r="B1456" s="114">
        <v>34</v>
      </c>
      <c r="C1456" s="114">
        <v>90</v>
      </c>
      <c r="D1456" s="114">
        <v>110</v>
      </c>
      <c r="E1456" s="154" cm="1">
        <f t="array" ref="E1456">IF(ISBLANK(MainData[[#This Row],[EventID]]),0,IFERROR(INDEX(MainData[],MATCH(MainData[[#This Row],[EventID]],IF(MainData[Product]="Date",MainData[EventID],0),0),12),0))</f>
        <v>44617</v>
      </c>
      <c r="F1456" s="155" cm="1">
        <f t="array" ref="F1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6" s="155" cm="1">
        <f t="array" ref="G1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6" s="220" t="str" cm="1">
        <f t="array" ref="H1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6" s="157" t="s">
        <v>84</v>
      </c>
      <c r="J1456" t="s">
        <v>187</v>
      </c>
      <c r="K1456" s="2" t="s">
        <v>157</v>
      </c>
      <c r="L1456" s="2" t="s">
        <v>150</v>
      </c>
      <c r="M1456" s="2">
        <v>1</v>
      </c>
      <c r="N1456" s="2"/>
      <c r="O1456" s="109"/>
      <c r="P1456" s="109"/>
      <c r="Q1456" s="109"/>
    </row>
    <row r="1457" spans="2:17" x14ac:dyDescent="0.25">
      <c r="B1457" s="114">
        <v>34</v>
      </c>
      <c r="C1457" s="114">
        <v>90</v>
      </c>
      <c r="D1457" s="114">
        <v>110</v>
      </c>
      <c r="E1457" s="154" cm="1">
        <f t="array" ref="E1457">IF(ISBLANK(MainData[[#This Row],[EventID]]),0,IFERROR(INDEX(MainData[],MATCH(MainData[[#This Row],[EventID]],IF(MainData[Product]="Date",MainData[EventID],0),0),12),0))</f>
        <v>44617</v>
      </c>
      <c r="F1457" s="155" cm="1">
        <f t="array" ref="F1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7" s="155" cm="1">
        <f t="array" ref="G1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7" s="2" t="str" cm="1">
        <f t="array" ref="H1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7" s="157" t="s">
        <v>84</v>
      </c>
      <c r="J1457" t="s">
        <v>187</v>
      </c>
      <c r="K1457" s="2" t="s">
        <v>157</v>
      </c>
      <c r="L1457" s="2" t="s">
        <v>81</v>
      </c>
      <c r="M1457" s="2">
        <v>1</v>
      </c>
      <c r="N1457" s="2"/>
      <c r="O1457" s="109"/>
      <c r="P1457" s="109"/>
      <c r="Q1457" s="109"/>
    </row>
    <row r="1458" spans="2:17" x14ac:dyDescent="0.25">
      <c r="B1458" s="114">
        <v>34</v>
      </c>
      <c r="C1458" s="114">
        <v>90</v>
      </c>
      <c r="D1458" s="114">
        <v>110</v>
      </c>
      <c r="E1458" s="154" cm="1">
        <f t="array" ref="E1458">IF(ISBLANK(MainData[[#This Row],[EventID]]),0,IFERROR(INDEX(MainData[],MATCH(MainData[[#This Row],[EventID]],IF(MainData[Product]="Date",MainData[EventID],0),0),12),0))</f>
        <v>44617</v>
      </c>
      <c r="F1458" s="155" cm="1">
        <f t="array" ref="F1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8" s="155" cm="1">
        <f t="array" ref="G1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8" s="2" t="str" cm="1">
        <f t="array" ref="H1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8" s="157" t="s">
        <v>84</v>
      </c>
      <c r="J1458" t="s">
        <v>187</v>
      </c>
      <c r="K1458" s="2" t="s">
        <v>157</v>
      </c>
      <c r="L1458" s="2" t="s">
        <v>164</v>
      </c>
      <c r="M1458" s="2" t="s">
        <v>435</v>
      </c>
      <c r="N1458" s="2"/>
      <c r="O1458" s="109"/>
      <c r="P1458" s="109"/>
      <c r="Q1458" s="109"/>
    </row>
    <row r="1459" spans="2:17" x14ac:dyDescent="0.25">
      <c r="B1459" s="114">
        <v>34</v>
      </c>
      <c r="C1459" s="114">
        <v>90</v>
      </c>
      <c r="D1459" s="114">
        <v>110</v>
      </c>
      <c r="E1459" s="154" cm="1">
        <f t="array" ref="E1459">IF(ISBLANK(MainData[[#This Row],[EventID]]),0,IFERROR(INDEX(MainData[],MATCH(MainData[[#This Row],[EventID]],IF(MainData[Product]="Date",MainData[EventID],0),0),12),0))</f>
        <v>44617</v>
      </c>
      <c r="F1459" s="155" cm="1">
        <f t="array" ref="F1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9" s="155" cm="1">
        <f t="array" ref="G1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9" s="2" t="str" cm="1">
        <f t="array" ref="H1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9" s="157" t="s">
        <v>84</v>
      </c>
      <c r="J1459" t="s">
        <v>187</v>
      </c>
      <c r="K1459" s="2" t="s">
        <v>157</v>
      </c>
      <c r="L1459" s="2" t="s">
        <v>0</v>
      </c>
      <c r="M1459" s="158">
        <v>44617</v>
      </c>
      <c r="N1459" s="2"/>
      <c r="O1459" s="109"/>
      <c r="P1459" s="109"/>
      <c r="Q1459" s="109"/>
    </row>
    <row r="1460" spans="2:17" x14ac:dyDescent="0.25">
      <c r="B1460" s="114">
        <v>34</v>
      </c>
      <c r="C1460" s="114">
        <v>90</v>
      </c>
      <c r="D1460" s="114">
        <v>110</v>
      </c>
      <c r="E1460" s="154" cm="1">
        <f t="array" ref="E1460">IF(ISBLANK(MainData[[#This Row],[EventID]]),0,IFERROR(INDEX(MainData[],MATCH(MainData[[#This Row],[EventID]],IF(MainData[Product]="Date",MainData[EventID],0),0),12),0))</f>
        <v>44617</v>
      </c>
      <c r="F1460" s="155" cm="1">
        <f t="array" ref="F1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0" s="155" cm="1">
        <f t="array" ref="G1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0" s="2" t="str" cm="1">
        <f t="array" ref="H1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0" s="157" t="s">
        <v>84</v>
      </c>
      <c r="J1460" t="s">
        <v>187</v>
      </c>
      <c r="K1460" s="2" t="s">
        <v>157</v>
      </c>
      <c r="L1460" s="2" t="s">
        <v>82</v>
      </c>
      <c r="M1460" s="2">
        <v>217344</v>
      </c>
      <c r="N1460" s="2"/>
      <c r="O1460" s="109"/>
      <c r="P1460" s="109"/>
      <c r="Q1460" s="109"/>
    </row>
    <row r="1461" spans="2:17" x14ac:dyDescent="0.25">
      <c r="B1461" s="114">
        <v>34</v>
      </c>
      <c r="C1461" s="114">
        <v>90</v>
      </c>
      <c r="D1461" s="114">
        <v>110</v>
      </c>
      <c r="E1461" s="154" cm="1">
        <f t="array" ref="E1461">IF(ISBLANK(MainData[[#This Row],[EventID]]),0,IFERROR(INDEX(MainData[],MATCH(MainData[[#This Row],[EventID]],IF(MainData[Product]="Date",MainData[EventID],0),0),12),0))</f>
        <v>44617</v>
      </c>
      <c r="F1461" s="155" cm="1">
        <f t="array" ref="F1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1" s="155" cm="1">
        <f t="array" ref="G1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1" s="2" t="str" cm="1">
        <f t="array" ref="H1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1" s="157" t="s">
        <v>84</v>
      </c>
      <c r="J1461" t="s">
        <v>187</v>
      </c>
      <c r="K1461" s="2" t="s">
        <v>157</v>
      </c>
      <c r="L1461" s="2" t="s">
        <v>175</v>
      </c>
      <c r="M1461" s="2" t="s">
        <v>475</v>
      </c>
      <c r="N1461" s="2"/>
      <c r="O1461" s="109"/>
      <c r="P1461" s="109"/>
      <c r="Q1461" s="109"/>
    </row>
    <row r="1462" spans="2:17" x14ac:dyDescent="0.25">
      <c r="B1462" s="114">
        <v>34</v>
      </c>
      <c r="C1462" s="114">
        <v>90</v>
      </c>
      <c r="D1462" s="114">
        <v>110</v>
      </c>
      <c r="E1462" s="154" cm="1">
        <f t="array" ref="E1462">IF(ISBLANK(MainData[[#This Row],[EventID]]),0,IFERROR(INDEX(MainData[],MATCH(MainData[[#This Row],[EventID]],IF(MainData[Product]="Date",MainData[EventID],0),0),12),0))</f>
        <v>44617</v>
      </c>
      <c r="F1462" s="155" cm="1">
        <f t="array" ref="F1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2" s="155" cm="1">
        <f t="array" ref="G1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2" s="2" t="str" cm="1">
        <f t="array" ref="H1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2" s="157" t="s">
        <v>84</v>
      </c>
      <c r="J1462" t="s">
        <v>187</v>
      </c>
      <c r="K1462" s="2" t="s">
        <v>157</v>
      </c>
      <c r="L1462" s="2" t="s">
        <v>20</v>
      </c>
      <c r="M1462" s="2" t="s">
        <v>354</v>
      </c>
      <c r="N1462" s="2"/>
      <c r="O1462" s="109"/>
      <c r="P1462" s="109"/>
      <c r="Q1462" s="109"/>
    </row>
    <row r="1463" spans="2:17" x14ac:dyDescent="0.25">
      <c r="B1463" s="114">
        <v>34</v>
      </c>
      <c r="C1463" s="114">
        <v>90</v>
      </c>
      <c r="D1463" s="114">
        <v>110</v>
      </c>
      <c r="E1463" s="154" cm="1">
        <f t="array" ref="E1463">IF(ISBLANK(MainData[[#This Row],[EventID]]),0,IFERROR(INDEX(MainData[],MATCH(MainData[[#This Row],[EventID]],IF(MainData[Product]="Date",MainData[EventID],0),0),12),0))</f>
        <v>44617</v>
      </c>
      <c r="F1463" s="155" cm="1">
        <f t="array" ref="F1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3" s="155" cm="1">
        <f t="array" ref="G1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3" s="2" t="str" cm="1">
        <f t="array" ref="H1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3" s="157" t="s">
        <v>84</v>
      </c>
      <c r="J1463" t="s">
        <v>187</v>
      </c>
      <c r="K1463" s="2" t="s">
        <v>157</v>
      </c>
      <c r="L1463" s="2" t="s">
        <v>138</v>
      </c>
      <c r="M1463" s="2">
        <v>6</v>
      </c>
      <c r="N1463" s="2"/>
      <c r="O1463" s="109"/>
      <c r="P1463" s="109"/>
      <c r="Q1463" s="109"/>
    </row>
    <row r="1464" spans="2:17" x14ac:dyDescent="0.25">
      <c r="B1464" s="114">
        <v>34</v>
      </c>
      <c r="C1464" s="114">
        <v>90</v>
      </c>
      <c r="D1464" s="114">
        <v>110</v>
      </c>
      <c r="E1464" s="154" cm="1">
        <f t="array" ref="E1464">IF(ISBLANK(MainData[[#This Row],[EventID]]),0,IFERROR(INDEX(MainData[],MATCH(MainData[[#This Row],[EventID]],IF(MainData[Product]="Date",MainData[EventID],0),0),12),0))</f>
        <v>44617</v>
      </c>
      <c r="F1464" s="155" cm="1">
        <f t="array" ref="F1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4" s="155" cm="1">
        <f t="array" ref="G1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4" s="2" t="str" cm="1">
        <f t="array" ref="H1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4" s="157" t="s">
        <v>84</v>
      </c>
      <c r="J1464" t="s">
        <v>187</v>
      </c>
      <c r="K1464" s="2" t="s">
        <v>157</v>
      </c>
      <c r="L1464" s="2" t="s">
        <v>86</v>
      </c>
      <c r="M1464" s="2">
        <v>1</v>
      </c>
      <c r="N1464" s="2"/>
      <c r="O1464" s="109"/>
      <c r="P1464" s="109"/>
      <c r="Q1464" s="109"/>
    </row>
    <row r="1465" spans="2:17" x14ac:dyDescent="0.25">
      <c r="B1465" s="114">
        <v>34</v>
      </c>
      <c r="C1465" s="114">
        <v>90</v>
      </c>
      <c r="D1465" s="114">
        <v>110</v>
      </c>
      <c r="E1465" s="154" cm="1">
        <f t="array" ref="E1465">IF(ISBLANK(MainData[[#This Row],[EventID]]),0,IFERROR(INDEX(MainData[],MATCH(MainData[[#This Row],[EventID]],IF(MainData[Product]="Date",MainData[EventID],0),0),12),0))</f>
        <v>44617</v>
      </c>
      <c r="F1465" s="155" cm="1">
        <f t="array" ref="F1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5" s="155" cm="1">
        <f t="array" ref="G1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5" s="2" t="str" cm="1">
        <f t="array" ref="H1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5" s="157" t="s">
        <v>84</v>
      </c>
      <c r="J1465" t="s">
        <v>187</v>
      </c>
      <c r="K1465" s="2" t="s">
        <v>157</v>
      </c>
      <c r="L1465" s="2" t="s">
        <v>118</v>
      </c>
      <c r="M1465" s="2" t="s">
        <v>476</v>
      </c>
      <c r="N1465" s="2"/>
      <c r="O1465" s="109"/>
      <c r="P1465" s="109"/>
      <c r="Q1465" s="109"/>
    </row>
    <row r="1466" spans="2:17" x14ac:dyDescent="0.25">
      <c r="B1466" s="114">
        <v>34</v>
      </c>
      <c r="C1466" s="114">
        <v>90</v>
      </c>
      <c r="D1466" s="114">
        <v>110</v>
      </c>
      <c r="E1466" s="154" cm="1">
        <f t="array" ref="E1466">IF(ISBLANK(MainData[[#This Row],[EventID]]),0,IFERROR(INDEX(MainData[],MATCH(MainData[[#This Row],[EventID]],IF(MainData[Product]="Date",MainData[EventID],0),0),12),0))</f>
        <v>44617</v>
      </c>
      <c r="F1466" s="155" cm="1">
        <f t="array" ref="F1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6" s="155" cm="1">
        <f t="array" ref="G1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6" s="2" t="str" cm="1">
        <f t="array" ref="H1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6" s="157" t="s">
        <v>84</v>
      </c>
      <c r="J1466" t="s">
        <v>187</v>
      </c>
      <c r="K1466" s="2" t="s">
        <v>157</v>
      </c>
      <c r="L1466" s="2" t="s">
        <v>165</v>
      </c>
      <c r="M1466" s="2" t="s">
        <v>403</v>
      </c>
      <c r="N1466" s="2"/>
      <c r="O1466" s="109"/>
      <c r="P1466" s="109"/>
      <c r="Q1466" s="109"/>
    </row>
    <row r="1467" spans="2:17" x14ac:dyDescent="0.25">
      <c r="B1467" s="114">
        <v>34</v>
      </c>
      <c r="C1467" s="114">
        <v>90</v>
      </c>
      <c r="D1467" s="114">
        <v>110</v>
      </c>
      <c r="E1467" s="154" cm="1">
        <f t="array" ref="E1467">IF(ISBLANK(MainData[[#This Row],[EventID]]),0,IFERROR(INDEX(MainData[],MATCH(MainData[[#This Row],[EventID]],IF(MainData[Product]="Date",MainData[EventID],0),0),12),0))</f>
        <v>44617</v>
      </c>
      <c r="F1467" s="155" cm="1">
        <f t="array" ref="F1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7" s="155" cm="1">
        <f t="array" ref="G1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7" s="2" t="str" cm="1">
        <f t="array" ref="H1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7" s="20" t="s">
        <v>85</v>
      </c>
      <c r="J1467" t="s">
        <v>21</v>
      </c>
      <c r="K1467" s="2" t="s">
        <v>116</v>
      </c>
      <c r="L1467" s="2" t="s">
        <v>107</v>
      </c>
      <c r="M1467" s="2" t="s">
        <v>190</v>
      </c>
      <c r="N1467" s="2" t="s">
        <v>233</v>
      </c>
      <c r="O1467" s="109">
        <v>1</v>
      </c>
      <c r="P1467" s="109"/>
      <c r="Q1467" s="109"/>
    </row>
    <row r="1468" spans="2:17" x14ac:dyDescent="0.25">
      <c r="B1468" s="114">
        <v>34</v>
      </c>
      <c r="C1468" s="114">
        <v>90</v>
      </c>
      <c r="D1468" s="114">
        <v>110</v>
      </c>
      <c r="E1468" s="154" cm="1">
        <f t="array" ref="E1468">IF(ISBLANK(MainData[[#This Row],[EventID]]),0,IFERROR(INDEX(MainData[],MATCH(MainData[[#This Row],[EventID]],IF(MainData[Product]="Date",MainData[EventID],0),0),12),0))</f>
        <v>44617</v>
      </c>
      <c r="F1468" s="155" cm="1">
        <f t="array" ref="F1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8" s="155" cm="1">
        <f t="array" ref="G1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8" s="2" t="str" cm="1">
        <f t="array" ref="H1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8" s="20" t="s">
        <v>85</v>
      </c>
      <c r="J1468" t="s">
        <v>21</v>
      </c>
      <c r="K1468" s="2" t="s">
        <v>29</v>
      </c>
      <c r="L1468" s="2" t="s">
        <v>25</v>
      </c>
      <c r="M1468" s="2" t="s">
        <v>6</v>
      </c>
      <c r="N1468" s="2" t="s">
        <v>235</v>
      </c>
      <c r="O1468" s="109">
        <v>1</v>
      </c>
      <c r="P1468" s="109">
        <v>5.75</v>
      </c>
      <c r="Q1468" s="109">
        <v>41</v>
      </c>
    </row>
    <row r="1469" spans="2:17" x14ac:dyDescent="0.25">
      <c r="B1469" s="114">
        <v>36</v>
      </c>
      <c r="C1469" s="114">
        <v>92</v>
      </c>
      <c r="D1469" s="114">
        <v>111</v>
      </c>
      <c r="E1469" s="154" cm="1">
        <f t="array" ref="E1469">IF(ISBLANK(MainData[[#This Row],[EventID]]),0,IFERROR(INDEX(MainData[],MATCH(MainData[[#This Row],[EventID]],IF(MainData[Product]="Date",MainData[EventID],0),0),12),0))</f>
        <v>44617</v>
      </c>
      <c r="F1469" s="155" cm="1">
        <f t="array" ref="F1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9" s="155" cm="1">
        <f t="array" ref="G1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9" s="2" t="str" cm="1">
        <f t="array" ref="H1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9" s="157" t="s">
        <v>84</v>
      </c>
      <c r="J1469" t="s">
        <v>187</v>
      </c>
      <c r="K1469" s="2" t="s">
        <v>157</v>
      </c>
      <c r="L1469" s="2" t="s">
        <v>81</v>
      </c>
      <c r="M1469" s="2">
        <v>1</v>
      </c>
      <c r="N1469" s="2"/>
      <c r="O1469" s="109"/>
      <c r="P1469" s="109"/>
      <c r="Q1469" s="109"/>
    </row>
    <row r="1470" spans="2:17" x14ac:dyDescent="0.25">
      <c r="B1470" s="114">
        <v>36</v>
      </c>
      <c r="C1470" s="114">
        <v>92</v>
      </c>
      <c r="D1470" s="114">
        <v>111</v>
      </c>
      <c r="E1470" s="154" cm="1">
        <f t="array" ref="E1470">IF(ISBLANK(MainData[[#This Row],[EventID]]),0,IFERROR(INDEX(MainData[],MATCH(MainData[[#This Row],[EventID]],IF(MainData[Product]="Date",MainData[EventID],0),0),12),0))</f>
        <v>44617</v>
      </c>
      <c r="F1470" s="155" cm="1">
        <f t="array" ref="F1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0" s="155" cm="1">
        <f t="array" ref="G1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0" s="2" t="str" cm="1">
        <f t="array" ref="H1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0" s="157" t="s">
        <v>84</v>
      </c>
      <c r="J1470" t="s">
        <v>187</v>
      </c>
      <c r="K1470" s="2" t="s">
        <v>157</v>
      </c>
      <c r="L1470" s="2" t="s">
        <v>164</v>
      </c>
      <c r="M1470" s="2" t="s">
        <v>437</v>
      </c>
      <c r="N1470" s="2"/>
      <c r="O1470" s="109"/>
      <c r="P1470" s="109"/>
      <c r="Q1470" s="109"/>
    </row>
    <row r="1471" spans="2:17" x14ac:dyDescent="0.25">
      <c r="B1471" s="114">
        <v>36</v>
      </c>
      <c r="C1471" s="114">
        <v>92</v>
      </c>
      <c r="D1471" s="114">
        <v>111</v>
      </c>
      <c r="E1471" s="154" cm="1">
        <f t="array" ref="E1471">IF(ISBLANK(MainData[[#This Row],[EventID]]),0,IFERROR(INDEX(MainData[],MATCH(MainData[[#This Row],[EventID]],IF(MainData[Product]="Date",MainData[EventID],0),0),12),0))</f>
        <v>44617</v>
      </c>
      <c r="F1471" s="155" cm="1">
        <f t="array" ref="F1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1" s="155" cm="1">
        <f t="array" ref="G1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1" s="2" t="str" cm="1">
        <f t="array" ref="H1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1" s="157" t="s">
        <v>84</v>
      </c>
      <c r="J1471" t="s">
        <v>187</v>
      </c>
      <c r="K1471" s="2" t="s">
        <v>157</v>
      </c>
      <c r="L1471" s="2" t="s">
        <v>0</v>
      </c>
      <c r="M1471" s="158">
        <v>44617</v>
      </c>
      <c r="N1471" s="2"/>
      <c r="O1471" s="109"/>
      <c r="P1471" s="109"/>
      <c r="Q1471" s="109"/>
    </row>
    <row r="1472" spans="2:17" x14ac:dyDescent="0.25">
      <c r="B1472" s="114">
        <v>36</v>
      </c>
      <c r="C1472" s="114">
        <v>92</v>
      </c>
      <c r="D1472" s="114">
        <v>111</v>
      </c>
      <c r="E1472" s="154" cm="1">
        <f t="array" ref="E1472">IF(ISBLANK(MainData[[#This Row],[EventID]]),0,IFERROR(INDEX(MainData[],MATCH(MainData[[#This Row],[EventID]],IF(MainData[Product]="Date",MainData[EventID],0),0),12),0))</f>
        <v>44617</v>
      </c>
      <c r="F1472" s="155" cm="1">
        <f t="array" ref="F1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2" s="155" cm="1">
        <f t="array" ref="G1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2" s="2" t="str" cm="1">
        <f t="array" ref="H1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2" s="157" t="s">
        <v>84</v>
      </c>
      <c r="J1472" t="s">
        <v>187</v>
      </c>
      <c r="K1472" s="2" t="s">
        <v>157</v>
      </c>
      <c r="L1472" s="2" t="s">
        <v>82</v>
      </c>
      <c r="M1472" s="2">
        <v>689552</v>
      </c>
      <c r="N1472" s="2"/>
      <c r="O1472" s="109"/>
      <c r="P1472" s="109"/>
      <c r="Q1472" s="109"/>
    </row>
    <row r="1473" spans="2:17" x14ac:dyDescent="0.25">
      <c r="B1473" s="114">
        <v>36</v>
      </c>
      <c r="C1473" s="114">
        <v>92</v>
      </c>
      <c r="D1473" s="114">
        <v>111</v>
      </c>
      <c r="E1473" s="154" cm="1">
        <f t="array" ref="E1473">IF(ISBLANK(MainData[[#This Row],[EventID]]),0,IFERROR(INDEX(MainData[],MATCH(MainData[[#This Row],[EventID]],IF(MainData[Product]="Date",MainData[EventID],0),0),12),0))</f>
        <v>44617</v>
      </c>
      <c r="F1473" s="155" cm="1">
        <f t="array" ref="F1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3" s="155" cm="1">
        <f t="array" ref="G1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3" s="2" t="str" cm="1">
        <f t="array" ref="H1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3" s="157" t="s">
        <v>84</v>
      </c>
      <c r="J1473" t="s">
        <v>187</v>
      </c>
      <c r="K1473" s="2" t="s">
        <v>157</v>
      </c>
      <c r="L1473" s="2" t="s">
        <v>175</v>
      </c>
      <c r="M1473" s="2" t="s">
        <v>455</v>
      </c>
      <c r="N1473" s="2"/>
      <c r="O1473" s="109"/>
      <c r="P1473" s="109"/>
      <c r="Q1473" s="109"/>
    </row>
    <row r="1474" spans="2:17" x14ac:dyDescent="0.25">
      <c r="B1474" s="114">
        <v>36</v>
      </c>
      <c r="C1474" s="114">
        <v>92</v>
      </c>
      <c r="D1474" s="114">
        <v>111</v>
      </c>
      <c r="E1474" s="154" cm="1">
        <f t="array" ref="E1474">IF(ISBLANK(MainData[[#This Row],[EventID]]),0,IFERROR(INDEX(MainData[],MATCH(MainData[[#This Row],[EventID]],IF(MainData[Product]="Date",MainData[EventID],0),0),12),0))</f>
        <v>44617</v>
      </c>
      <c r="F1474" s="155" cm="1">
        <f t="array" ref="F1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4" s="155" cm="1">
        <f t="array" ref="G1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4" s="2" t="str" cm="1">
        <f t="array" ref="H1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4" s="157" t="s">
        <v>84</v>
      </c>
      <c r="J1474" t="s">
        <v>187</v>
      </c>
      <c r="K1474" s="2" t="s">
        <v>157</v>
      </c>
      <c r="L1474" s="2" t="s">
        <v>20</v>
      </c>
      <c r="M1474" s="2" t="s">
        <v>375</v>
      </c>
      <c r="N1474" s="2"/>
      <c r="O1474" s="109"/>
      <c r="P1474" s="109"/>
      <c r="Q1474" s="109"/>
    </row>
    <row r="1475" spans="2:17" x14ac:dyDescent="0.25">
      <c r="B1475" s="114">
        <v>36</v>
      </c>
      <c r="C1475" s="114">
        <v>92</v>
      </c>
      <c r="D1475" s="114">
        <v>111</v>
      </c>
      <c r="E1475" s="154" cm="1">
        <f t="array" ref="E1475">IF(ISBLANK(MainData[[#This Row],[EventID]]),0,IFERROR(INDEX(MainData[],MATCH(MainData[[#This Row],[EventID]],IF(MainData[Product]="Date",MainData[EventID],0),0),12),0))</f>
        <v>44617</v>
      </c>
      <c r="F1475" s="155" cm="1">
        <f t="array" ref="F1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5" s="155" cm="1">
        <f t="array" ref="G1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5" s="2" t="str" cm="1">
        <f t="array" ref="H1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5" s="157" t="s">
        <v>84</v>
      </c>
      <c r="J1475" t="s">
        <v>187</v>
      </c>
      <c r="K1475" s="2" t="s">
        <v>157</v>
      </c>
      <c r="L1475" s="2" t="s">
        <v>138</v>
      </c>
      <c r="M1475" s="2">
        <v>465</v>
      </c>
      <c r="N1475" s="2"/>
      <c r="O1475" s="109"/>
      <c r="P1475" s="109"/>
      <c r="Q1475" s="109"/>
    </row>
    <row r="1476" spans="2:17" x14ac:dyDescent="0.25">
      <c r="B1476" s="114">
        <v>36</v>
      </c>
      <c r="C1476" s="114">
        <v>92</v>
      </c>
      <c r="D1476" s="114">
        <v>111</v>
      </c>
      <c r="E1476" s="154" cm="1">
        <f t="array" ref="E1476">IF(ISBLANK(MainData[[#This Row],[EventID]]),0,IFERROR(INDEX(MainData[],MATCH(MainData[[#This Row],[EventID]],IF(MainData[Product]="Date",MainData[EventID],0),0),12),0))</f>
        <v>44617</v>
      </c>
      <c r="F1476" s="155" cm="1">
        <f t="array" ref="F1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6" s="155" cm="1">
        <f t="array" ref="G1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6" s="2" t="str" cm="1">
        <f t="array" ref="H1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6" s="157" t="s">
        <v>84</v>
      </c>
      <c r="J1476" t="s">
        <v>187</v>
      </c>
      <c r="K1476" s="2" t="s">
        <v>157</v>
      </c>
      <c r="L1476" s="2" t="s">
        <v>86</v>
      </c>
      <c r="M1476" s="2">
        <v>3.5</v>
      </c>
      <c r="N1476" s="2"/>
      <c r="O1476" s="109"/>
      <c r="P1476" s="109"/>
      <c r="Q1476" s="109"/>
    </row>
    <row r="1477" spans="2:17" x14ac:dyDescent="0.25">
      <c r="B1477" s="114">
        <v>36</v>
      </c>
      <c r="C1477" s="114">
        <v>92</v>
      </c>
      <c r="D1477" s="114">
        <v>111</v>
      </c>
      <c r="E1477" s="154" cm="1">
        <f t="array" ref="E1477">IF(ISBLANK(MainData[[#This Row],[EventID]]),0,IFERROR(INDEX(MainData[],MATCH(MainData[[#This Row],[EventID]],IF(MainData[Product]="Date",MainData[EventID],0),0),12),0))</f>
        <v>44617</v>
      </c>
      <c r="F1477" s="155" cm="1">
        <f t="array" ref="F1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7" s="155" cm="1">
        <f t="array" ref="G1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7" s="2" t="str" cm="1">
        <f t="array" ref="H1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7" s="157" t="s">
        <v>84</v>
      </c>
      <c r="J1477" t="s">
        <v>187</v>
      </c>
      <c r="K1477" s="2" t="s">
        <v>157</v>
      </c>
      <c r="L1477" s="2" t="s">
        <v>118</v>
      </c>
      <c r="M1477" s="2" t="s">
        <v>463</v>
      </c>
      <c r="N1477" s="2"/>
      <c r="O1477" s="109"/>
      <c r="P1477" s="109"/>
      <c r="Q1477" s="109"/>
    </row>
    <row r="1478" spans="2:17" x14ac:dyDescent="0.25">
      <c r="B1478" s="114">
        <v>36</v>
      </c>
      <c r="C1478" s="114">
        <v>92</v>
      </c>
      <c r="D1478" s="114">
        <v>111</v>
      </c>
      <c r="E1478" s="154" cm="1">
        <f t="array" ref="E1478">IF(ISBLANK(MainData[[#This Row],[EventID]]),0,IFERROR(INDEX(MainData[],MATCH(MainData[[#This Row],[EventID]],IF(MainData[Product]="Date",MainData[EventID],0),0),12),0))</f>
        <v>44617</v>
      </c>
      <c r="F1478" s="155" cm="1">
        <f t="array" ref="F1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8" s="155" cm="1">
        <f t="array" ref="G1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8" s="2" t="str" cm="1">
        <f t="array" ref="H1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8" s="157" t="s">
        <v>84</v>
      </c>
      <c r="J1478" t="s">
        <v>187</v>
      </c>
      <c r="K1478" s="2" t="s">
        <v>157</v>
      </c>
      <c r="L1478" s="2" t="s">
        <v>165</v>
      </c>
      <c r="M1478" s="2" t="s">
        <v>405</v>
      </c>
      <c r="N1478" s="2"/>
      <c r="O1478" s="109"/>
      <c r="P1478" s="109"/>
      <c r="Q1478" s="109"/>
    </row>
    <row r="1479" spans="2:17" x14ac:dyDescent="0.25">
      <c r="B1479" s="114">
        <v>36</v>
      </c>
      <c r="C1479" s="114">
        <v>92</v>
      </c>
      <c r="D1479" s="114">
        <v>111</v>
      </c>
      <c r="E1479" s="154" cm="1">
        <f t="array" ref="E1479">IF(ISBLANK(MainData[[#This Row],[EventID]]),0,IFERROR(INDEX(MainData[],MATCH(MainData[[#This Row],[EventID]],IF(MainData[Product]="Date",MainData[EventID],0),0),12),0))</f>
        <v>44617</v>
      </c>
      <c r="F1479" s="155" cm="1">
        <f t="array" ref="F1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9" s="155" cm="1">
        <f t="array" ref="G1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9" s="2" t="str" cm="1">
        <f t="array" ref="H1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9" s="20" t="s">
        <v>85</v>
      </c>
      <c r="J1479" t="s">
        <v>20</v>
      </c>
      <c r="K1479" s="2" t="s">
        <v>116</v>
      </c>
      <c r="L1479" s="2" t="s">
        <v>88</v>
      </c>
      <c r="M1479" s="2" t="s">
        <v>189</v>
      </c>
      <c r="N1479" s="2" t="s">
        <v>233</v>
      </c>
      <c r="O1479" s="109">
        <v>2</v>
      </c>
      <c r="P1479" s="109"/>
      <c r="Q1479" s="109"/>
    </row>
    <row r="1480" spans="2:17" x14ac:dyDescent="0.25">
      <c r="B1480" s="114">
        <v>36</v>
      </c>
      <c r="C1480" s="114">
        <v>92</v>
      </c>
      <c r="D1480" s="114">
        <v>111</v>
      </c>
      <c r="E1480" s="154" cm="1">
        <f t="array" ref="E1480">IF(ISBLANK(MainData[[#This Row],[EventID]]),0,IFERROR(INDEX(MainData[],MATCH(MainData[[#This Row],[EventID]],IF(MainData[Product]="Date",MainData[EventID],0),0),12),0))</f>
        <v>44617</v>
      </c>
      <c r="F1480" s="155" cm="1">
        <f t="array" ref="F1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0" s="155" cm="1">
        <f t="array" ref="G1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0" s="2" t="str" cm="1">
        <f t="array" ref="H1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0" s="20" t="s">
        <v>85</v>
      </c>
      <c r="J1480" t="s">
        <v>20</v>
      </c>
      <c r="K1480" s="2" t="s">
        <v>116</v>
      </c>
      <c r="L1480" s="2" t="s">
        <v>87</v>
      </c>
      <c r="M1480" s="2" t="s">
        <v>188</v>
      </c>
      <c r="N1480" s="2" t="s">
        <v>233</v>
      </c>
      <c r="O1480" s="109">
        <v>5</v>
      </c>
      <c r="P1480" s="109"/>
      <c r="Q1480" s="109">
        <v>500</v>
      </c>
    </row>
    <row r="1481" spans="2:17" x14ac:dyDescent="0.25">
      <c r="B1481" s="114">
        <v>36</v>
      </c>
      <c r="C1481" s="114">
        <v>92</v>
      </c>
      <c r="D1481" s="114">
        <v>111</v>
      </c>
      <c r="E1481" s="154" cm="1">
        <f t="array" ref="E1481">IF(ISBLANK(MainData[[#This Row],[EventID]]),0,IFERROR(INDEX(MainData[],MATCH(MainData[[#This Row],[EventID]],IF(MainData[Product]="Date",MainData[EventID],0),0),12),0))</f>
        <v>44617</v>
      </c>
      <c r="F1481" s="155" cm="1">
        <f t="array" ref="F1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1" s="155" cm="1">
        <f t="array" ref="G1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1" s="2" t="str" cm="1">
        <f t="array" ref="H1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1" s="157" t="s">
        <v>85</v>
      </c>
      <c r="J1481" t="s">
        <v>20</v>
      </c>
      <c r="K1481" s="2" t="s">
        <v>29</v>
      </c>
      <c r="L1481" s="2" t="s">
        <v>35</v>
      </c>
      <c r="M1481" s="2" t="s">
        <v>382</v>
      </c>
      <c r="N1481" s="2" t="s">
        <v>234</v>
      </c>
      <c r="O1481" s="109">
        <v>5</v>
      </c>
      <c r="P1481" s="109">
        <v>480</v>
      </c>
      <c r="Q1481" s="109">
        <v>4690</v>
      </c>
    </row>
    <row r="1482" spans="2:17" x14ac:dyDescent="0.25">
      <c r="B1482" s="114">
        <v>36</v>
      </c>
      <c r="C1482" s="114">
        <v>92</v>
      </c>
      <c r="D1482" s="114">
        <v>111</v>
      </c>
      <c r="E1482" s="154" cm="1">
        <f t="array" ref="E1482">IF(ISBLANK(MainData[[#This Row],[EventID]]),0,IFERROR(INDEX(MainData[],MATCH(MainData[[#This Row],[EventID]],IF(MainData[Product]="Date",MainData[EventID],0),0),12),0))</f>
        <v>44617</v>
      </c>
      <c r="F1482" s="155" cm="1">
        <f t="array" ref="F1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2" s="155" cm="1">
        <f t="array" ref="G1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2" s="2" t="str" cm="1">
        <f t="array" ref="H1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2" s="20" t="s">
        <v>85</v>
      </c>
      <c r="J1482" t="s">
        <v>20</v>
      </c>
      <c r="K1482" s="2" t="s">
        <v>29</v>
      </c>
      <c r="L1482" s="2" t="s">
        <v>36</v>
      </c>
      <c r="M1482" s="2" t="s">
        <v>384</v>
      </c>
      <c r="N1482" s="2" t="s">
        <v>234</v>
      </c>
      <c r="O1482" s="109">
        <v>5</v>
      </c>
      <c r="P1482" s="109">
        <v>244.13</v>
      </c>
      <c r="Q1482" s="109">
        <v>4488</v>
      </c>
    </row>
    <row r="1483" spans="2:17" x14ac:dyDescent="0.25">
      <c r="B1483" s="114">
        <v>36</v>
      </c>
      <c r="C1483" s="114">
        <v>92</v>
      </c>
      <c r="D1483" s="114">
        <v>111</v>
      </c>
      <c r="E1483" s="154" cm="1">
        <f t="array" ref="E1483">IF(ISBLANK(MainData[[#This Row],[EventID]]),0,IFERROR(INDEX(MainData[],MATCH(MainData[[#This Row],[EventID]],IF(MainData[Product]="Date",MainData[EventID],0),0),12),0))</f>
        <v>44617</v>
      </c>
      <c r="F1483" s="155" cm="1">
        <f t="array" ref="F1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3" s="155" cm="1">
        <f t="array" ref="G1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3" s="2" t="str" cm="1">
        <f t="array" ref="H1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3" s="157" t="s">
        <v>85</v>
      </c>
      <c r="J1483" t="s">
        <v>20</v>
      </c>
      <c r="K1483" s="2" t="s">
        <v>29</v>
      </c>
      <c r="L1483" s="2" t="s">
        <v>65</v>
      </c>
      <c r="M1483" s="2" t="s">
        <v>383</v>
      </c>
      <c r="N1483" s="2" t="s">
        <v>234</v>
      </c>
      <c r="O1483" s="109">
        <v>5</v>
      </c>
      <c r="P1483" s="109">
        <v>50</v>
      </c>
      <c r="Q1483" s="109">
        <v>975</v>
      </c>
    </row>
    <row r="1484" spans="2:17" x14ac:dyDescent="0.25">
      <c r="B1484" s="114">
        <v>36</v>
      </c>
      <c r="C1484" s="114">
        <v>92</v>
      </c>
      <c r="D1484" s="114">
        <v>111</v>
      </c>
      <c r="E1484" s="154" cm="1">
        <f t="array" ref="E1484">IF(ISBLANK(MainData[[#This Row],[EventID]]),0,IFERROR(INDEX(MainData[],MATCH(MainData[[#This Row],[EventID]],IF(MainData[Product]="Date",MainData[EventID],0),0),12),0))</f>
        <v>44617</v>
      </c>
      <c r="F1484" s="155" cm="1">
        <f t="array" ref="F1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4" s="155" cm="1">
        <f t="array" ref="G1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4" s="2" t="str" cm="1">
        <f t="array" ref="H1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4" s="157" t="s">
        <v>85</v>
      </c>
      <c r="J1484" t="s">
        <v>20</v>
      </c>
      <c r="K1484" s="2" t="s">
        <v>29</v>
      </c>
      <c r="L1484" s="2" t="s">
        <v>25</v>
      </c>
      <c r="M1484" s="2" t="s">
        <v>388</v>
      </c>
      <c r="N1484" s="2" t="s">
        <v>234</v>
      </c>
      <c r="O1484" s="109">
        <v>5</v>
      </c>
      <c r="P1484" s="109">
        <v>670</v>
      </c>
      <c r="Q1484" s="109">
        <v>6840</v>
      </c>
    </row>
    <row r="1485" spans="2:17" x14ac:dyDescent="0.25">
      <c r="B1485" s="114">
        <v>6</v>
      </c>
      <c r="C1485" s="114">
        <v>9</v>
      </c>
      <c r="D1485" s="114">
        <v>109</v>
      </c>
      <c r="E1485" s="154" cm="1">
        <f t="array" ref="E1485">IF(ISBLANK(MainData[[#This Row],[EventID]]),0,IFERROR(INDEX(MainData[],MATCH(MainData[[#This Row],[EventID]],IF(MainData[Product]="Date",MainData[EventID],0),0),12),0))</f>
        <v>44617</v>
      </c>
      <c r="F1485" s="155" cm="1">
        <f t="array" ref="F1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5" s="155" cm="1">
        <f t="array" ref="G1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5" s="220" t="str" cm="1">
        <f t="array" ref="H1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5" s="157" t="s">
        <v>84</v>
      </c>
      <c r="J1485" t="s">
        <v>187</v>
      </c>
      <c r="K1485" s="2" t="s">
        <v>157</v>
      </c>
      <c r="L1485" s="2" t="s">
        <v>150</v>
      </c>
      <c r="M1485" s="2">
        <v>1</v>
      </c>
      <c r="N1485" s="2"/>
      <c r="O1485" s="109"/>
      <c r="P1485" s="109"/>
      <c r="Q1485" s="109"/>
    </row>
    <row r="1486" spans="2:17" x14ac:dyDescent="0.25">
      <c r="B1486" s="114">
        <v>6</v>
      </c>
      <c r="C1486" s="114">
        <v>9</v>
      </c>
      <c r="D1486" s="114">
        <v>109</v>
      </c>
      <c r="E1486" s="154" cm="1">
        <f t="array" ref="E1486">IF(ISBLANK(MainData[[#This Row],[EventID]]),0,IFERROR(INDEX(MainData[],MATCH(MainData[[#This Row],[EventID]],IF(MainData[Product]="Date",MainData[EventID],0),0),12),0))</f>
        <v>44617</v>
      </c>
      <c r="F1486" s="155" cm="1">
        <f t="array" ref="F1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6" s="155" cm="1">
        <f t="array" ref="G1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6" s="2" t="str" cm="1">
        <f t="array" ref="H1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6" s="157" t="s">
        <v>84</v>
      </c>
      <c r="J1486" t="s">
        <v>187</v>
      </c>
      <c r="K1486" s="2" t="s">
        <v>157</v>
      </c>
      <c r="L1486" s="2" t="s">
        <v>81</v>
      </c>
      <c r="M1486" s="2">
        <v>1</v>
      </c>
      <c r="N1486" s="2"/>
      <c r="O1486" s="109"/>
      <c r="P1486" s="109"/>
      <c r="Q1486" s="109"/>
    </row>
    <row r="1487" spans="2:17" x14ac:dyDescent="0.25">
      <c r="B1487" s="114">
        <v>6</v>
      </c>
      <c r="C1487" s="114">
        <v>9</v>
      </c>
      <c r="D1487" s="114">
        <v>109</v>
      </c>
      <c r="E1487" s="154" cm="1">
        <f t="array" ref="E1487">IF(ISBLANK(MainData[[#This Row],[EventID]]),0,IFERROR(INDEX(MainData[],MATCH(MainData[[#This Row],[EventID]],IF(MainData[Product]="Date",MainData[EventID],0),0),12),0))</f>
        <v>44617</v>
      </c>
      <c r="F1487" s="155" cm="1">
        <f t="array" ref="F1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7" s="155" cm="1">
        <f t="array" ref="G1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7" s="2" t="str" cm="1">
        <f t="array" ref="H1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7" s="157" t="s">
        <v>84</v>
      </c>
      <c r="J1487" t="s">
        <v>187</v>
      </c>
      <c r="K1487" s="2" t="s">
        <v>157</v>
      </c>
      <c r="L1487" s="2" t="s">
        <v>164</v>
      </c>
      <c r="M1487" s="2" t="s">
        <v>411</v>
      </c>
      <c r="N1487" s="2"/>
      <c r="O1487" s="109"/>
      <c r="P1487" s="109"/>
      <c r="Q1487" s="109"/>
    </row>
    <row r="1488" spans="2:17" x14ac:dyDescent="0.25">
      <c r="B1488" s="114">
        <v>6</v>
      </c>
      <c r="C1488" s="114">
        <v>9</v>
      </c>
      <c r="D1488" s="114">
        <v>109</v>
      </c>
      <c r="E1488" s="154" cm="1">
        <f t="array" ref="E1488">IF(ISBLANK(MainData[[#This Row],[EventID]]),0,IFERROR(INDEX(MainData[],MATCH(MainData[[#This Row],[EventID]],IF(MainData[Product]="Date",MainData[EventID],0),0),12),0))</f>
        <v>44617</v>
      </c>
      <c r="F1488" s="155" cm="1">
        <f t="array" ref="F1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8" s="155" cm="1">
        <f t="array" ref="G1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8" s="2" t="str" cm="1">
        <f t="array" ref="H1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8" s="157" t="s">
        <v>84</v>
      </c>
      <c r="J1488" t="s">
        <v>187</v>
      </c>
      <c r="K1488" s="2" t="s">
        <v>157</v>
      </c>
      <c r="L1488" s="2" t="s">
        <v>0</v>
      </c>
      <c r="M1488" s="158">
        <v>44617</v>
      </c>
      <c r="N1488" s="2"/>
      <c r="O1488" s="109"/>
      <c r="P1488" s="109"/>
      <c r="Q1488" s="109"/>
    </row>
    <row r="1489" spans="2:17" x14ac:dyDescent="0.25">
      <c r="B1489" s="114">
        <v>6</v>
      </c>
      <c r="C1489" s="114">
        <v>9</v>
      </c>
      <c r="D1489" s="114">
        <v>109</v>
      </c>
      <c r="E1489" s="154" cm="1">
        <f t="array" ref="E1489">IF(ISBLANK(MainData[[#This Row],[EventID]]),0,IFERROR(INDEX(MainData[],MATCH(MainData[[#This Row],[EventID]],IF(MainData[Product]="Date",MainData[EventID],0),0),12),0))</f>
        <v>44617</v>
      </c>
      <c r="F1489" s="155" cm="1">
        <f t="array" ref="F1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9" s="155" cm="1">
        <f t="array" ref="G1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9" s="2" t="str" cm="1">
        <f t="array" ref="H1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9" s="157" t="s">
        <v>84</v>
      </c>
      <c r="J1489" t="s">
        <v>187</v>
      </c>
      <c r="K1489" s="2" t="s">
        <v>157</v>
      </c>
      <c r="L1489" s="2" t="s">
        <v>82</v>
      </c>
      <c r="M1489" s="2">
        <v>979038</v>
      </c>
      <c r="N1489" s="2"/>
      <c r="O1489" s="109"/>
      <c r="P1489" s="109"/>
      <c r="Q1489" s="109"/>
    </row>
    <row r="1490" spans="2:17" x14ac:dyDescent="0.25">
      <c r="B1490" s="114">
        <v>6</v>
      </c>
      <c r="C1490" s="114">
        <v>9</v>
      </c>
      <c r="D1490" s="114">
        <v>109</v>
      </c>
      <c r="E1490" s="154" cm="1">
        <f t="array" ref="E1490">IF(ISBLANK(MainData[[#This Row],[EventID]]),0,IFERROR(INDEX(MainData[],MATCH(MainData[[#This Row],[EventID]],IF(MainData[Product]="Date",MainData[EventID],0),0),12),0))</f>
        <v>44617</v>
      </c>
      <c r="F1490" s="155" cm="1">
        <f t="array" ref="F1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0" s="155" cm="1">
        <f t="array" ref="G1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0" s="2" t="str" cm="1">
        <f t="array" ref="H1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0" s="157" t="s">
        <v>84</v>
      </c>
      <c r="J1490" t="s">
        <v>187</v>
      </c>
      <c r="K1490" s="2" t="s">
        <v>157</v>
      </c>
      <c r="L1490" s="2" t="s">
        <v>175</v>
      </c>
      <c r="M1490" s="2" t="s">
        <v>475</v>
      </c>
      <c r="N1490" s="2"/>
      <c r="O1490" s="109"/>
      <c r="P1490" s="109"/>
      <c r="Q1490" s="109"/>
    </row>
    <row r="1491" spans="2:17" x14ac:dyDescent="0.25">
      <c r="B1491" s="114">
        <v>6</v>
      </c>
      <c r="C1491" s="114">
        <v>9</v>
      </c>
      <c r="D1491" s="114">
        <v>109</v>
      </c>
      <c r="E1491" s="154" cm="1">
        <f t="array" ref="E1491">IF(ISBLANK(MainData[[#This Row],[EventID]]),0,IFERROR(INDEX(MainData[],MATCH(MainData[[#This Row],[EventID]],IF(MainData[Product]="Date",MainData[EventID],0),0),12),0))</f>
        <v>44617</v>
      </c>
      <c r="F1491" s="155" cm="1">
        <f t="array" ref="F1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1" s="155" cm="1">
        <f t="array" ref="G1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1" s="2" t="str" cm="1">
        <f t="array" ref="H1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1" s="157" t="s">
        <v>84</v>
      </c>
      <c r="J1491" t="s">
        <v>187</v>
      </c>
      <c r="K1491" s="2" t="s">
        <v>157</v>
      </c>
      <c r="L1491" s="2" t="s">
        <v>20</v>
      </c>
      <c r="M1491" s="2" t="s">
        <v>400</v>
      </c>
      <c r="N1491" s="2"/>
      <c r="O1491" s="109"/>
      <c r="P1491" s="109"/>
      <c r="Q1491" s="109"/>
    </row>
    <row r="1492" spans="2:17" x14ac:dyDescent="0.25">
      <c r="B1492" s="114">
        <v>6</v>
      </c>
      <c r="C1492" s="114">
        <v>9</v>
      </c>
      <c r="D1492" s="114">
        <v>109</v>
      </c>
      <c r="E1492" s="154" cm="1">
        <f t="array" ref="E1492">IF(ISBLANK(MainData[[#This Row],[EventID]]),0,IFERROR(INDEX(MainData[],MATCH(MainData[[#This Row],[EventID]],IF(MainData[Product]="Date",MainData[EventID],0),0),12),0))</f>
        <v>44617</v>
      </c>
      <c r="F1492" s="155" cm="1">
        <f t="array" ref="F1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2" s="155" cm="1">
        <f t="array" ref="G1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2" s="2" t="str" cm="1">
        <f t="array" ref="H1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2" s="157" t="s">
        <v>84</v>
      </c>
      <c r="J1492" t="s">
        <v>187</v>
      </c>
      <c r="K1492" s="2" t="s">
        <v>157</v>
      </c>
      <c r="L1492" s="2" t="s">
        <v>138</v>
      </c>
      <c r="M1492" s="2">
        <v>15</v>
      </c>
      <c r="N1492" s="2"/>
      <c r="O1492" s="109"/>
      <c r="P1492" s="109"/>
      <c r="Q1492" s="109"/>
    </row>
    <row r="1493" spans="2:17" x14ac:dyDescent="0.25">
      <c r="B1493" s="114">
        <v>6</v>
      </c>
      <c r="C1493" s="114">
        <v>9</v>
      </c>
      <c r="D1493" s="114">
        <v>109</v>
      </c>
      <c r="E1493" s="154" cm="1">
        <f t="array" ref="E1493">IF(ISBLANK(MainData[[#This Row],[EventID]]),0,IFERROR(INDEX(MainData[],MATCH(MainData[[#This Row],[EventID]],IF(MainData[Product]="Date",MainData[EventID],0),0),12),0))</f>
        <v>44617</v>
      </c>
      <c r="F1493" s="155" cm="1">
        <f t="array" ref="F1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3" s="155" cm="1">
        <f t="array" ref="G1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3" s="2" t="str" cm="1">
        <f t="array" ref="H1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3" s="157" t="s">
        <v>84</v>
      </c>
      <c r="J1493" t="s">
        <v>187</v>
      </c>
      <c r="K1493" s="2" t="s">
        <v>157</v>
      </c>
      <c r="L1493" s="2" t="s">
        <v>86</v>
      </c>
      <c r="M1493" s="2">
        <v>1</v>
      </c>
      <c r="N1493" s="2"/>
      <c r="O1493" s="109"/>
      <c r="P1493" s="109"/>
      <c r="Q1493" s="109"/>
    </row>
    <row r="1494" spans="2:17" x14ac:dyDescent="0.25">
      <c r="B1494" s="114">
        <v>6</v>
      </c>
      <c r="C1494" s="114">
        <v>9</v>
      </c>
      <c r="D1494" s="114">
        <v>109</v>
      </c>
      <c r="E1494" s="154" cm="1">
        <f t="array" ref="E1494">IF(ISBLANK(MainData[[#This Row],[EventID]]),0,IFERROR(INDEX(MainData[],MATCH(MainData[[#This Row],[EventID]],IF(MainData[Product]="Date",MainData[EventID],0),0),12),0))</f>
        <v>44617</v>
      </c>
      <c r="F1494" s="155" cm="1">
        <f t="array" ref="F1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4" s="155" cm="1">
        <f t="array" ref="G1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4" s="2" t="str" cm="1">
        <f t="array" ref="H1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4" s="157" t="s">
        <v>84</v>
      </c>
      <c r="J1494" t="s">
        <v>187</v>
      </c>
      <c r="K1494" s="2" t="s">
        <v>157</v>
      </c>
      <c r="L1494" s="2" t="s">
        <v>118</v>
      </c>
      <c r="M1494" s="2" t="s">
        <v>496</v>
      </c>
      <c r="N1494" s="2"/>
      <c r="O1494" s="109"/>
      <c r="P1494" s="109"/>
      <c r="Q1494" s="109"/>
    </row>
    <row r="1495" spans="2:17" x14ac:dyDescent="0.25">
      <c r="B1495" s="114">
        <v>6</v>
      </c>
      <c r="C1495" s="114">
        <v>9</v>
      </c>
      <c r="D1495" s="114">
        <v>109</v>
      </c>
      <c r="E1495" s="154" cm="1">
        <f t="array" ref="E1495">IF(ISBLANK(MainData[[#This Row],[EventID]]),0,IFERROR(INDEX(MainData[],MATCH(MainData[[#This Row],[EventID]],IF(MainData[Product]="Date",MainData[EventID],0),0),12),0))</f>
        <v>44617</v>
      </c>
      <c r="F1495" s="155" cm="1">
        <f t="array" ref="F1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5" s="155" cm="1">
        <f t="array" ref="G1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5" s="2" t="str" cm="1">
        <f t="array" ref="H1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5" s="157" t="s">
        <v>84</v>
      </c>
      <c r="J1495" t="s">
        <v>187</v>
      </c>
      <c r="K1495" s="2" t="s">
        <v>157</v>
      </c>
      <c r="L1495" s="2" t="s">
        <v>165</v>
      </c>
      <c r="M1495" s="2" t="s">
        <v>410</v>
      </c>
      <c r="N1495" s="2"/>
      <c r="O1495" s="109"/>
      <c r="P1495" s="109"/>
      <c r="Q1495" s="109"/>
    </row>
    <row r="1496" spans="2:17" x14ac:dyDescent="0.25">
      <c r="B1496" s="114">
        <v>6</v>
      </c>
      <c r="C1496" s="114">
        <v>9</v>
      </c>
      <c r="D1496" s="114">
        <v>109</v>
      </c>
      <c r="E1496" s="154" cm="1">
        <f t="array" ref="E1496">IF(ISBLANK(MainData[[#This Row],[EventID]]),0,IFERROR(INDEX(MainData[],MATCH(MainData[[#This Row],[EventID]],IF(MainData[Product]="Date",MainData[EventID],0),0),12),0))</f>
        <v>44617</v>
      </c>
      <c r="F1496" s="155" cm="1">
        <f t="array" ref="F1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6" s="155" cm="1">
        <f t="array" ref="G1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6" s="2" t="str" cm="1">
        <f t="array" ref="H1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6" s="20" t="s">
        <v>85</v>
      </c>
      <c r="J1496" t="s">
        <v>21</v>
      </c>
      <c r="K1496" s="2" t="s">
        <v>116</v>
      </c>
      <c r="L1496" s="2" t="s">
        <v>107</v>
      </c>
      <c r="M1496" s="2" t="s">
        <v>190</v>
      </c>
      <c r="N1496" s="2" t="s">
        <v>233</v>
      </c>
      <c r="O1496" s="109">
        <v>1</v>
      </c>
      <c r="P1496" s="109"/>
      <c r="Q1496" s="109"/>
    </row>
    <row r="1497" spans="2:17" x14ac:dyDescent="0.25">
      <c r="B1497" s="114">
        <v>6</v>
      </c>
      <c r="C1497" s="114">
        <v>9</v>
      </c>
      <c r="D1497" s="114">
        <v>109</v>
      </c>
      <c r="E1497" s="154" cm="1">
        <f t="array" ref="E1497">IF(ISBLANK(MainData[[#This Row],[EventID]]),0,IFERROR(INDEX(MainData[],MATCH(MainData[[#This Row],[EventID]],IF(MainData[Product]="Date",MainData[EventID],0),0),12),0))</f>
        <v>44617</v>
      </c>
      <c r="F1497" s="155" cm="1">
        <f t="array" ref="F1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7" s="155" cm="1">
        <f t="array" ref="G1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7" s="2" t="str" cm="1">
        <f t="array" ref="H1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7" s="20" t="s">
        <v>85</v>
      </c>
      <c r="J1497" t="s">
        <v>21</v>
      </c>
      <c r="K1497" s="2" t="s">
        <v>29</v>
      </c>
      <c r="L1497" s="2" t="s">
        <v>25</v>
      </c>
      <c r="M1497" s="2" t="s">
        <v>6</v>
      </c>
      <c r="N1497" s="2" t="s">
        <v>235</v>
      </c>
      <c r="O1497" s="109">
        <v>1</v>
      </c>
      <c r="P1497" s="109">
        <v>11.5</v>
      </c>
      <c r="Q1497" s="109">
        <v>41</v>
      </c>
    </row>
    <row r="1498" spans="2:17" x14ac:dyDescent="0.25">
      <c r="B1498" s="114">
        <v>38</v>
      </c>
      <c r="C1498" s="114">
        <v>96</v>
      </c>
      <c r="D1498" s="114">
        <v>112</v>
      </c>
      <c r="E1498" s="154" cm="1">
        <f t="array" ref="E1498">IF(ISBLANK(MainData[[#This Row],[EventID]]),0,IFERROR(INDEX(MainData[],MATCH(MainData[[#This Row],[EventID]],IF(MainData[Product]="Date",MainData[EventID],0),0),12),0))</f>
        <v>44618</v>
      </c>
      <c r="F1498" s="155" cm="1">
        <f t="array" ref="F1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8" s="155" cm="1">
        <f t="array" ref="G1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8" s="2" t="str" cm="1">
        <f t="array" ref="H1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8" s="157" t="s">
        <v>84</v>
      </c>
      <c r="J1498" t="s">
        <v>187</v>
      </c>
      <c r="K1498" s="2" t="s">
        <v>157</v>
      </c>
      <c r="L1498" s="2" t="s">
        <v>81</v>
      </c>
      <c r="M1498" s="2">
        <v>1</v>
      </c>
      <c r="N1498" s="2"/>
      <c r="O1498" s="109"/>
      <c r="P1498" s="109"/>
      <c r="Q1498" s="109"/>
    </row>
    <row r="1499" spans="2:17" x14ac:dyDescent="0.25">
      <c r="B1499" s="114">
        <v>38</v>
      </c>
      <c r="C1499" s="114">
        <v>96</v>
      </c>
      <c r="D1499" s="114">
        <v>112</v>
      </c>
      <c r="E1499" s="154" cm="1">
        <f t="array" ref="E1499">IF(ISBLANK(MainData[[#This Row],[EventID]]),0,IFERROR(INDEX(MainData[],MATCH(MainData[[#This Row],[EventID]],IF(MainData[Product]="Date",MainData[EventID],0),0),12),0))</f>
        <v>44618</v>
      </c>
      <c r="F1499" s="155" cm="1">
        <f t="array" ref="F1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9" s="155" cm="1">
        <f t="array" ref="G1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9" s="2" t="str" cm="1">
        <f t="array" ref="H1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9" s="157" t="s">
        <v>84</v>
      </c>
      <c r="J1499" t="s">
        <v>187</v>
      </c>
      <c r="K1499" s="2" t="s">
        <v>157</v>
      </c>
      <c r="L1499" s="2" t="s">
        <v>164</v>
      </c>
      <c r="M1499" s="2" t="s">
        <v>362</v>
      </c>
      <c r="N1499" s="2"/>
      <c r="O1499" s="109"/>
      <c r="P1499" s="109"/>
      <c r="Q1499" s="109"/>
    </row>
    <row r="1500" spans="2:17" x14ac:dyDescent="0.25">
      <c r="B1500" s="114">
        <v>38</v>
      </c>
      <c r="C1500" s="114">
        <v>96</v>
      </c>
      <c r="D1500" s="114">
        <v>112</v>
      </c>
      <c r="E1500" s="154" cm="1">
        <f t="array" ref="E1500">IF(ISBLANK(MainData[[#This Row],[EventID]]),0,IFERROR(INDEX(MainData[],MATCH(MainData[[#This Row],[EventID]],IF(MainData[Product]="Date",MainData[EventID],0),0),12),0))</f>
        <v>44618</v>
      </c>
      <c r="F1500" s="155" cm="1">
        <f t="array" ref="F1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0" s="155" cm="1">
        <f t="array" ref="G1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0" s="2" t="str" cm="1">
        <f t="array" ref="H1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0" s="157" t="s">
        <v>84</v>
      </c>
      <c r="J1500" t="s">
        <v>187</v>
      </c>
      <c r="K1500" s="2" t="s">
        <v>157</v>
      </c>
      <c r="L1500" s="2" t="s">
        <v>0</v>
      </c>
      <c r="M1500" s="158">
        <v>44618</v>
      </c>
      <c r="N1500" s="2"/>
      <c r="O1500" s="109"/>
      <c r="P1500" s="109"/>
      <c r="Q1500" s="109"/>
    </row>
    <row r="1501" spans="2:17" x14ac:dyDescent="0.25">
      <c r="B1501" s="114">
        <v>38</v>
      </c>
      <c r="C1501" s="114">
        <v>96</v>
      </c>
      <c r="D1501" s="114">
        <v>112</v>
      </c>
      <c r="E1501" s="154" cm="1">
        <f t="array" ref="E1501">IF(ISBLANK(MainData[[#This Row],[EventID]]),0,IFERROR(INDEX(MainData[],MATCH(MainData[[#This Row],[EventID]],IF(MainData[Product]="Date",MainData[EventID],0),0),12),0))</f>
        <v>44618</v>
      </c>
      <c r="F1501" s="155" cm="1">
        <f t="array" ref="F1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1" s="155" cm="1">
        <f t="array" ref="G1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1" s="2" t="str" cm="1">
        <f t="array" ref="H1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1" s="157" t="s">
        <v>84</v>
      </c>
      <c r="J1501" t="s">
        <v>187</v>
      </c>
      <c r="K1501" s="2" t="s">
        <v>157</v>
      </c>
      <c r="L1501" s="2" t="s">
        <v>82</v>
      </c>
      <c r="M1501" s="2">
        <v>888888</v>
      </c>
      <c r="N1501" s="2"/>
      <c r="O1501" s="109"/>
      <c r="P1501" s="109"/>
      <c r="Q1501" s="109"/>
    </row>
    <row r="1502" spans="2:17" x14ac:dyDescent="0.25">
      <c r="B1502" s="114">
        <v>38</v>
      </c>
      <c r="C1502" s="114">
        <v>96</v>
      </c>
      <c r="D1502" s="114">
        <v>112</v>
      </c>
      <c r="E1502" s="154" cm="1">
        <f t="array" ref="E1502">IF(ISBLANK(MainData[[#This Row],[EventID]]),0,IFERROR(INDEX(MainData[],MATCH(MainData[[#This Row],[EventID]],IF(MainData[Product]="Date",MainData[EventID],0),0),12),0))</f>
        <v>44618</v>
      </c>
      <c r="F1502" s="155" cm="1">
        <f t="array" ref="F1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2" s="155" cm="1">
        <f t="array" ref="G1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2" s="2" t="str" cm="1">
        <f t="array" ref="H1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2" s="157" t="s">
        <v>84</v>
      </c>
      <c r="J1502" t="s">
        <v>187</v>
      </c>
      <c r="K1502" s="2" t="s">
        <v>157</v>
      </c>
      <c r="L1502" s="2" t="s">
        <v>175</v>
      </c>
      <c r="M1502" s="2" t="s">
        <v>502</v>
      </c>
      <c r="N1502" s="2"/>
      <c r="O1502" s="109"/>
      <c r="P1502" s="109"/>
      <c r="Q1502" s="109"/>
    </row>
    <row r="1503" spans="2:17" x14ac:dyDescent="0.25">
      <c r="B1503" s="114">
        <v>38</v>
      </c>
      <c r="C1503" s="114">
        <v>96</v>
      </c>
      <c r="D1503" s="114">
        <v>112</v>
      </c>
      <c r="E1503" s="154" cm="1">
        <f t="array" ref="E1503">IF(ISBLANK(MainData[[#This Row],[EventID]]),0,IFERROR(INDEX(MainData[],MATCH(MainData[[#This Row],[EventID]],IF(MainData[Product]="Date",MainData[EventID],0),0),12),0))</f>
        <v>44618</v>
      </c>
      <c r="F1503" s="155" cm="1">
        <f t="array" ref="F1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3" s="155" cm="1">
        <f t="array" ref="G1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3" s="2" t="str" cm="1">
        <f t="array" ref="H1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3" s="157" t="s">
        <v>84</v>
      </c>
      <c r="J1503" t="s">
        <v>187</v>
      </c>
      <c r="K1503" s="2" t="s">
        <v>157</v>
      </c>
      <c r="L1503" s="2" t="s">
        <v>20</v>
      </c>
      <c r="M1503" s="2" t="s">
        <v>361</v>
      </c>
      <c r="N1503" s="2"/>
      <c r="O1503" s="109"/>
      <c r="P1503" s="109"/>
      <c r="Q1503" s="109"/>
    </row>
    <row r="1504" spans="2:17" x14ac:dyDescent="0.25">
      <c r="B1504" s="114">
        <v>38</v>
      </c>
      <c r="C1504" s="114">
        <v>96</v>
      </c>
      <c r="D1504" s="114">
        <v>112</v>
      </c>
      <c r="E1504" s="154" cm="1">
        <f t="array" ref="E1504">IF(ISBLANK(MainData[[#This Row],[EventID]]),0,IFERROR(INDEX(MainData[],MATCH(MainData[[#This Row],[EventID]],IF(MainData[Product]="Date",MainData[EventID],0),0),12),0))</f>
        <v>44618</v>
      </c>
      <c r="F1504" s="155" cm="1">
        <f t="array" ref="F1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4" s="155" cm="1">
        <f t="array" ref="G1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4" s="2" t="str" cm="1">
        <f t="array" ref="H1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4" s="157" t="s">
        <v>84</v>
      </c>
      <c r="J1504" t="s">
        <v>187</v>
      </c>
      <c r="K1504" s="2" t="s">
        <v>157</v>
      </c>
      <c r="L1504" s="2" t="s">
        <v>138</v>
      </c>
      <c r="M1504" s="2">
        <v>100</v>
      </c>
      <c r="N1504" s="2"/>
      <c r="O1504" s="109"/>
      <c r="P1504" s="109"/>
      <c r="Q1504" s="109"/>
    </row>
    <row r="1505" spans="2:17" x14ac:dyDescent="0.25">
      <c r="B1505" s="114">
        <v>38</v>
      </c>
      <c r="C1505" s="114">
        <v>96</v>
      </c>
      <c r="D1505" s="114">
        <v>112</v>
      </c>
      <c r="E1505" s="154" cm="1">
        <f t="array" ref="E1505">IF(ISBLANK(MainData[[#This Row],[EventID]]),0,IFERROR(INDEX(MainData[],MATCH(MainData[[#This Row],[EventID]],IF(MainData[Product]="Date",MainData[EventID],0),0),12),0))</f>
        <v>44618</v>
      </c>
      <c r="F1505" s="155" cm="1">
        <f t="array" ref="F1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5" s="155" cm="1">
        <f t="array" ref="G1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5" s="2" t="str" cm="1">
        <f t="array" ref="H1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5" s="157" t="s">
        <v>84</v>
      </c>
      <c r="J1505" t="s">
        <v>187</v>
      </c>
      <c r="K1505" s="2" t="s">
        <v>157</v>
      </c>
      <c r="L1505" s="2" t="s">
        <v>86</v>
      </c>
      <c r="M1505" s="2">
        <v>2</v>
      </c>
      <c r="N1505" s="2"/>
      <c r="O1505" s="109"/>
      <c r="P1505" s="109"/>
      <c r="Q1505" s="109"/>
    </row>
    <row r="1506" spans="2:17" x14ac:dyDescent="0.25">
      <c r="B1506" s="114">
        <v>38</v>
      </c>
      <c r="C1506" s="114">
        <v>96</v>
      </c>
      <c r="D1506" s="114">
        <v>112</v>
      </c>
      <c r="E1506" s="154" cm="1">
        <f t="array" ref="E1506">IF(ISBLANK(MainData[[#This Row],[EventID]]),0,IFERROR(INDEX(MainData[],MATCH(MainData[[#This Row],[EventID]],IF(MainData[Product]="Date",MainData[EventID],0),0),12),0))</f>
        <v>44618</v>
      </c>
      <c r="F1506" s="155" cm="1">
        <f t="array" ref="F1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6" s="155" cm="1">
        <f t="array" ref="G1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6" s="2" t="str" cm="1">
        <f t="array" ref="H1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6" s="157" t="s">
        <v>84</v>
      </c>
      <c r="J1506" t="s">
        <v>187</v>
      </c>
      <c r="K1506" s="2" t="s">
        <v>157</v>
      </c>
      <c r="L1506" s="2" t="s">
        <v>165</v>
      </c>
      <c r="M1506" s="2" t="s">
        <v>410</v>
      </c>
      <c r="N1506" s="2"/>
      <c r="O1506" s="109"/>
      <c r="P1506" s="109"/>
      <c r="Q1506" s="109"/>
    </row>
    <row r="1507" spans="2:17" x14ac:dyDescent="0.25">
      <c r="B1507" s="114">
        <v>38</v>
      </c>
      <c r="C1507" s="114">
        <v>96</v>
      </c>
      <c r="D1507" s="114">
        <v>112</v>
      </c>
      <c r="E1507" s="154" cm="1">
        <f t="array" ref="E1507">IF(ISBLANK(MainData[[#This Row],[EventID]]),0,IFERROR(INDEX(MainData[],MATCH(MainData[[#This Row],[EventID]],IF(MainData[Product]="Date",MainData[EventID],0),0),12),0))</f>
        <v>44618</v>
      </c>
      <c r="F1507" s="155" cm="1">
        <f t="array" ref="F1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7" s="155" cm="1">
        <f t="array" ref="G1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7" s="2" t="str" cm="1">
        <f t="array" ref="H1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7" s="157" t="s">
        <v>84</v>
      </c>
      <c r="J1507" t="s">
        <v>187</v>
      </c>
      <c r="K1507" s="2" t="s">
        <v>157</v>
      </c>
      <c r="L1507" s="2" t="s">
        <v>232</v>
      </c>
      <c r="M1507" s="158" t="s">
        <v>85</v>
      </c>
      <c r="N1507" s="2"/>
      <c r="O1507" s="109"/>
      <c r="P1507" s="109"/>
      <c r="Q1507" s="109"/>
    </row>
    <row r="1508" spans="2:17" x14ac:dyDescent="0.25">
      <c r="B1508" s="114">
        <v>38</v>
      </c>
      <c r="C1508" s="114">
        <v>96</v>
      </c>
      <c r="D1508" s="114">
        <v>112</v>
      </c>
      <c r="E1508" s="154" cm="1">
        <f t="array" ref="E1508">IF(ISBLANK(MainData[[#This Row],[EventID]]),0,IFERROR(INDEX(MainData[],MATCH(MainData[[#This Row],[EventID]],IF(MainData[Product]="Date",MainData[EventID],0),0),12),0))</f>
        <v>44618</v>
      </c>
      <c r="F1508" s="155" cm="1">
        <f t="array" ref="F1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8" s="155" cm="1">
        <f t="array" ref="G1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8" s="2" t="str" cm="1">
        <f t="array" ref="H1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8" s="157" t="s">
        <v>85</v>
      </c>
      <c r="J1508" t="s">
        <v>21</v>
      </c>
      <c r="K1508" s="2" t="s">
        <v>123</v>
      </c>
      <c r="L1508" s="2" t="s">
        <v>132</v>
      </c>
      <c r="M1508" s="2" t="s">
        <v>506</v>
      </c>
      <c r="N1508" s="2"/>
      <c r="O1508" s="109">
        <v>1</v>
      </c>
      <c r="P1508" s="109"/>
      <c r="Q1508" s="109"/>
    </row>
    <row r="1509" spans="2:17" x14ac:dyDescent="0.25">
      <c r="B1509" s="114">
        <v>38</v>
      </c>
      <c r="C1509" s="114">
        <v>96</v>
      </c>
      <c r="D1509" s="114">
        <v>112</v>
      </c>
      <c r="E1509" s="154" cm="1">
        <f t="array" ref="E1509">IF(ISBLANK(MainData[[#This Row],[EventID]]),0,IFERROR(INDEX(MainData[],MATCH(MainData[[#This Row],[EventID]],IF(MainData[Product]="Date",MainData[EventID],0),0),12),0))</f>
        <v>44618</v>
      </c>
      <c r="F1509" s="155" cm="1">
        <f t="array" ref="F1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9" s="155" cm="1">
        <f t="array" ref="G1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9" s="2" t="str" cm="1">
        <f t="array" ref="H1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9" s="20" t="s">
        <v>85</v>
      </c>
      <c r="J1509" t="s">
        <v>21</v>
      </c>
      <c r="K1509" s="2" t="s">
        <v>116</v>
      </c>
      <c r="L1509" s="2" t="s">
        <v>88</v>
      </c>
      <c r="M1509" s="2" t="s">
        <v>189</v>
      </c>
      <c r="N1509" s="2" t="s">
        <v>233</v>
      </c>
      <c r="O1509" s="109">
        <v>1</v>
      </c>
      <c r="P1509" s="109"/>
      <c r="Q1509" s="109"/>
    </row>
    <row r="1510" spans="2:17" x14ac:dyDescent="0.25">
      <c r="B1510" s="114">
        <v>38</v>
      </c>
      <c r="C1510" s="114">
        <v>96</v>
      </c>
      <c r="D1510" s="114">
        <v>112</v>
      </c>
      <c r="E1510" s="154" cm="1">
        <f t="array" ref="E1510">IF(ISBLANK(MainData[[#This Row],[EventID]]),0,IFERROR(INDEX(MainData[],MATCH(MainData[[#This Row],[EventID]],IF(MainData[Product]="Date",MainData[EventID],0),0),12),0))</f>
        <v>44618</v>
      </c>
      <c r="F1510" s="155" cm="1">
        <f t="array" ref="F1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10" s="155" cm="1">
        <f t="array" ref="G1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0" s="2" t="str" cm="1">
        <f t="array" ref="H1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0" s="20" t="s">
        <v>85</v>
      </c>
      <c r="J1510" t="s">
        <v>21</v>
      </c>
      <c r="K1510" s="2" t="s">
        <v>116</v>
      </c>
      <c r="L1510" s="2" t="s">
        <v>87</v>
      </c>
      <c r="M1510" s="2" t="s">
        <v>188</v>
      </c>
      <c r="N1510" s="2" t="s">
        <v>233</v>
      </c>
      <c r="O1510" s="109">
        <v>1</v>
      </c>
      <c r="P1510" s="109"/>
      <c r="Q1510" s="109"/>
    </row>
    <row r="1511" spans="2:17" x14ac:dyDescent="0.25">
      <c r="B1511" s="114">
        <v>38</v>
      </c>
      <c r="C1511" s="114">
        <v>96</v>
      </c>
      <c r="D1511" s="114">
        <v>112</v>
      </c>
      <c r="E1511" s="154" cm="1">
        <f t="array" ref="E1511">IF(ISBLANK(MainData[[#This Row],[EventID]]),0,IFERROR(INDEX(MainData[],MATCH(MainData[[#This Row],[EventID]],IF(MainData[Product]="Date",MainData[EventID],0),0),12),0))</f>
        <v>44618</v>
      </c>
      <c r="F1511" s="155" cm="1">
        <f t="array" ref="F1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11" s="155" cm="1">
        <f t="array" ref="G1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1" s="2" t="str" cm="1">
        <f t="array" ref="H1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1" s="20" t="s">
        <v>85</v>
      </c>
      <c r="J1511" t="s">
        <v>21</v>
      </c>
      <c r="K1511" s="2" t="s">
        <v>29</v>
      </c>
      <c r="L1511" s="2" t="s">
        <v>36</v>
      </c>
      <c r="M1511" s="2" t="s">
        <v>386</v>
      </c>
      <c r="N1511" s="2" t="s">
        <v>236</v>
      </c>
      <c r="O1511" s="109">
        <v>1</v>
      </c>
      <c r="P1511" s="109">
        <v>15</v>
      </c>
      <c r="Q1511" s="109">
        <v>100</v>
      </c>
    </row>
    <row r="1512" spans="2:17" x14ac:dyDescent="0.25">
      <c r="B1512" s="114">
        <v>38</v>
      </c>
      <c r="C1512" s="114">
        <v>97</v>
      </c>
      <c r="D1512" s="114">
        <v>113</v>
      </c>
      <c r="E1512" s="154" cm="1">
        <f t="array" ref="E1512">IF(ISBLANK(MainData[[#This Row],[EventID]]),0,IFERROR(INDEX(MainData[],MATCH(MainData[[#This Row],[EventID]],IF(MainData[Product]="Date",MainData[EventID],0),0),12),0))</f>
        <v>44619</v>
      </c>
      <c r="F1512" s="155" cm="1">
        <f t="array" ref="F1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2" s="155" cm="1">
        <f t="array" ref="G1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2" s="2" t="str" cm="1">
        <f t="array" ref="H1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2" s="157" t="s">
        <v>84</v>
      </c>
      <c r="J1512" t="s">
        <v>187</v>
      </c>
      <c r="K1512" s="2" t="s">
        <v>157</v>
      </c>
      <c r="L1512" s="2" t="s">
        <v>81</v>
      </c>
      <c r="M1512" s="2">
        <v>1</v>
      </c>
      <c r="N1512" s="2"/>
      <c r="O1512" s="109"/>
      <c r="P1512" s="109"/>
      <c r="Q1512" s="109"/>
    </row>
    <row r="1513" spans="2:17" x14ac:dyDescent="0.25">
      <c r="B1513" s="114">
        <v>38</v>
      </c>
      <c r="C1513" s="114">
        <v>97</v>
      </c>
      <c r="D1513" s="114">
        <v>114</v>
      </c>
      <c r="E1513" s="154" cm="1">
        <f t="array" ref="E1513">IF(ISBLANK(MainData[[#This Row],[EventID]]),0,IFERROR(INDEX(MainData[],MATCH(MainData[[#This Row],[EventID]],IF(MainData[Product]="Date",MainData[EventID],0),0),12),0))</f>
        <v>44619</v>
      </c>
      <c r="F1513" s="155" cm="1">
        <f t="array" ref="F1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3" s="155" cm="1">
        <f t="array" ref="G1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3" s="2" t="str" cm="1">
        <f t="array" ref="H1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3" s="157" t="s">
        <v>84</v>
      </c>
      <c r="J1513" t="s">
        <v>187</v>
      </c>
      <c r="K1513" s="2" t="s">
        <v>157</v>
      </c>
      <c r="L1513" s="2" t="s">
        <v>81</v>
      </c>
      <c r="M1513" s="2">
        <v>2</v>
      </c>
      <c r="N1513" s="2"/>
      <c r="O1513" s="109"/>
      <c r="P1513" s="109"/>
      <c r="Q1513" s="109"/>
    </row>
    <row r="1514" spans="2:17" x14ac:dyDescent="0.25">
      <c r="B1514" s="114">
        <v>38</v>
      </c>
      <c r="C1514" s="114">
        <v>97</v>
      </c>
      <c r="D1514" s="114">
        <v>113</v>
      </c>
      <c r="E1514" s="154" cm="1">
        <f t="array" ref="E1514">IF(ISBLANK(MainData[[#This Row],[EventID]]),0,IFERROR(INDEX(MainData[],MATCH(MainData[[#This Row],[EventID]],IF(MainData[Product]="Date",MainData[EventID],0),0),12),0))</f>
        <v>44619</v>
      </c>
      <c r="F1514" s="155" cm="1">
        <f t="array" ref="F1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4" s="155" cm="1">
        <f t="array" ref="G1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4" s="2" t="str" cm="1">
        <f t="array" ref="H1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4" s="157" t="s">
        <v>84</v>
      </c>
      <c r="J1514" t="s">
        <v>187</v>
      </c>
      <c r="K1514" s="2" t="s">
        <v>157</v>
      </c>
      <c r="L1514" s="2" t="s">
        <v>0</v>
      </c>
      <c r="M1514" s="158">
        <v>44619</v>
      </c>
      <c r="N1514" s="2"/>
      <c r="O1514" s="109"/>
      <c r="P1514" s="109"/>
      <c r="Q1514" s="109"/>
    </row>
    <row r="1515" spans="2:17" x14ac:dyDescent="0.25">
      <c r="B1515" s="114">
        <v>38</v>
      </c>
      <c r="C1515" s="114">
        <v>97</v>
      </c>
      <c r="D1515" s="114">
        <v>113</v>
      </c>
      <c r="E1515" s="154" cm="1">
        <f t="array" ref="E1515">IF(ISBLANK(MainData[[#This Row],[EventID]]),0,IFERROR(INDEX(MainData[],MATCH(MainData[[#This Row],[EventID]],IF(MainData[Product]="Date",MainData[EventID],0),0),12),0))</f>
        <v>44619</v>
      </c>
      <c r="F1515" s="155" cm="1">
        <f t="array" ref="F1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5" s="155" cm="1">
        <f t="array" ref="G1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5" s="2" t="str" cm="1">
        <f t="array" ref="H1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5" s="157" t="s">
        <v>84</v>
      </c>
      <c r="J1515" t="s">
        <v>187</v>
      </c>
      <c r="K1515" s="2" t="s">
        <v>157</v>
      </c>
      <c r="L1515" s="2" t="s">
        <v>82</v>
      </c>
      <c r="M1515" s="2">
        <v>999999</v>
      </c>
      <c r="N1515" s="2"/>
      <c r="O1515" s="109"/>
      <c r="P1515" s="109"/>
      <c r="Q1515" s="109"/>
    </row>
    <row r="1516" spans="2:17" x14ac:dyDescent="0.25">
      <c r="B1516" s="114">
        <v>38</v>
      </c>
      <c r="C1516" s="114">
        <v>97</v>
      </c>
      <c r="D1516" s="114">
        <v>113</v>
      </c>
      <c r="E1516" s="154" cm="1">
        <f t="array" ref="E1516">IF(ISBLANK(MainData[[#This Row],[EventID]]),0,IFERROR(INDEX(MainData[],MATCH(MainData[[#This Row],[EventID]],IF(MainData[Product]="Date",MainData[EventID],0),0),12),0))</f>
        <v>44619</v>
      </c>
      <c r="F1516" s="155" cm="1">
        <f t="array" ref="F1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6" s="155" cm="1">
        <f t="array" ref="G1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6" s="2" t="str" cm="1">
        <f t="array" ref="H1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6" s="157" t="s">
        <v>84</v>
      </c>
      <c r="J1516" t="s">
        <v>187</v>
      </c>
      <c r="K1516" s="2" t="s">
        <v>157</v>
      </c>
      <c r="L1516" s="2" t="s">
        <v>175</v>
      </c>
      <c r="M1516" s="2" t="s">
        <v>457</v>
      </c>
      <c r="N1516" s="2"/>
      <c r="O1516" s="109"/>
      <c r="P1516" s="109"/>
      <c r="Q1516" s="109"/>
    </row>
    <row r="1517" spans="2:17" x14ac:dyDescent="0.25">
      <c r="B1517" s="114">
        <v>38</v>
      </c>
      <c r="C1517" s="114">
        <v>97</v>
      </c>
      <c r="D1517" s="114">
        <v>113</v>
      </c>
      <c r="E1517" s="154" cm="1">
        <f t="array" ref="E1517">IF(ISBLANK(MainData[[#This Row],[EventID]]),0,IFERROR(INDEX(MainData[],MATCH(MainData[[#This Row],[EventID]],IF(MainData[Product]="Date",MainData[EventID],0),0),12),0))</f>
        <v>44619</v>
      </c>
      <c r="F1517" s="155" cm="1">
        <f t="array" ref="F1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7" s="155" cm="1">
        <f t="array" ref="G1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7" s="220" t="str" cm="1">
        <f t="array" ref="H1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7" s="157" t="s">
        <v>84</v>
      </c>
      <c r="J1517" t="s">
        <v>187</v>
      </c>
      <c r="K1517" s="2" t="s">
        <v>157</v>
      </c>
      <c r="L1517" s="2" t="s">
        <v>138</v>
      </c>
      <c r="M1517" s="2">
        <v>150</v>
      </c>
      <c r="N1517" s="2"/>
      <c r="O1517" s="109"/>
      <c r="P1517" s="109"/>
      <c r="Q1517" s="109"/>
    </row>
    <row r="1518" spans="2:17" x14ac:dyDescent="0.25">
      <c r="B1518" s="114">
        <v>38</v>
      </c>
      <c r="C1518" s="114">
        <v>97</v>
      </c>
      <c r="D1518" s="114">
        <v>113</v>
      </c>
      <c r="E1518" s="154" cm="1">
        <f t="array" ref="E1518">IF(ISBLANK(MainData[[#This Row],[EventID]]),0,IFERROR(INDEX(MainData[],MATCH(MainData[[#This Row],[EventID]],IF(MainData[Product]="Date",MainData[EventID],0),0),12),0))</f>
        <v>44619</v>
      </c>
      <c r="F1518" s="155" cm="1">
        <f t="array" ref="F1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8" s="155" cm="1">
        <f t="array" ref="G1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8" s="2" t="str" cm="1">
        <f t="array" ref="H1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8" s="157" t="s">
        <v>84</v>
      </c>
      <c r="J1518" t="s">
        <v>187</v>
      </c>
      <c r="K1518" s="2" t="s">
        <v>157</v>
      </c>
      <c r="L1518" s="2" t="s">
        <v>108</v>
      </c>
      <c r="M1518" s="2">
        <v>175</v>
      </c>
      <c r="N1518" s="2"/>
      <c r="O1518" s="109"/>
      <c r="P1518" s="109"/>
      <c r="Q1518" s="109"/>
    </row>
    <row r="1519" spans="2:17" x14ac:dyDescent="0.25">
      <c r="B1519" s="114">
        <v>38</v>
      </c>
      <c r="C1519" s="114">
        <v>97</v>
      </c>
      <c r="D1519" s="114">
        <v>113</v>
      </c>
      <c r="E1519" s="154" cm="1">
        <f t="array" ref="E1519">IF(ISBLANK(MainData[[#This Row],[EventID]]),0,IFERROR(INDEX(MainData[],MATCH(MainData[[#This Row],[EventID]],IF(MainData[Product]="Date",MainData[EventID],0),0),12),0))</f>
        <v>44619</v>
      </c>
      <c r="F1519" s="155" cm="1">
        <f t="array" ref="F1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9" s="155" cm="1">
        <f t="array" ref="G1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9" s="2" t="str" cm="1">
        <f t="array" ref="H1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9" s="157" t="s">
        <v>84</v>
      </c>
      <c r="J1519" t="s">
        <v>187</v>
      </c>
      <c r="K1519" s="2" t="s">
        <v>157</v>
      </c>
      <c r="L1519" s="2" t="s">
        <v>86</v>
      </c>
      <c r="M1519" s="2">
        <v>2.5</v>
      </c>
      <c r="N1519" s="2"/>
      <c r="O1519" s="109"/>
      <c r="P1519" s="109"/>
      <c r="Q1519" s="109"/>
    </row>
    <row r="1520" spans="2:17" x14ac:dyDescent="0.25">
      <c r="B1520" s="114">
        <v>38</v>
      </c>
      <c r="C1520" s="114">
        <v>97</v>
      </c>
      <c r="D1520" s="114">
        <v>114</v>
      </c>
      <c r="E1520" s="154" cm="1">
        <f t="array" ref="E1520">IF(ISBLANK(MainData[[#This Row],[EventID]]),0,IFERROR(INDEX(MainData[],MATCH(MainData[[#This Row],[EventID]],IF(MainData[Product]="Date",MainData[EventID],0),0),12),0))</f>
        <v>44619</v>
      </c>
      <c r="F1520" s="155" cm="1">
        <f t="array" ref="F1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0" s="155" cm="1">
        <f t="array" ref="G1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0" s="2" t="str" cm="1">
        <f t="array" ref="H1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0" s="20" t="s">
        <v>85</v>
      </c>
      <c r="J1520" t="s">
        <v>22</v>
      </c>
      <c r="K1520" s="2" t="s">
        <v>29</v>
      </c>
      <c r="L1520" s="2" t="s">
        <v>35</v>
      </c>
      <c r="M1520" s="2" t="s">
        <v>382</v>
      </c>
      <c r="N1520" s="2" t="s">
        <v>234</v>
      </c>
      <c r="O1520" s="109">
        <v>2</v>
      </c>
      <c r="P1520" s="109">
        <v>10</v>
      </c>
      <c r="Q1520" s="109">
        <v>100</v>
      </c>
    </row>
    <row r="1521" spans="2:17" x14ac:dyDescent="0.25">
      <c r="B1521" s="114">
        <v>38</v>
      </c>
      <c r="C1521" s="114">
        <v>97</v>
      </c>
      <c r="D1521" s="114">
        <v>114</v>
      </c>
      <c r="E1521" s="154" cm="1">
        <f t="array" ref="E1521">IF(ISBLANK(MainData[[#This Row],[EventID]]),0,IFERROR(INDEX(MainData[],MATCH(MainData[[#This Row],[EventID]],IF(MainData[Product]="Date",MainData[EventID],0),0),12),0))</f>
        <v>44619</v>
      </c>
      <c r="F1521" s="155" cm="1">
        <f t="array" ref="F1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1" s="155" cm="1">
        <f t="array" ref="G1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1" s="2" t="str" cm="1">
        <f t="array" ref="H1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1" s="20" t="s">
        <v>85</v>
      </c>
      <c r="J1521" t="s">
        <v>22</v>
      </c>
      <c r="K1521" s="2" t="s">
        <v>29</v>
      </c>
      <c r="L1521" s="2" t="s">
        <v>36</v>
      </c>
      <c r="M1521" s="2" t="s">
        <v>387</v>
      </c>
      <c r="N1521" s="2" t="s">
        <v>234</v>
      </c>
      <c r="O1521" s="109">
        <v>2</v>
      </c>
      <c r="P1521" s="109">
        <v>10</v>
      </c>
      <c r="Q1521" s="109">
        <v>100</v>
      </c>
    </row>
    <row r="1522" spans="2:17" x14ac:dyDescent="0.25">
      <c r="B1522" s="114">
        <v>38</v>
      </c>
      <c r="C1522" s="114">
        <v>97</v>
      </c>
      <c r="D1522" s="114">
        <v>114</v>
      </c>
      <c r="E1522" s="154" cm="1">
        <f t="array" ref="E1522">IF(ISBLANK(MainData[[#This Row],[EventID]]),0,IFERROR(INDEX(MainData[],MATCH(MainData[[#This Row],[EventID]],IF(MainData[Product]="Date",MainData[EventID],0),0),12),0))</f>
        <v>44619</v>
      </c>
      <c r="F1522" s="155" cm="1">
        <f t="array" ref="F1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2" s="155" cm="1">
        <f t="array" ref="G1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2" s="2" t="str" cm="1">
        <f t="array" ref="H1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2" s="20" t="s">
        <v>85</v>
      </c>
      <c r="J1522" t="s">
        <v>22</v>
      </c>
      <c r="K1522" s="2" t="s">
        <v>29</v>
      </c>
      <c r="L1522" s="2" t="s">
        <v>65</v>
      </c>
      <c r="M1522" s="2" t="s">
        <v>383</v>
      </c>
      <c r="N1522" s="2" t="s">
        <v>234</v>
      </c>
      <c r="O1522" s="109">
        <v>2</v>
      </c>
      <c r="P1522" s="109">
        <v>10</v>
      </c>
      <c r="Q1522" s="109">
        <v>100</v>
      </c>
    </row>
    <row r="1523" spans="2:17" x14ac:dyDescent="0.25">
      <c r="B1523" s="114">
        <v>38</v>
      </c>
      <c r="C1523" s="114">
        <v>97</v>
      </c>
      <c r="D1523" s="114">
        <v>114</v>
      </c>
      <c r="E1523" s="154" cm="1">
        <f t="array" ref="E1523">IF(ISBLANK(MainData[[#This Row],[EventID]]),0,IFERROR(INDEX(MainData[],MATCH(MainData[[#This Row],[EventID]],IF(MainData[Product]="Date",MainData[EventID],0),0),12),0))</f>
        <v>44619</v>
      </c>
      <c r="F1523" s="155" cm="1">
        <f t="array" ref="F1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3" s="155" cm="1">
        <f t="array" ref="G1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3" s="2" t="str" cm="1">
        <f t="array" ref="H1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3" s="20" t="s">
        <v>85</v>
      </c>
      <c r="J1523" t="s">
        <v>22</v>
      </c>
      <c r="K1523" s="2" t="s">
        <v>29</v>
      </c>
      <c r="L1523" s="2" t="s">
        <v>25</v>
      </c>
      <c r="M1523" s="2" t="s">
        <v>388</v>
      </c>
      <c r="N1523" s="2" t="s">
        <v>234</v>
      </c>
      <c r="O1523" s="109">
        <v>2</v>
      </c>
      <c r="P1523" s="109">
        <v>10</v>
      </c>
      <c r="Q1523" s="109">
        <v>100</v>
      </c>
    </row>
    <row r="1524" spans="2:17" x14ac:dyDescent="0.25">
      <c r="B1524" s="114">
        <v>38</v>
      </c>
      <c r="C1524" s="114">
        <v>97</v>
      </c>
      <c r="D1524" s="114">
        <v>113</v>
      </c>
      <c r="E1524" s="154" cm="1">
        <f t="array" ref="E1524">IF(ISBLANK(MainData[[#This Row],[EventID]]),0,IFERROR(INDEX(MainData[],MATCH(MainData[[#This Row],[EventID]],IF(MainData[Product]="Date",MainData[EventID],0),0),12),0))</f>
        <v>44619</v>
      </c>
      <c r="F1524" s="155" cm="1">
        <f t="array" ref="F1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4" s="155" cm="1">
        <f t="array" ref="G1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4" s="2" t="str" cm="1">
        <f t="array" ref="H1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4" s="157" t="s">
        <v>85</v>
      </c>
      <c r="J1524" t="s">
        <v>20</v>
      </c>
      <c r="K1524" s="2" t="s">
        <v>123</v>
      </c>
      <c r="L1524" s="2" t="s">
        <v>132</v>
      </c>
      <c r="M1524" s="2" t="s">
        <v>503</v>
      </c>
      <c r="N1524" s="2"/>
      <c r="O1524" s="109">
        <v>1</v>
      </c>
      <c r="P1524" s="109"/>
      <c r="Q1524" s="109">
        <v>2000</v>
      </c>
    </row>
    <row r="1525" spans="2:17" x14ac:dyDescent="0.25">
      <c r="B1525" s="114">
        <v>38</v>
      </c>
      <c r="C1525" s="114">
        <v>97</v>
      </c>
      <c r="D1525" s="114">
        <v>113</v>
      </c>
      <c r="E1525" s="154" cm="1">
        <f t="array" ref="E1525">IF(ISBLANK(MainData[[#This Row],[EventID]]),0,IFERROR(INDEX(MainData[],MATCH(MainData[[#This Row],[EventID]],IF(MainData[Product]="Date",MainData[EventID],0),0),12),0))</f>
        <v>44619</v>
      </c>
      <c r="F1525" s="155" cm="1">
        <f t="array" ref="F1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5" s="155" cm="1">
        <f t="array" ref="G1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5" s="2" t="str" cm="1">
        <f t="array" ref="H1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5" s="20" t="s">
        <v>85</v>
      </c>
      <c r="J1525" t="s">
        <v>20</v>
      </c>
      <c r="K1525" s="2" t="s">
        <v>116</v>
      </c>
      <c r="L1525" s="2" t="s">
        <v>88</v>
      </c>
      <c r="M1525" s="2" t="s">
        <v>189</v>
      </c>
      <c r="N1525" s="2" t="s">
        <v>233</v>
      </c>
      <c r="O1525" s="109">
        <v>1</v>
      </c>
      <c r="P1525" s="109"/>
      <c r="Q1525" s="109"/>
    </row>
    <row r="1526" spans="2:17" x14ac:dyDescent="0.25">
      <c r="B1526" s="114">
        <v>38</v>
      </c>
      <c r="C1526" s="114">
        <v>97</v>
      </c>
      <c r="D1526" s="114">
        <v>113</v>
      </c>
      <c r="E1526" s="154" cm="1">
        <f t="array" ref="E1526">IF(ISBLANK(MainData[[#This Row],[EventID]]),0,IFERROR(INDEX(MainData[],MATCH(MainData[[#This Row],[EventID]],IF(MainData[Product]="Date",MainData[EventID],0),0),12),0))</f>
        <v>44619</v>
      </c>
      <c r="F1526" s="155" cm="1">
        <f t="array" ref="F1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6" s="155" cm="1">
        <f t="array" ref="G1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6" s="2" t="str" cm="1">
        <f t="array" ref="H1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6" s="20" t="s">
        <v>85</v>
      </c>
      <c r="J1526" t="s">
        <v>20</v>
      </c>
      <c r="K1526" s="2" t="s">
        <v>116</v>
      </c>
      <c r="L1526" s="2" t="s">
        <v>87</v>
      </c>
      <c r="M1526" s="2" t="s">
        <v>188</v>
      </c>
      <c r="N1526" s="2" t="s">
        <v>233</v>
      </c>
      <c r="O1526" s="109">
        <v>2</v>
      </c>
      <c r="P1526" s="109"/>
      <c r="Q1526" s="109">
        <v>300</v>
      </c>
    </row>
    <row r="1527" spans="2:17" x14ac:dyDescent="0.25">
      <c r="B1527" s="114">
        <v>38</v>
      </c>
      <c r="C1527" s="114">
        <v>97</v>
      </c>
      <c r="D1527" s="114">
        <v>113</v>
      </c>
      <c r="E1527" s="154" cm="1">
        <f t="array" ref="E1527">IF(ISBLANK(MainData[[#This Row],[EventID]]),0,IFERROR(INDEX(MainData[],MATCH(MainData[[#This Row],[EventID]],IF(MainData[Product]="Date",MainData[EventID],0),0),12),0))</f>
        <v>44619</v>
      </c>
      <c r="F1527" s="155" cm="1">
        <f t="array" ref="F1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7" s="155" cm="1">
        <f t="array" ref="G1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7" s="2" t="str" cm="1">
        <f t="array" ref="H1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7" s="157" t="s">
        <v>85</v>
      </c>
      <c r="J1527" t="s">
        <v>20</v>
      </c>
      <c r="K1527" s="2" t="s">
        <v>141</v>
      </c>
      <c r="L1527" s="2" t="s">
        <v>158</v>
      </c>
      <c r="M1527" s="2" t="s">
        <v>141</v>
      </c>
      <c r="N1527" s="2"/>
      <c r="O1527" s="109">
        <v>1</v>
      </c>
      <c r="P1527" s="109"/>
      <c r="Q1527" s="109">
        <f>SUM(Q1518:Q1521)*0.24</f>
        <v>48</v>
      </c>
    </row>
    <row r="1528" spans="2:17" x14ac:dyDescent="0.25">
      <c r="B1528" s="114">
        <v>38</v>
      </c>
      <c r="C1528" s="114">
        <v>97</v>
      </c>
      <c r="D1528" s="114">
        <v>113</v>
      </c>
      <c r="E1528" s="154" cm="1">
        <f t="array" ref="E1528">IF(ISBLANK(MainData[[#This Row],[EventID]]),0,IFERROR(INDEX(MainData[],MATCH(MainData[[#This Row],[EventID]],IF(MainData[Product]="Date",MainData[EventID],0),0),12),0))</f>
        <v>44619</v>
      </c>
      <c r="F1528" s="155" cm="1">
        <f t="array" ref="F1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8" s="155" cm="1">
        <f t="array" ref="G1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8" s="2" t="str" cm="1">
        <f t="array" ref="H1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8" s="157" t="s">
        <v>85</v>
      </c>
      <c r="J1528" t="s">
        <v>20</v>
      </c>
      <c r="K1528" s="2" t="s">
        <v>140</v>
      </c>
      <c r="L1528" s="2" t="s">
        <v>158</v>
      </c>
      <c r="M1528" s="2" t="s">
        <v>140</v>
      </c>
      <c r="N1528" s="2"/>
      <c r="O1528" s="109">
        <v>1</v>
      </c>
      <c r="P1528" s="109"/>
      <c r="Q1528" s="109">
        <f>SUM(Q1520:Q1523)*0.09</f>
        <v>36</v>
      </c>
    </row>
    <row r="1529" spans="2:17" x14ac:dyDescent="0.25">
      <c r="B1529" s="114">
        <v>38</v>
      </c>
      <c r="C1529" s="114">
        <v>97</v>
      </c>
      <c r="D1529" s="114">
        <v>113</v>
      </c>
      <c r="E1529" s="154" cm="1">
        <f t="array" ref="E1529">IF(ISBLANK(MainData[[#This Row],[EventID]]),0,IFERROR(INDEX(MainData[],MATCH(MainData[[#This Row],[EventID]],IF(MainData[Product]="Date",MainData[EventID],0),0),12),0))</f>
        <v>44619</v>
      </c>
      <c r="F1529" s="155" cm="1">
        <f t="array" ref="F1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9" s="155" cm="1">
        <f t="array" ref="G1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9" s="2" t="str" cm="1">
        <f t="array" ref="H1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9" s="20" t="s">
        <v>85</v>
      </c>
      <c r="J1529" t="s">
        <v>20</v>
      </c>
      <c r="K1529" s="2" t="s">
        <v>29</v>
      </c>
      <c r="L1529" s="2" t="s">
        <v>35</v>
      </c>
      <c r="M1529" s="2" t="s">
        <v>382</v>
      </c>
      <c r="N1529" s="2" t="s">
        <v>234</v>
      </c>
      <c r="O1529" s="109"/>
      <c r="P1529" s="109">
        <v>200</v>
      </c>
      <c r="Q1529" s="109">
        <v>2000</v>
      </c>
    </row>
    <row r="1530" spans="2:17" x14ac:dyDescent="0.25">
      <c r="B1530" s="114">
        <v>38</v>
      </c>
      <c r="C1530" s="114">
        <v>97</v>
      </c>
      <c r="D1530" s="114">
        <v>113</v>
      </c>
      <c r="E1530" s="154" cm="1">
        <f t="array" ref="E1530">IF(ISBLANK(MainData[[#This Row],[EventID]]),0,IFERROR(INDEX(MainData[],MATCH(MainData[[#This Row],[EventID]],IF(MainData[Product]="Date",MainData[EventID],0),0),12),0))</f>
        <v>44619</v>
      </c>
      <c r="F1530" s="155" cm="1">
        <f t="array" ref="F1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0" s="155" cm="1">
        <f t="array" ref="G1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0" s="2" t="str" cm="1">
        <f t="array" ref="H1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0" s="20" t="s">
        <v>85</v>
      </c>
      <c r="J1530" t="s">
        <v>20</v>
      </c>
      <c r="K1530" s="2" t="s">
        <v>29</v>
      </c>
      <c r="L1530" s="2" t="s">
        <v>36</v>
      </c>
      <c r="M1530" s="2" t="s">
        <v>387</v>
      </c>
      <c r="N1530" s="2" t="s">
        <v>234</v>
      </c>
      <c r="O1530" s="109"/>
      <c r="P1530" s="109">
        <v>200</v>
      </c>
      <c r="Q1530" s="109">
        <v>2000</v>
      </c>
    </row>
    <row r="1531" spans="2:17" x14ac:dyDescent="0.25">
      <c r="B1531" s="114">
        <v>38</v>
      </c>
      <c r="C1531" s="114">
        <v>97</v>
      </c>
      <c r="D1531" s="114">
        <v>113</v>
      </c>
      <c r="E1531" s="154" cm="1">
        <f t="array" ref="E1531">IF(ISBLANK(MainData[[#This Row],[EventID]]),0,IFERROR(INDEX(MainData[],MATCH(MainData[[#This Row],[EventID]],IF(MainData[Product]="Date",MainData[EventID],0),0),12),0))</f>
        <v>44619</v>
      </c>
      <c r="F1531" s="155" cm="1">
        <f t="array" ref="F1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1" s="155" cm="1">
        <f t="array" ref="G1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1" s="2" t="str" cm="1">
        <f t="array" ref="H1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1" s="20" t="s">
        <v>85</v>
      </c>
      <c r="J1531" t="s">
        <v>20</v>
      </c>
      <c r="K1531" s="2" t="s">
        <v>29</v>
      </c>
      <c r="L1531" s="2" t="s">
        <v>65</v>
      </c>
      <c r="M1531" s="2" t="s">
        <v>383</v>
      </c>
      <c r="N1531" s="2" t="s">
        <v>234</v>
      </c>
      <c r="O1531" s="109"/>
      <c r="P1531" s="109">
        <v>10</v>
      </c>
      <c r="Q1531" s="109">
        <v>100</v>
      </c>
    </row>
    <row r="1532" spans="2:17" x14ac:dyDescent="0.25">
      <c r="B1532" s="114">
        <v>38</v>
      </c>
      <c r="C1532" s="114">
        <v>97</v>
      </c>
      <c r="D1532" s="114">
        <v>113</v>
      </c>
      <c r="E1532" s="154" cm="1">
        <f t="array" ref="E1532">IF(ISBLANK(MainData[[#This Row],[EventID]]),0,IFERROR(INDEX(MainData[],MATCH(MainData[[#This Row],[EventID]],IF(MainData[Product]="Date",MainData[EventID],0),0),12),0))</f>
        <v>44619</v>
      </c>
      <c r="F1532" s="155" cm="1">
        <f t="array" ref="F1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2" s="155" cm="1">
        <f t="array" ref="G1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2" s="2" t="str" cm="1">
        <f t="array" ref="H1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2" s="20" t="s">
        <v>85</v>
      </c>
      <c r="J1532" t="s">
        <v>20</v>
      </c>
      <c r="K1532" s="2" t="s">
        <v>29</v>
      </c>
      <c r="L1532" s="2" t="s">
        <v>25</v>
      </c>
      <c r="M1532" s="2" t="s">
        <v>388</v>
      </c>
      <c r="N1532" s="2" t="s">
        <v>234</v>
      </c>
      <c r="O1532" s="109"/>
      <c r="P1532" s="109">
        <v>200</v>
      </c>
      <c r="Q1532" s="109">
        <v>2000</v>
      </c>
    </row>
    <row r="1533" spans="2:17" x14ac:dyDescent="0.25">
      <c r="B1533" s="114">
        <v>38</v>
      </c>
      <c r="C1533" s="114">
        <v>95</v>
      </c>
      <c r="D1533" s="114">
        <v>115</v>
      </c>
      <c r="E1533" s="154" cm="1">
        <f t="array" ref="E1533">IF(ISBLANK(MainData[[#This Row],[EventID]]),0,IFERROR(INDEX(MainData[],MATCH(MainData[[#This Row],[EventID]],IF(MainData[Product]="Date",MainData[EventID],0),0),12),0))</f>
        <v>44620</v>
      </c>
      <c r="F1533" s="155" cm="1">
        <f t="array" ref="F1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3" s="155" cm="1">
        <f t="array" ref="G1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3" s="2" t="str" cm="1">
        <f t="array" ref="H1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3" s="157" t="s">
        <v>84</v>
      </c>
      <c r="J1533" t="s">
        <v>187</v>
      </c>
      <c r="K1533" s="2" t="s">
        <v>157</v>
      </c>
      <c r="L1533" s="2" t="s">
        <v>81</v>
      </c>
      <c r="M1533" s="2">
        <v>1</v>
      </c>
      <c r="N1533" s="2"/>
      <c r="O1533" s="109"/>
      <c r="P1533" s="109"/>
      <c r="Q1533" s="109"/>
    </row>
    <row r="1534" spans="2:17" x14ac:dyDescent="0.25">
      <c r="B1534" s="114">
        <v>38</v>
      </c>
      <c r="C1534" s="114">
        <v>95</v>
      </c>
      <c r="D1534" s="114">
        <v>115</v>
      </c>
      <c r="E1534" s="154" cm="1">
        <f t="array" ref="E1534">IF(ISBLANK(MainData[[#This Row],[EventID]]),0,IFERROR(INDEX(MainData[],MATCH(MainData[[#This Row],[EventID]],IF(MainData[Product]="Date",MainData[EventID],0),0),12),0))</f>
        <v>44620</v>
      </c>
      <c r="F1534" s="155" cm="1">
        <f t="array" ref="F1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4" s="155" cm="1">
        <f t="array" ref="G1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4" s="2" t="str" cm="1">
        <f t="array" ref="H1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4" s="157" t="s">
        <v>84</v>
      </c>
      <c r="J1534" t="s">
        <v>187</v>
      </c>
      <c r="K1534" s="2" t="s">
        <v>157</v>
      </c>
      <c r="L1534" s="2" t="s">
        <v>0</v>
      </c>
      <c r="M1534" s="158">
        <v>44620</v>
      </c>
      <c r="N1534" s="2"/>
      <c r="O1534" s="109"/>
      <c r="P1534" s="109"/>
      <c r="Q1534" s="109"/>
    </row>
    <row r="1535" spans="2:17" x14ac:dyDescent="0.25">
      <c r="B1535" s="114">
        <v>38</v>
      </c>
      <c r="C1535" s="114">
        <v>95</v>
      </c>
      <c r="D1535" s="114">
        <v>115</v>
      </c>
      <c r="E1535" s="154" cm="1">
        <f t="array" ref="E1535">IF(ISBLANK(MainData[[#This Row],[EventID]]),0,IFERROR(INDEX(MainData[],MATCH(MainData[[#This Row],[EventID]],IF(MainData[Product]="Date",MainData[EventID],0),0),12),0))</f>
        <v>44620</v>
      </c>
      <c r="F1535" s="155" cm="1">
        <f t="array" ref="F1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5" s="155" cm="1">
        <f t="array" ref="G1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5" s="2" t="str" cm="1">
        <f t="array" ref="H1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5" s="157" t="s">
        <v>84</v>
      </c>
      <c r="J1535" t="s">
        <v>187</v>
      </c>
      <c r="K1535" s="2" t="s">
        <v>157</v>
      </c>
      <c r="L1535" s="2" t="s">
        <v>82</v>
      </c>
      <c r="M1535" s="2">
        <v>777777</v>
      </c>
      <c r="N1535" s="2"/>
      <c r="O1535" s="109"/>
      <c r="P1535" s="109"/>
      <c r="Q1535" s="109"/>
    </row>
    <row r="1536" spans="2:17" x14ac:dyDescent="0.25">
      <c r="B1536" s="114">
        <v>38</v>
      </c>
      <c r="C1536" s="114">
        <v>95</v>
      </c>
      <c r="D1536" s="114">
        <v>115</v>
      </c>
      <c r="E1536" s="154" cm="1">
        <f t="array" ref="E1536">IF(ISBLANK(MainData[[#This Row],[EventID]]),0,IFERROR(INDEX(MainData[],MATCH(MainData[[#This Row],[EventID]],IF(MainData[Product]="Date",MainData[EventID],0),0),12),0))</f>
        <v>44620</v>
      </c>
      <c r="F1536" s="155" cm="1">
        <f t="array" ref="F1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6" s="155" cm="1">
        <f t="array" ref="G1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6" s="2" t="str" cm="1">
        <f t="array" ref="H1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6" s="157" t="s">
        <v>84</v>
      </c>
      <c r="J1536" t="s">
        <v>187</v>
      </c>
      <c r="K1536" s="2" t="s">
        <v>157</v>
      </c>
      <c r="L1536" s="2" t="s">
        <v>175</v>
      </c>
      <c r="M1536" s="2" t="s">
        <v>502</v>
      </c>
      <c r="N1536" s="2"/>
      <c r="O1536" s="109"/>
      <c r="P1536" s="109"/>
      <c r="Q1536" s="109"/>
    </row>
    <row r="1537" spans="2:17" x14ac:dyDescent="0.25">
      <c r="B1537" s="114">
        <v>38</v>
      </c>
      <c r="C1537" s="114">
        <v>95</v>
      </c>
      <c r="D1537" s="114">
        <v>115</v>
      </c>
      <c r="E1537" s="154" cm="1">
        <f t="array" ref="E1537">IF(ISBLANK(MainData[[#This Row],[EventID]]),0,IFERROR(INDEX(MainData[],MATCH(MainData[[#This Row],[EventID]],IF(MainData[Product]="Date",MainData[EventID],0),0),12),0))</f>
        <v>44620</v>
      </c>
      <c r="F1537" s="155" cm="1">
        <f t="array" ref="F1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7" s="155" cm="1">
        <f t="array" ref="G1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7" s="2" t="str" cm="1">
        <f t="array" ref="H1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7" s="157" t="s">
        <v>84</v>
      </c>
      <c r="J1537" t="s">
        <v>187</v>
      </c>
      <c r="K1537" s="2" t="s">
        <v>157</v>
      </c>
      <c r="L1537" s="2" t="s">
        <v>138</v>
      </c>
      <c r="M1537" s="2">
        <v>100</v>
      </c>
      <c r="N1537" s="2"/>
      <c r="O1537" s="109"/>
      <c r="P1537" s="109"/>
      <c r="Q1537" s="109"/>
    </row>
    <row r="1538" spans="2:17" x14ac:dyDescent="0.25">
      <c r="B1538" s="114">
        <v>38</v>
      </c>
      <c r="C1538" s="114">
        <v>95</v>
      </c>
      <c r="D1538" s="114">
        <v>115</v>
      </c>
      <c r="E1538" s="154" cm="1">
        <f t="array" ref="E1538">IF(ISBLANK(MainData[[#This Row],[EventID]]),0,IFERROR(INDEX(MainData[],MATCH(MainData[[#This Row],[EventID]],IF(MainData[Product]="Date",MainData[EventID],0),0),12),0))</f>
        <v>44620</v>
      </c>
      <c r="F1538" s="155" cm="1">
        <f t="array" ref="F1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8" s="155" cm="1">
        <f t="array" ref="G1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8" s="2" t="str" cm="1">
        <f t="array" ref="H1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8" s="157" t="s">
        <v>84</v>
      </c>
      <c r="J1538" t="s">
        <v>187</v>
      </c>
      <c r="K1538" s="2" t="s">
        <v>157</v>
      </c>
      <c r="L1538" s="2" t="s">
        <v>86</v>
      </c>
      <c r="M1538" s="2">
        <v>1.5</v>
      </c>
      <c r="N1538" s="2"/>
      <c r="O1538" s="109"/>
      <c r="P1538" s="109"/>
      <c r="Q1538" s="109"/>
    </row>
    <row r="1539" spans="2:17" x14ac:dyDescent="0.25">
      <c r="B1539" s="114">
        <v>38</v>
      </c>
      <c r="C1539" s="114">
        <v>95</v>
      </c>
      <c r="D1539" s="114">
        <v>115</v>
      </c>
      <c r="E1539" s="154" cm="1">
        <f t="array" ref="E1539">IF(ISBLANK(MainData[[#This Row],[EventID]]),0,IFERROR(INDEX(MainData[],MATCH(MainData[[#This Row],[EventID]],IF(MainData[Product]="Date",MainData[EventID],0),0),12),0))</f>
        <v>44620</v>
      </c>
      <c r="F1539" s="155" cm="1">
        <f t="array" ref="F1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9" s="155" cm="1">
        <f t="array" ref="G1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9" s="2" t="str" cm="1">
        <f t="array" ref="H1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9" s="157" t="s">
        <v>84</v>
      </c>
      <c r="J1539" t="s">
        <v>187</v>
      </c>
      <c r="K1539" s="2" t="s">
        <v>157</v>
      </c>
      <c r="L1539" s="2" t="s">
        <v>118</v>
      </c>
      <c r="M1539" s="2" t="s">
        <v>506</v>
      </c>
      <c r="N1539" s="2"/>
      <c r="O1539" s="109"/>
      <c r="P1539" s="109"/>
      <c r="Q1539" s="109"/>
    </row>
    <row r="1540" spans="2:17" x14ac:dyDescent="0.25">
      <c r="B1540" s="114">
        <v>38</v>
      </c>
      <c r="C1540" s="114">
        <v>95</v>
      </c>
      <c r="D1540" s="114">
        <v>115</v>
      </c>
      <c r="E1540" s="154" cm="1">
        <f t="array" ref="E1540">IF(ISBLANK(MainData[[#This Row],[EventID]]),0,IFERROR(INDEX(MainData[],MATCH(MainData[[#This Row],[EventID]],IF(MainData[Product]="Date",MainData[EventID],0),0),12),0))</f>
        <v>44620</v>
      </c>
      <c r="F1540" s="155" cm="1">
        <f t="array" ref="F1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0" s="155" cm="1">
        <f t="array" ref="G1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0" s="2" t="str" cm="1">
        <f t="array" ref="H1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0" s="20" t="s">
        <v>85</v>
      </c>
      <c r="J1540" t="s">
        <v>21</v>
      </c>
      <c r="K1540" s="2" t="s">
        <v>116</v>
      </c>
      <c r="L1540" s="2" t="s">
        <v>88</v>
      </c>
      <c r="M1540" s="2" t="s">
        <v>189</v>
      </c>
      <c r="N1540" s="2" t="s">
        <v>233</v>
      </c>
      <c r="O1540" s="109">
        <v>1</v>
      </c>
      <c r="P1540" s="109"/>
      <c r="Q1540" s="109"/>
    </row>
    <row r="1541" spans="2:17" x14ac:dyDescent="0.25">
      <c r="B1541" s="114">
        <v>38</v>
      </c>
      <c r="C1541" s="114">
        <v>95</v>
      </c>
      <c r="D1541" s="114">
        <v>115</v>
      </c>
      <c r="E1541" s="154" cm="1">
        <f t="array" ref="E1541">IF(ISBLANK(MainData[[#This Row],[EventID]]),0,IFERROR(INDEX(MainData[],MATCH(MainData[[#This Row],[EventID]],IF(MainData[Product]="Date",MainData[EventID],0),0),12),0))</f>
        <v>44620</v>
      </c>
      <c r="F1541" s="155" cm="1">
        <f t="array" ref="F1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1" s="155" cm="1">
        <f t="array" ref="G1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1" s="2" t="str" cm="1">
        <f t="array" ref="H1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1" s="20" t="s">
        <v>85</v>
      </c>
      <c r="J1541" t="s">
        <v>21</v>
      </c>
      <c r="K1541" s="2" t="s">
        <v>116</v>
      </c>
      <c r="L1541" s="2" t="s">
        <v>107</v>
      </c>
      <c r="M1541" s="2" t="s">
        <v>190</v>
      </c>
      <c r="N1541" s="2" t="s">
        <v>233</v>
      </c>
      <c r="O1541" s="109">
        <v>2</v>
      </c>
      <c r="P1541" s="109"/>
      <c r="Q1541" s="109"/>
    </row>
    <row r="1542" spans="2:17" x14ac:dyDescent="0.25">
      <c r="B1542" s="114">
        <v>38</v>
      </c>
      <c r="C1542" s="114">
        <v>95</v>
      </c>
      <c r="D1542" s="114">
        <v>115</v>
      </c>
      <c r="E1542" s="154" cm="1">
        <f t="array" ref="E1542">IF(ISBLANK(MainData[[#This Row],[EventID]]),0,IFERROR(INDEX(MainData[],MATCH(MainData[[#This Row],[EventID]],IF(MainData[Product]="Date",MainData[EventID],0),0),12),0))</f>
        <v>44620</v>
      </c>
      <c r="F1542" s="155" cm="1">
        <f t="array" ref="F1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2" s="155" cm="1">
        <f t="array" ref="G1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2" s="2" t="str" cm="1">
        <f t="array" ref="H1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2" s="20" t="s">
        <v>85</v>
      </c>
      <c r="J1542" t="s">
        <v>21</v>
      </c>
      <c r="K1542" s="2" t="s">
        <v>29</v>
      </c>
      <c r="L1542" s="2" t="s">
        <v>25</v>
      </c>
      <c r="M1542" s="2" t="s">
        <v>389</v>
      </c>
      <c r="N1542" s="2" t="s">
        <v>235</v>
      </c>
      <c r="O1542" s="109">
        <v>1</v>
      </c>
      <c r="P1542" s="109">
        <v>25</v>
      </c>
      <c r="Q1542" s="109">
        <v>150</v>
      </c>
    </row>
    <row r="1543" spans="2:17" x14ac:dyDescent="0.25">
      <c r="B1543" s="114">
        <v>38</v>
      </c>
      <c r="C1543" s="114">
        <v>95</v>
      </c>
      <c r="D1543" s="114">
        <v>115</v>
      </c>
      <c r="E1543" s="154" cm="1">
        <f t="array" ref="E1543">IF(ISBLANK(MainData[[#This Row],[EventID]]),0,IFERROR(INDEX(MainData[],MATCH(MainData[[#This Row],[EventID]],IF(MainData[Product]="Date",MainData[EventID],0),0),12),0))</f>
        <v>44620</v>
      </c>
      <c r="F1543" s="155" cm="1">
        <f t="array" ref="F1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3" s="155" cm="1">
        <f t="array" ref="G1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3" s="220" t="str" cm="1">
        <f t="array" ref="H1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3" s="157" t="s">
        <v>85</v>
      </c>
      <c r="J1543" t="s">
        <v>187</v>
      </c>
      <c r="K1543" s="2" t="s">
        <v>157</v>
      </c>
      <c r="L1543" s="2" t="s">
        <v>150</v>
      </c>
      <c r="M1543" s="2">
        <v>1</v>
      </c>
      <c r="N1543" s="2"/>
      <c r="O1543" s="109"/>
      <c r="P1543" s="109"/>
      <c r="Q1543" s="109"/>
    </row>
  </sheetData>
  <sheetProtection sheet="1" objects="1" scenarios="1" selectLockedCells="1" sort="0" autoFilter="0"/>
  <protectedRanges>
    <protectedRange sqref="D486:D493 D495:D584" name="Range1_1"/>
    <protectedRange sqref="D486:D493 D495:D584" name="RangeProductData_1"/>
    <protectedRange sqref="N66:N270 O12:Q12 O8:P11 P13:P14 Q18 Q23:Q24 Q29 Q36 P37:Q38 Q43 Q47:Q48 Q54 Q59 Q64 Q70 Q75 Q80 P40:P84 P85:Q86 P87:P90 P91:Q91 Q101 P92:P105 P106:Q106 P107:P110 P111:Q111 Q117 Q122 Q127 Q136 P112:P141 P142:Q142 P143:P147 P148:Q148 Q153:Q154 Q160 P149:P166 P167:Q167 Q172:Q173 Q177:Q178 P168:P178 Q183 P180:P187 P188:Q188 P189:P192 P193:Q194 Q200 Q205 P195:P209 P210:Q211 Q216 P212:P220 P221:Q221 P222:P226 P227:Q227 P228:P231 P232:Q232 Q237 P233:P241 P242:Q242 Q247 P243:P251 P252:Q252 P253:P255 P256:Q256 P257:P261 P262:Q263 Q269:Q270 O264:P270 P273:P274 P275:Q275 P276:P280 P281:Q281 Q287 O39:P39 P282:P292 P293:Q294 Q302 Q308:Q309 P299:P313 P314:Q314 Q320 Q325 P315:P329 P330:Q330 P331:P335 P336:Q336 Q342 Q348:Q349 Q356 Q362 Q367 P371:Q371 P372:P376 Q389 P391:Q391 Q396 P392:P400 P401:Q401 P402:P405 P406:Q406 Q412 P410:P416 P417:Q417 P418:P421 P422:Q422 P423:P426 P427:Q427 O410:O432 P428:P431 P432:Q432 Q437 P433:P441 P442:Q442 Q451 P443:P455 P456:Q456 Q461 Q466 P457:P470 P471:Q471 Q476 Q481 O434:O486 P472:P485 P486:Q486 Q491:Q492 O487:P492 Q497 Q502 P495:P506 P507:Q507 O495:O512 P508:P511 P512:Q512 Q517 Q522 Q527 Q532 Q537 O513:P539 P540 P542:Q542 Q547 P544:P555 P556:Q556 Q565 Q582 Q570:Q579 O540:O584 P557:P584 P337:P370 P377:Q378 Q95:Q96 M390:O406 E390:E605 B8:D14 B495:D584 B410:D493 B273:D296 F495:G584 F390:G493 Q560 Q551 Q446 M410:N492 I495:N584 M493:P493 I410:L493 M408:P408 M407:Q407 J299:J371 K390:L408 M296:P296 M273:O294 M295:Q295 J273:L296 M271:P271 J8:M14 B6:Q6 J16:L271 B16:D271 M16:M270 O40:O263 K299:O389 P379:P390 I372:J408 B299:D408 O16:P36 E7:G389 I7:I371 H7:H1019" name="RangeSalesData"/>
    <protectedRange sqref="I7:Q717 B7:G717 H7:H1019 B6:Q6" name="RangeReceiptData"/>
    <protectedRange sqref="B6:Q1543" name="RangeMainData"/>
  </protectedRanges>
  <mergeCells count="2">
    <mergeCell ref="B3:F3"/>
    <mergeCell ref="U1:W2"/>
  </mergeCells>
  <phoneticPr fontId="4" type="noConversion"/>
  <conditionalFormatting sqref="L7:M1543">
    <cfRule type="expression" dxfId="5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543">
    <cfRule type="expression" dxfId="1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543 D7:D1543">
    <cfRule type="expression" dxfId="0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3:M747">
    <cfRule type="expression" dxfId="119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8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7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6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3:D747">
    <cfRule type="expression" dxfId="115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14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3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2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1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10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09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8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7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6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05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04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3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2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1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100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99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8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7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6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95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94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3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2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1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90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89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8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7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6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5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84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3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2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1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0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79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8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7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6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75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3:M787">
    <cfRule type="expression" dxfId="74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3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2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1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3:D787">
    <cfRule type="expression" dxfId="70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3:M777">
    <cfRule type="expression" dxfId="69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8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7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6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3:D777">
    <cfRule type="expression" dxfId="65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64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3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2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1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60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59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8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7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6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55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54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3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2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1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0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49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8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7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6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45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44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3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2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1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40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5">
    <dataValidation type="list" errorStyle="warning" allowBlank="1" showErrorMessage="1" errorTitle="BillTo" error="Please use drop-down list._x000a_" promptTitle="BillTo" prompt="Can only be:_x000a__x000a_Group, Affiliate, EPO,_x000a_Hotel, or Nobody" sqref="J7:J1543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543" xr:uid="{B0A7DB16-A42E-4751-A5FF-2F300B11301B}">
      <formula1>INDIRECT("CategoryList[Category]")</formula1>
    </dataValidation>
    <dataValidation type="list" allowBlank="1" showInputMessage="1" showErrorMessage="1" sqref="N7:N1543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543" xr:uid="{4066E00A-B140-4A54-92B9-38E6B51E7D22}">
      <formula1>OFFSET(INDIRECT("ProductList[#Headers]"), MATCH(K7,INDIRECT("ProductList[Category]"),0),1,COUNTIF(INDIRECT("ProductList[Category]"),K7),1)</formula1>
    </dataValidation>
    <dataValidation type="list" errorStyle="warning" allowBlank="1" showErrorMessage="1" errorTitle="Billable?" error="Select &quot;Y&quot; to include price and cost in revenue calculations and statistics._x000a_Select &quot;N&quot; to exclude price and cost in revenue calculations and statistics._x000a_Also, select &quot;N' if this is an information only record." sqref="I7:I1543" xr:uid="{533BDAF1-5AAA-46A7-9457-8FB1A31FFC63}">
      <formula1>"Y, N"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9" r:id="rId4" name="CategoryButton">
          <controlPr defaultSize="0" print="0" autoLine="0" r:id="rId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4" name="CategoryButton"/>
      </mc:Fallback>
    </mc:AlternateContent>
    <mc:AlternateContent xmlns:mc="http://schemas.openxmlformats.org/markup-compatibility/2006">
      <mc:Choice Requires="x14">
        <control shapeId="4104" r:id="rId6" name="Label1">
          <controlPr defaultSize="0" print="0" autoLine="0" r:id="rId7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6" name="Label1"/>
      </mc:Fallback>
    </mc:AlternateContent>
    <mc:AlternateContent xmlns:mc="http://schemas.openxmlformats.org/markup-compatibility/2006">
      <mc:Choice Requires="x14">
        <control shapeId="4099" r:id="rId8" name="ClearFiltersButton">
          <controlPr defaultSize="0" print="0" autoLine="0" r:id="rId9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8" name="ClearFiltersButton"/>
      </mc:Fallback>
    </mc:AlternateContent>
    <mc:AlternateContent xmlns:mc="http://schemas.openxmlformats.org/markup-compatibility/2006">
      <mc:Choice Requires="x14">
        <control shapeId="4097" r:id="rId10" name="ManualEditButton">
          <controlPr defaultSize="0" print="0" autoLine="0" r:id="rId11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10" name="ManualEditButton"/>
      </mc:Fallback>
    </mc:AlternateContent>
    <mc:AlternateContent xmlns:mc="http://schemas.openxmlformats.org/markup-compatibility/2006">
      <mc:Choice Requires="x14">
        <control shapeId="4101" r:id="rId12" name="RefreshDataButton">
          <controlPr defaultSize="0" print="0" autoLine="0" r:id="rId13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12" name="RefreshDataButton"/>
      </mc:Fallback>
    </mc:AlternateContent>
    <mc:AlternateContent xmlns:mc="http://schemas.openxmlformats.org/markup-compatibility/2006">
      <mc:Choice Requires="x14">
        <control shapeId="4106" r:id="rId14" name="ErrorReportButton">
          <controlPr defaultSize="0" print="0" autoLine="0" r:id="rId1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14" name="ErrorReport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68" t="s">
        <v>262</v>
      </c>
      <c r="E1" s="168" t="s">
        <v>263</v>
      </c>
      <c r="L1" s="217" t="s">
        <v>266</v>
      </c>
      <c r="M1" s="217"/>
      <c r="N1" s="217"/>
      <c r="O1" s="217"/>
      <c r="P1" s="217"/>
    </row>
    <row r="2" spans="2:16" x14ac:dyDescent="0.25">
      <c r="B2" t="s">
        <v>264</v>
      </c>
      <c r="E2" t="s">
        <v>265</v>
      </c>
      <c r="L2" s="217"/>
      <c r="M2" s="217"/>
      <c r="N2" s="217"/>
      <c r="O2" s="217"/>
      <c r="P2" s="217"/>
    </row>
    <row r="3" spans="2:16" x14ac:dyDescent="0.25">
      <c r="B3" s="199">
        <v>44862.479456018518</v>
      </c>
      <c r="C3" s="199"/>
      <c r="D3" s="120"/>
      <c r="E3" s="199">
        <f>B3</f>
        <v>44862.479456018518</v>
      </c>
      <c r="F3" s="199"/>
      <c r="G3" s="199"/>
      <c r="H3" s="199"/>
      <c r="I3" s="120"/>
      <c r="J3" s="130"/>
      <c r="K3" s="120"/>
      <c r="M3" s="120"/>
    </row>
    <row r="4" spans="2:16" x14ac:dyDescent="0.25">
      <c r="B4" s="64"/>
      <c r="C4" s="64"/>
      <c r="J4" s="130"/>
    </row>
    <row r="5" spans="2:16" x14ac:dyDescent="0.25">
      <c r="B5" s="63" t="s">
        <v>111</v>
      </c>
      <c r="C5" s="2">
        <f>SUBTOTAL(103,CategoryList[Category])</f>
        <v>7</v>
      </c>
      <c r="D5" s="119"/>
      <c r="E5" s="63" t="s">
        <v>111</v>
      </c>
      <c r="F5" s="2">
        <f>SUBTOTAL(103,ProductList[Product])</f>
        <v>40</v>
      </c>
      <c r="G5" s="2"/>
      <c r="H5" s="119"/>
      <c r="I5" s="85"/>
      <c r="J5" s="172"/>
      <c r="K5" s="172"/>
      <c r="L5" s="172"/>
      <c r="N5" s="172"/>
    </row>
    <row r="6" spans="2:16" x14ac:dyDescent="0.25">
      <c r="B6" s="5" t="s">
        <v>104</v>
      </c>
      <c r="C6" s="11" t="s">
        <v>122</v>
      </c>
      <c r="E6" s="5" t="s">
        <v>104</v>
      </c>
      <c r="F6" s="11" t="s">
        <v>23</v>
      </c>
      <c r="G6" s="11" t="s">
        <v>122</v>
      </c>
      <c r="H6" s="11" t="s">
        <v>225</v>
      </c>
    </row>
    <row r="7" spans="2:16" x14ac:dyDescent="0.25">
      <c r="B7" s="114" t="s">
        <v>157</v>
      </c>
      <c r="C7" s="129" t="s">
        <v>136</v>
      </c>
      <c r="E7" s="114" t="s">
        <v>157</v>
      </c>
      <c r="F7" s="114" t="s">
        <v>150</v>
      </c>
      <c r="G7" s="129" t="s">
        <v>146</v>
      </c>
      <c r="H7" s="163" t="s">
        <v>154</v>
      </c>
    </row>
    <row r="8" spans="2:16" x14ac:dyDescent="0.25">
      <c r="B8" s="114" t="s">
        <v>123</v>
      </c>
      <c r="C8" s="129" t="s">
        <v>127</v>
      </c>
      <c r="E8" s="114" t="s">
        <v>157</v>
      </c>
      <c r="F8" s="114" t="s">
        <v>81</v>
      </c>
      <c r="G8" s="129" t="s">
        <v>219</v>
      </c>
      <c r="H8" s="163" t="s">
        <v>154</v>
      </c>
    </row>
    <row r="9" spans="2:16" x14ac:dyDescent="0.25">
      <c r="B9" s="114" t="s">
        <v>116</v>
      </c>
      <c r="C9" s="129" t="s">
        <v>126</v>
      </c>
      <c r="E9" s="114" t="s">
        <v>157</v>
      </c>
      <c r="F9" s="114" t="s">
        <v>164</v>
      </c>
      <c r="G9" s="129" t="s">
        <v>168</v>
      </c>
      <c r="H9" s="163" t="s">
        <v>154</v>
      </c>
    </row>
    <row r="10" spans="2:16" x14ac:dyDescent="0.25">
      <c r="B10" s="114" t="s">
        <v>117</v>
      </c>
      <c r="C10" s="129" t="s">
        <v>124</v>
      </c>
      <c r="E10" s="114" t="s">
        <v>157</v>
      </c>
      <c r="F10" s="114" t="s">
        <v>0</v>
      </c>
      <c r="G10" s="129" t="s">
        <v>220</v>
      </c>
      <c r="H10" s="163" t="s">
        <v>154</v>
      </c>
    </row>
    <row r="11" spans="2:16" x14ac:dyDescent="0.25">
      <c r="B11" s="114" t="s">
        <v>29</v>
      </c>
      <c r="C11" s="129" t="s">
        <v>125</v>
      </c>
      <c r="E11" s="114" t="s">
        <v>157</v>
      </c>
      <c r="F11" s="114" t="s">
        <v>82</v>
      </c>
      <c r="G11" s="129" t="s">
        <v>218</v>
      </c>
      <c r="H11" s="163" t="s">
        <v>154</v>
      </c>
    </row>
    <row r="12" spans="2:16" x14ac:dyDescent="0.25">
      <c r="B12" s="114" t="s">
        <v>140</v>
      </c>
      <c r="C12" s="129" t="s">
        <v>143</v>
      </c>
      <c r="E12" s="114" t="s">
        <v>157</v>
      </c>
      <c r="F12" s="114" t="s">
        <v>175</v>
      </c>
      <c r="G12" s="129" t="s">
        <v>176</v>
      </c>
      <c r="H12" s="163" t="s">
        <v>154</v>
      </c>
    </row>
    <row r="13" spans="2:16" x14ac:dyDescent="0.25">
      <c r="B13" s="114" t="s">
        <v>141</v>
      </c>
      <c r="C13" s="129" t="s">
        <v>144</v>
      </c>
      <c r="E13" s="114" t="s">
        <v>157</v>
      </c>
      <c r="F13" s="114" t="s">
        <v>121</v>
      </c>
      <c r="G13" s="129" t="s">
        <v>166</v>
      </c>
      <c r="H13" s="163" t="s">
        <v>154</v>
      </c>
    </row>
    <row r="14" spans="2:16" x14ac:dyDescent="0.25">
      <c r="B14" s="114"/>
      <c r="C14" s="129"/>
      <c r="E14" s="114" t="s">
        <v>157</v>
      </c>
      <c r="F14" s="114" t="s">
        <v>20</v>
      </c>
      <c r="G14" s="129" t="s">
        <v>169</v>
      </c>
      <c r="H14" s="163" t="s">
        <v>154</v>
      </c>
    </row>
    <row r="15" spans="2:16" x14ac:dyDescent="0.25">
      <c r="B15" s="114"/>
      <c r="C15" s="129"/>
      <c r="E15" s="114" t="s">
        <v>157</v>
      </c>
      <c r="F15" s="114" t="s">
        <v>138</v>
      </c>
      <c r="G15" s="129" t="s">
        <v>148</v>
      </c>
      <c r="H15" s="163" t="s">
        <v>154</v>
      </c>
    </row>
    <row r="16" spans="2:16" x14ac:dyDescent="0.25">
      <c r="E16" s="114" t="s">
        <v>157</v>
      </c>
      <c r="F16" s="114" t="s">
        <v>108</v>
      </c>
      <c r="G16" s="129" t="s">
        <v>149</v>
      </c>
      <c r="H16" s="163" t="s">
        <v>154</v>
      </c>
    </row>
    <row r="17" spans="5:8" x14ac:dyDescent="0.25">
      <c r="E17" s="114" t="s">
        <v>157</v>
      </c>
      <c r="F17" s="114" t="s">
        <v>86</v>
      </c>
      <c r="G17" s="129" t="s">
        <v>227</v>
      </c>
      <c r="H17" s="163" t="s">
        <v>154</v>
      </c>
    </row>
    <row r="18" spans="5:8" x14ac:dyDescent="0.25">
      <c r="E18" s="114" t="s">
        <v>157</v>
      </c>
      <c r="F18" s="114" t="s">
        <v>118</v>
      </c>
      <c r="G18" s="129" t="s">
        <v>228</v>
      </c>
      <c r="H18" s="163" t="s">
        <v>154</v>
      </c>
    </row>
    <row r="19" spans="5:8" x14ac:dyDescent="0.25">
      <c r="E19" s="114" t="s">
        <v>157</v>
      </c>
      <c r="F19" s="114" t="s">
        <v>165</v>
      </c>
      <c r="G19" s="129" t="s">
        <v>167</v>
      </c>
      <c r="H19" s="163" t="s">
        <v>154</v>
      </c>
    </row>
    <row r="20" spans="5:8" x14ac:dyDescent="0.25">
      <c r="E20" s="114" t="s">
        <v>157</v>
      </c>
      <c r="F20" s="114" t="s">
        <v>232</v>
      </c>
      <c r="G20" s="129" t="s">
        <v>239</v>
      </c>
      <c r="H20" s="163" t="s">
        <v>154</v>
      </c>
    </row>
    <row r="21" spans="5:8" x14ac:dyDescent="0.25">
      <c r="E21" s="114" t="s">
        <v>157</v>
      </c>
      <c r="F21" s="114" t="s">
        <v>24</v>
      </c>
      <c r="G21" s="129" t="s">
        <v>195</v>
      </c>
      <c r="H21" s="163" t="s">
        <v>154</v>
      </c>
    </row>
    <row r="22" spans="5:8" x14ac:dyDescent="0.25">
      <c r="E22" s="114" t="s">
        <v>157</v>
      </c>
      <c r="F22" s="114" t="s">
        <v>193</v>
      </c>
      <c r="G22" s="129" t="s">
        <v>194</v>
      </c>
      <c r="H22" s="163" t="s">
        <v>154</v>
      </c>
    </row>
    <row r="23" spans="5:8" x14ac:dyDescent="0.25">
      <c r="E23" s="114" t="s">
        <v>157</v>
      </c>
      <c r="F23" s="114" t="s">
        <v>151</v>
      </c>
      <c r="G23" s="129" t="s">
        <v>137</v>
      </c>
      <c r="H23" s="163" t="s">
        <v>154</v>
      </c>
    </row>
    <row r="24" spans="5:8" x14ac:dyDescent="0.25">
      <c r="E24" s="114" t="s">
        <v>157</v>
      </c>
      <c r="F24" s="114" t="s">
        <v>221</v>
      </c>
      <c r="G24" s="129" t="s">
        <v>229</v>
      </c>
      <c r="H24" s="163" t="s">
        <v>154</v>
      </c>
    </row>
    <row r="25" spans="5:8" x14ac:dyDescent="0.25">
      <c r="E25" s="114" t="s">
        <v>123</v>
      </c>
      <c r="F25" s="114" t="s">
        <v>133</v>
      </c>
      <c r="G25" s="129" t="s">
        <v>135</v>
      </c>
      <c r="H25" s="163" t="s">
        <v>226</v>
      </c>
    </row>
    <row r="26" spans="5:8" x14ac:dyDescent="0.25">
      <c r="E26" s="114" t="s">
        <v>123</v>
      </c>
      <c r="F26" s="114" t="s">
        <v>132</v>
      </c>
      <c r="G26" s="129" t="s">
        <v>134</v>
      </c>
      <c r="H26" s="163" t="s">
        <v>226</v>
      </c>
    </row>
    <row r="27" spans="5:8" x14ac:dyDescent="0.25">
      <c r="E27" s="114" t="s">
        <v>116</v>
      </c>
      <c r="F27" s="114" t="s">
        <v>88</v>
      </c>
      <c r="G27" s="129" t="s">
        <v>174</v>
      </c>
      <c r="H27" s="163" t="s">
        <v>226</v>
      </c>
    </row>
    <row r="28" spans="5:8" x14ac:dyDescent="0.25">
      <c r="E28" s="114" t="s">
        <v>116</v>
      </c>
      <c r="F28" s="114" t="s">
        <v>87</v>
      </c>
      <c r="G28" s="129" t="s">
        <v>170</v>
      </c>
      <c r="H28" s="163" t="s">
        <v>226</v>
      </c>
    </row>
    <row r="29" spans="5:8" x14ac:dyDescent="0.25">
      <c r="E29" s="114" t="s">
        <v>116</v>
      </c>
      <c r="F29" s="114" t="s">
        <v>90</v>
      </c>
      <c r="G29" s="129" t="s">
        <v>173</v>
      </c>
      <c r="H29" s="163" t="s">
        <v>226</v>
      </c>
    </row>
    <row r="30" spans="5:8" x14ac:dyDescent="0.25">
      <c r="E30" s="114" t="s">
        <v>116</v>
      </c>
      <c r="F30" s="114" t="s">
        <v>89</v>
      </c>
      <c r="G30" s="129" t="s">
        <v>171</v>
      </c>
      <c r="H30" s="163" t="s">
        <v>226</v>
      </c>
    </row>
    <row r="31" spans="5:8" x14ac:dyDescent="0.25">
      <c r="E31" s="114" t="s">
        <v>116</v>
      </c>
      <c r="F31" s="114" t="s">
        <v>107</v>
      </c>
      <c r="G31" s="129" t="s">
        <v>172</v>
      </c>
      <c r="H31" s="163" t="s">
        <v>226</v>
      </c>
    </row>
    <row r="32" spans="5:8" x14ac:dyDescent="0.25">
      <c r="E32" s="114" t="s">
        <v>116</v>
      </c>
      <c r="F32" s="114" t="s">
        <v>152</v>
      </c>
      <c r="G32" s="129" t="s">
        <v>153</v>
      </c>
      <c r="H32" s="163" t="s">
        <v>226</v>
      </c>
    </row>
    <row r="33" spans="5:8" x14ac:dyDescent="0.25">
      <c r="E33" s="114" t="s">
        <v>117</v>
      </c>
      <c r="F33" s="114" t="s">
        <v>181</v>
      </c>
      <c r="G33" s="129" t="s">
        <v>185</v>
      </c>
      <c r="H33" s="163" t="s">
        <v>226</v>
      </c>
    </row>
    <row r="34" spans="5:8" x14ac:dyDescent="0.25">
      <c r="E34" s="114" t="s">
        <v>117</v>
      </c>
      <c r="F34" s="114" t="s">
        <v>182</v>
      </c>
      <c r="G34" s="129" t="s">
        <v>186</v>
      </c>
      <c r="H34" s="163" t="s">
        <v>226</v>
      </c>
    </row>
    <row r="35" spans="5:8" x14ac:dyDescent="0.25">
      <c r="E35" s="114" t="s">
        <v>117</v>
      </c>
      <c r="F35" s="114" t="s">
        <v>180</v>
      </c>
      <c r="G35" s="129" t="s">
        <v>184</v>
      </c>
      <c r="H35" s="163" t="s">
        <v>226</v>
      </c>
    </row>
    <row r="36" spans="5:8" x14ac:dyDescent="0.25">
      <c r="E36" s="114" t="s">
        <v>117</v>
      </c>
      <c r="F36" s="114" t="s">
        <v>179</v>
      </c>
      <c r="G36" s="129" t="s">
        <v>183</v>
      </c>
      <c r="H36" s="163" t="s">
        <v>226</v>
      </c>
    </row>
    <row r="37" spans="5:8" x14ac:dyDescent="0.25">
      <c r="E37" s="114" t="s">
        <v>117</v>
      </c>
      <c r="F37" s="114" t="s">
        <v>65</v>
      </c>
      <c r="G37" s="129" t="s">
        <v>128</v>
      </c>
      <c r="H37" s="163" t="s">
        <v>226</v>
      </c>
    </row>
    <row r="38" spans="5:8" x14ac:dyDescent="0.25">
      <c r="E38" s="114" t="s">
        <v>29</v>
      </c>
      <c r="F38" s="114" t="s">
        <v>35</v>
      </c>
      <c r="G38" s="129" t="s">
        <v>131</v>
      </c>
      <c r="H38" s="163" t="s">
        <v>226</v>
      </c>
    </row>
    <row r="39" spans="5:8" x14ac:dyDescent="0.25">
      <c r="E39" s="114" t="s">
        <v>29</v>
      </c>
      <c r="F39" s="114" t="s">
        <v>156</v>
      </c>
      <c r="G39" s="129" t="s">
        <v>129</v>
      </c>
      <c r="H39" s="163" t="s">
        <v>226</v>
      </c>
    </row>
    <row r="40" spans="5:8" x14ac:dyDescent="0.25">
      <c r="E40" s="114" t="s">
        <v>29</v>
      </c>
      <c r="F40" s="114" t="s">
        <v>36</v>
      </c>
      <c r="G40" s="129" t="s">
        <v>130</v>
      </c>
      <c r="H40" s="163" t="s">
        <v>226</v>
      </c>
    </row>
    <row r="41" spans="5:8" x14ac:dyDescent="0.25">
      <c r="E41" s="114" t="s">
        <v>29</v>
      </c>
      <c r="F41" s="114" t="s">
        <v>65</v>
      </c>
      <c r="G41" s="129" t="s">
        <v>128</v>
      </c>
      <c r="H41" s="163" t="s">
        <v>226</v>
      </c>
    </row>
    <row r="42" spans="5:8" x14ac:dyDescent="0.25">
      <c r="E42" s="114" t="s">
        <v>29</v>
      </c>
      <c r="F42" s="114" t="s">
        <v>25</v>
      </c>
      <c r="G42" s="129" t="s">
        <v>230</v>
      </c>
      <c r="H42" s="163" t="s">
        <v>226</v>
      </c>
    </row>
    <row r="43" spans="5:8" x14ac:dyDescent="0.25">
      <c r="E43" s="114" t="s">
        <v>140</v>
      </c>
      <c r="F43" s="114" t="s">
        <v>158</v>
      </c>
      <c r="G43" s="129" t="s">
        <v>163</v>
      </c>
      <c r="H43" s="163" t="s">
        <v>226</v>
      </c>
    </row>
    <row r="44" spans="5:8" x14ac:dyDescent="0.25">
      <c r="E44" s="114" t="s">
        <v>140</v>
      </c>
      <c r="F44" s="114" t="s">
        <v>159</v>
      </c>
      <c r="G44" s="129" t="s">
        <v>160</v>
      </c>
      <c r="H44" s="163" t="s">
        <v>226</v>
      </c>
    </row>
    <row r="45" spans="5:8" x14ac:dyDescent="0.25">
      <c r="E45" s="114" t="s">
        <v>141</v>
      </c>
      <c r="F45" s="114" t="s">
        <v>158</v>
      </c>
      <c r="G45" s="129" t="s">
        <v>161</v>
      </c>
      <c r="H45" s="163" t="s">
        <v>226</v>
      </c>
    </row>
    <row r="46" spans="5:8" x14ac:dyDescent="0.25">
      <c r="E46" s="114" t="s">
        <v>141</v>
      </c>
      <c r="F46" s="114" t="s">
        <v>159</v>
      </c>
      <c r="G46" s="129" t="s">
        <v>162</v>
      </c>
      <c r="H46" s="163" t="s">
        <v>226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2" r:id="rId4" name="ClearFiltersButton1">
          <controlPr defaultSize="0" print="0" autoLine="0" r:id="rId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4" name="ClearFiltersButton1"/>
      </mc:Fallback>
    </mc:AlternateContent>
    <mc:AlternateContent xmlns:mc="http://schemas.openxmlformats.org/markup-compatibility/2006">
      <mc:Choice Requires="x14">
        <control shapeId="18441" r:id="rId6" name="ManualEditButton1">
          <controlPr defaultSize="0" print="0" autoLine="0" r:id="rId7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6" name="ManualEditButton1"/>
      </mc:Fallback>
    </mc:AlternateContent>
    <mc:AlternateContent xmlns:mc="http://schemas.openxmlformats.org/markup-compatibility/2006">
      <mc:Choice Requires="x14">
        <control shapeId="18438" r:id="rId8" name="ManualEditButton2">
          <controlPr defaultSize="0" print="0" autoLine="0" r:id="rId9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8" name="ManualEditButton2"/>
      </mc:Fallback>
    </mc:AlternateContent>
    <mc:AlternateContent xmlns:mc="http://schemas.openxmlformats.org/markup-compatibility/2006">
      <mc:Choice Requires="x14">
        <control shapeId="18439" r:id="rId10" name="ClearFiltersButton2">
          <controlPr defaultSize="0" print="0" autoLine="0" r:id="rId11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10" name="ClearFiltersButton2"/>
      </mc:Fallback>
    </mc:AlternateContent>
    <mc:AlternateContent xmlns:mc="http://schemas.openxmlformats.org/markup-compatibility/2006">
      <mc:Choice Requires="x14">
        <control shapeId="18444" r:id="rId12" name="Label1">
          <controlPr defaultSize="0" print="0" autoLine="0" autoPict="0" r:id="rId13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12" name="Label1"/>
      </mc:Fallback>
    </mc:AlternateContent>
    <mc:AlternateContent xmlns:mc="http://schemas.openxmlformats.org/markup-compatibility/2006">
      <mc:Choice Requires="x14">
        <control shapeId="18446" r:id="rId14" name="ReturnButton">
          <controlPr defaultSize="0" print="0" autoLine="0" r:id="rId1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14" name="ReturnButton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68" t="s">
        <v>267</v>
      </c>
      <c r="E1" s="168" t="s">
        <v>269</v>
      </c>
      <c r="J1" s="217" t="s">
        <v>266</v>
      </c>
      <c r="K1" s="217"/>
      <c r="L1" s="217"/>
      <c r="M1" s="217"/>
      <c r="N1" s="217"/>
    </row>
    <row r="2" spans="2:14" x14ac:dyDescent="0.25">
      <c r="B2" t="s">
        <v>268</v>
      </c>
      <c r="E2" t="s">
        <v>270</v>
      </c>
      <c r="J2" s="217"/>
      <c r="K2" s="217"/>
      <c r="L2" s="217"/>
      <c r="M2" s="217"/>
      <c r="N2" s="217"/>
    </row>
    <row r="3" spans="2:14" x14ac:dyDescent="0.25">
      <c r="B3" s="199">
        <v>44862.479456018518</v>
      </c>
      <c r="C3" s="199"/>
      <c r="D3" s="120"/>
      <c r="E3" s="199">
        <f>B3</f>
        <v>44862.479456018518</v>
      </c>
      <c r="F3" s="199"/>
      <c r="G3" s="120"/>
      <c r="H3" s="130"/>
      <c r="I3" s="120"/>
      <c r="K3" s="120"/>
    </row>
    <row r="4" spans="2:14" x14ac:dyDescent="0.25">
      <c r="B4" s="64"/>
      <c r="C4" s="64"/>
      <c r="H4" s="130"/>
    </row>
    <row r="5" spans="2:14" x14ac:dyDescent="0.25">
      <c r="B5" s="63" t="s">
        <v>111</v>
      </c>
      <c r="C5" s="2">
        <f>SUBTOTAL(103,BillToList[BillTo])</f>
        <v>5</v>
      </c>
      <c r="D5" s="119"/>
      <c r="E5" s="63" t="s">
        <v>111</v>
      </c>
      <c r="F5" s="2">
        <f>SUBTOTAL(103,PricingList[Pricing])</f>
        <v>12</v>
      </c>
      <c r="G5" s="85"/>
    </row>
    <row r="6" spans="2:14" x14ac:dyDescent="0.25">
      <c r="B6" s="5" t="s">
        <v>19</v>
      </c>
      <c r="C6" s="11" t="s">
        <v>122</v>
      </c>
      <c r="E6" s="5" t="s">
        <v>224</v>
      </c>
      <c r="F6" s="11" t="s">
        <v>122</v>
      </c>
    </row>
    <row r="7" spans="2:14" x14ac:dyDescent="0.25">
      <c r="B7" s="114" t="s">
        <v>271</v>
      </c>
      <c r="C7" s="129" t="s">
        <v>280</v>
      </c>
      <c r="E7" s="114" t="s">
        <v>215</v>
      </c>
      <c r="F7" s="129" t="s">
        <v>283</v>
      </c>
    </row>
    <row r="8" spans="2:14" x14ac:dyDescent="0.25">
      <c r="B8" s="114" t="s">
        <v>22</v>
      </c>
      <c r="C8" s="129" t="s">
        <v>281</v>
      </c>
      <c r="E8" s="114" t="s">
        <v>272</v>
      </c>
      <c r="F8" s="129" t="s">
        <v>283</v>
      </c>
    </row>
    <row r="9" spans="2:14" x14ac:dyDescent="0.25">
      <c r="B9" s="114" t="s">
        <v>20</v>
      </c>
      <c r="C9" s="129" t="s">
        <v>282</v>
      </c>
      <c r="E9" s="114" t="s">
        <v>233</v>
      </c>
      <c r="F9" s="129" t="s">
        <v>284</v>
      </c>
    </row>
    <row r="10" spans="2:14" x14ac:dyDescent="0.25">
      <c r="B10" s="114" t="s">
        <v>21</v>
      </c>
      <c r="C10" s="129" t="s">
        <v>279</v>
      </c>
      <c r="E10" s="114" t="s">
        <v>277</v>
      </c>
      <c r="F10" s="129" t="s">
        <v>293</v>
      </c>
    </row>
    <row r="11" spans="2:14" x14ac:dyDescent="0.25">
      <c r="B11" s="114" t="s">
        <v>187</v>
      </c>
      <c r="C11" s="129" t="s">
        <v>278</v>
      </c>
      <c r="E11" s="114" t="s">
        <v>274</v>
      </c>
      <c r="F11" s="129" t="s">
        <v>289</v>
      </c>
    </row>
    <row r="12" spans="2:14" x14ac:dyDescent="0.25">
      <c r="B12" s="114"/>
      <c r="C12" s="129"/>
      <c r="E12" s="114" t="s">
        <v>237</v>
      </c>
      <c r="F12" s="129" t="s">
        <v>287</v>
      </c>
    </row>
    <row r="13" spans="2:14" x14ac:dyDescent="0.25">
      <c r="B13" s="114"/>
      <c r="C13" s="129"/>
      <c r="E13" s="114" t="s">
        <v>273</v>
      </c>
      <c r="F13" s="129" t="s">
        <v>288</v>
      </c>
    </row>
    <row r="14" spans="2:14" x14ac:dyDescent="0.25">
      <c r="B14" s="114"/>
      <c r="C14" s="129"/>
      <c r="E14" s="114" t="s">
        <v>236</v>
      </c>
      <c r="F14" s="129" t="s">
        <v>285</v>
      </c>
    </row>
    <row r="15" spans="2:14" x14ac:dyDescent="0.25">
      <c r="B15" s="114"/>
      <c r="C15" s="129"/>
      <c r="E15" s="114" t="s">
        <v>276</v>
      </c>
      <c r="F15" s="129" t="s">
        <v>292</v>
      </c>
    </row>
    <row r="16" spans="2:14" x14ac:dyDescent="0.25">
      <c r="E16" s="114" t="s">
        <v>234</v>
      </c>
      <c r="F16" s="129" t="s">
        <v>286</v>
      </c>
    </row>
    <row r="17" spans="5:6" x14ac:dyDescent="0.25">
      <c r="E17" s="114" t="s">
        <v>235</v>
      </c>
      <c r="F17" s="129" t="s">
        <v>290</v>
      </c>
    </row>
    <row r="18" spans="5:6" x14ac:dyDescent="0.25">
      <c r="E18" s="114" t="s">
        <v>275</v>
      </c>
      <c r="F18" s="129" t="s">
        <v>291</v>
      </c>
    </row>
    <row r="19" spans="5:6" x14ac:dyDescent="0.25">
      <c r="E19" s="114"/>
      <c r="F19" s="129"/>
    </row>
    <row r="20" spans="5:6" x14ac:dyDescent="0.25">
      <c r="E20" s="114"/>
      <c r="F20" s="129"/>
    </row>
    <row r="21" spans="5:6" x14ac:dyDescent="0.25">
      <c r="E21" s="114"/>
      <c r="F21" s="129"/>
    </row>
    <row r="22" spans="5:6" x14ac:dyDescent="0.25">
      <c r="E22" s="114"/>
      <c r="F22" s="129"/>
    </row>
    <row r="23" spans="5:6" x14ac:dyDescent="0.25">
      <c r="E23" s="114"/>
      <c r="F23" s="129"/>
    </row>
    <row r="24" spans="5:6" x14ac:dyDescent="0.25">
      <c r="E24" s="114"/>
      <c r="F24" s="129"/>
    </row>
    <row r="25" spans="5:6" x14ac:dyDescent="0.25">
      <c r="E25" s="114"/>
      <c r="F25" s="129"/>
    </row>
    <row r="26" spans="5:6" x14ac:dyDescent="0.25">
      <c r="E26" s="114"/>
      <c r="F26" s="129"/>
    </row>
    <row r="27" spans="5:6" x14ac:dyDescent="0.25">
      <c r="E27" s="114"/>
      <c r="F27" s="129"/>
    </row>
    <row r="28" spans="5:6" x14ac:dyDescent="0.25">
      <c r="E28" s="114"/>
      <c r="F28" s="129"/>
    </row>
    <row r="29" spans="5:6" x14ac:dyDescent="0.25">
      <c r="E29" s="114"/>
      <c r="F29" s="129"/>
    </row>
    <row r="30" spans="5:6" x14ac:dyDescent="0.25">
      <c r="E30" s="114"/>
      <c r="F30" s="129"/>
    </row>
    <row r="31" spans="5:6" x14ac:dyDescent="0.25">
      <c r="E31" s="114"/>
      <c r="F31" s="129"/>
    </row>
    <row r="32" spans="5:6" x14ac:dyDescent="0.25">
      <c r="E32" s="114"/>
      <c r="F32" s="129"/>
    </row>
    <row r="33" spans="5:6" x14ac:dyDescent="0.25">
      <c r="E33" s="114"/>
      <c r="F33" s="129"/>
    </row>
    <row r="34" spans="5:6" x14ac:dyDescent="0.25">
      <c r="E34" s="114"/>
      <c r="F34" s="129"/>
    </row>
    <row r="35" spans="5:6" x14ac:dyDescent="0.25">
      <c r="E35" s="114"/>
      <c r="F35" s="129"/>
    </row>
    <row r="36" spans="5:6" x14ac:dyDescent="0.25">
      <c r="E36" s="114"/>
      <c r="F36" s="129"/>
    </row>
    <row r="37" spans="5:6" x14ac:dyDescent="0.25">
      <c r="E37" s="114"/>
      <c r="F37" s="129"/>
    </row>
    <row r="38" spans="5:6" x14ac:dyDescent="0.25">
      <c r="E38" s="114"/>
      <c r="F38" s="129"/>
    </row>
    <row r="39" spans="5:6" x14ac:dyDescent="0.25">
      <c r="E39" s="114"/>
      <c r="F39" s="129"/>
    </row>
    <row r="40" spans="5:6" x14ac:dyDescent="0.25">
      <c r="E40" s="114"/>
      <c r="F40" s="129"/>
    </row>
    <row r="41" spans="5:6" x14ac:dyDescent="0.25">
      <c r="E41" s="114"/>
      <c r="F41" s="129"/>
    </row>
    <row r="42" spans="5:6" x14ac:dyDescent="0.25">
      <c r="E42" s="114"/>
      <c r="F42" s="129"/>
    </row>
    <row r="43" spans="5:6" x14ac:dyDescent="0.25">
      <c r="E43" s="114"/>
      <c r="F43" s="129"/>
    </row>
    <row r="44" spans="5:6" x14ac:dyDescent="0.25">
      <c r="E44" s="114"/>
      <c r="F44" s="129"/>
    </row>
    <row r="45" spans="5:6" x14ac:dyDescent="0.25">
      <c r="E45" s="114"/>
      <c r="F45" s="129"/>
    </row>
    <row r="46" spans="5:6" x14ac:dyDescent="0.25">
      <c r="E46" s="114"/>
      <c r="F46" s="129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85" r:id="rId4" name="ManualEditButton2">
          <controlPr defaultSize="0" print="0" autoLine="0" r:id="rId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4" name="ManualEditButton2"/>
      </mc:Fallback>
    </mc:AlternateContent>
    <mc:AlternateContent xmlns:mc="http://schemas.openxmlformats.org/markup-compatibility/2006">
      <mc:Choice Requires="x14">
        <control shapeId="41986" r:id="rId6" name="ClearFiltersButton2">
          <controlPr defaultSize="0" print="0" autoLine="0" r:id="rId7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6" name="ClearFiltersButton2"/>
      </mc:Fallback>
    </mc:AlternateContent>
    <mc:AlternateContent xmlns:mc="http://schemas.openxmlformats.org/markup-compatibility/2006">
      <mc:Choice Requires="x14">
        <control shapeId="41987" r:id="rId8" name="ManualEditButton1">
          <controlPr defaultSize="0" print="0" autoLine="0" r:id="rId9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8" name="ManualEditButton1"/>
      </mc:Fallback>
    </mc:AlternateContent>
    <mc:AlternateContent xmlns:mc="http://schemas.openxmlformats.org/markup-compatibility/2006">
      <mc:Choice Requires="x14">
        <control shapeId="41988" r:id="rId10" name="ClearFiltersButton1">
          <controlPr defaultSize="0" print="0" autoLine="0" r:id="rId11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10" name="ClearFiltersButton1"/>
      </mc:Fallback>
    </mc:AlternateContent>
    <mc:AlternateContent xmlns:mc="http://schemas.openxmlformats.org/markup-compatibility/2006">
      <mc:Choice Requires="x14">
        <control shapeId="41989" r:id="rId12" name="Label1">
          <controlPr defaultSize="0" print="0" autoLine="0" r:id="rId13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12" name="Label1"/>
      </mc:Fallback>
    </mc:AlternateContent>
    <mc:AlternateContent xmlns:mc="http://schemas.openxmlformats.org/markup-compatibility/2006">
      <mc:Choice Requires="x14">
        <control shapeId="41990" r:id="rId14" name="ReturnButton">
          <controlPr defaultSize="0" print="0" autoLine="0" r:id="rId1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14" name="ReturnButton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Revenue</vt:lpstr>
      <vt:lpstr>Other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'Other Stats'!Print_Area</vt:lpstr>
      <vt:lpstr>'Pricing Options'!Print_Area</vt:lpstr>
      <vt:lpstr>Reconcile!Print_Area</vt:lpstr>
      <vt:lpstr>Transactions!Print_Area</vt:lpstr>
      <vt:lpstr>'YTD Revenue'!Print_Area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2022-12-04T18:47:41Z</cp:lastPrinted>
  <dcterms:created xsi:type="dcterms:W3CDTF">2021-03-29T14:10:17Z</dcterms:created>
  <dcterms:modified xsi:type="dcterms:W3CDTF">2022-12-04T21:00:57Z</dcterms:modified>
</cp:coreProperties>
</file>